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OCT_2026\Reports\"/>
    </mc:Choice>
  </mc:AlternateContent>
  <xr:revisionPtr revIDLastSave="0" documentId="13_ncr:1_{6D0FB4EA-7708-4961-8AA1-014A35A182F8}" xr6:coauthVersionLast="47" xr6:coauthVersionMax="47" xr10:uidLastSave="{00000000-0000-0000-0000-000000000000}"/>
  <bookViews>
    <workbookView xWindow="-110" yWindow="-110" windowWidth="19420" windowHeight="10420" tabRatio="927" activeTab="21" xr2:uid="{B0E336F2-AB38-4CE9-B7A3-449981D50C07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10-01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22" l="1"/>
  <c r="J14" i="22"/>
  <c r="J15" i="22"/>
  <c r="J16" i="22"/>
  <c r="J17" i="22"/>
  <c r="J12" i="22"/>
  <c r="J12" i="21" l="1"/>
  <c r="O18" i="13"/>
  <c r="O19" i="13" s="1"/>
  <c r="J9" i="10" l="1"/>
  <c r="J10" i="10"/>
  <c r="J11" i="10"/>
  <c r="J12" i="10"/>
  <c r="J13" i="10"/>
  <c r="J14" i="10"/>
  <c r="J15" i="10"/>
  <c r="J16" i="10"/>
  <c r="J17" i="10"/>
  <c r="J8" i="10"/>
  <c r="J17" i="9"/>
  <c r="J16" i="9"/>
  <c r="J15" i="9"/>
  <c r="J13" i="9"/>
  <c r="J14" i="8" l="1"/>
  <c r="D18" i="8"/>
  <c r="D19" i="8" s="1"/>
  <c r="J9" i="7" l="1"/>
  <c r="J10" i="7"/>
  <c r="J11" i="7"/>
  <c r="J12" i="7"/>
  <c r="J13" i="7"/>
  <c r="J14" i="7"/>
  <c r="J8" i="7"/>
  <c r="J17" i="4" l="1"/>
  <c r="J17" i="6"/>
  <c r="J17" i="12"/>
  <c r="J17" i="13"/>
  <c r="J17" i="17"/>
  <c r="J17" i="18"/>
  <c r="J17" i="19"/>
  <c r="J17" i="20"/>
  <c r="J17" i="21"/>
  <c r="J17" i="23"/>
  <c r="J17" i="25"/>
  <c r="J17" i="26"/>
  <c r="J17" i="27"/>
  <c r="J17" i="29"/>
  <c r="J17" i="3"/>
  <c r="J9" i="3"/>
  <c r="J10" i="3"/>
  <c r="J11" i="3"/>
  <c r="J12" i="3"/>
  <c r="J13" i="3"/>
  <c r="J14" i="3"/>
  <c r="J8" i="3"/>
  <c r="J19" i="2"/>
  <c r="J8" i="9"/>
  <c r="J9" i="9"/>
  <c r="J10" i="9"/>
  <c r="J11" i="9"/>
  <c r="J12" i="9"/>
  <c r="V18" i="30"/>
  <c r="P18" i="26" l="1"/>
  <c r="V9" i="25" l="1"/>
  <c r="V10" i="25"/>
  <c r="V11" i="25"/>
  <c r="V12" i="25"/>
  <c r="V13" i="25"/>
  <c r="V14" i="25"/>
  <c r="V15" i="25"/>
  <c r="V16" i="25"/>
  <c r="V17" i="25"/>
  <c r="J10" i="25"/>
  <c r="J12" i="18" l="1"/>
  <c r="J8" i="18" l="1"/>
  <c r="J8" i="15" l="1"/>
  <c r="J10" i="15" l="1"/>
  <c r="J8" i="8" l="1"/>
  <c r="P18" i="7"/>
  <c r="Q18" i="7"/>
  <c r="R18" i="7"/>
  <c r="S18" i="7"/>
  <c r="T18" i="7"/>
  <c r="U18" i="7"/>
  <c r="O18" i="7"/>
  <c r="V10" i="2" l="1"/>
  <c r="V11" i="2"/>
  <c r="V12" i="2"/>
  <c r="V13" i="2"/>
  <c r="V14" i="2"/>
  <c r="V15" i="2"/>
  <c r="V16" i="2"/>
  <c r="V10" i="3"/>
  <c r="V11" i="3"/>
  <c r="V12" i="3"/>
  <c r="V13" i="3"/>
  <c r="V14" i="3"/>
  <c r="V15" i="3"/>
  <c r="V16" i="3"/>
  <c r="V10" i="4"/>
  <c r="V11" i="4"/>
  <c r="V12" i="4"/>
  <c r="V13" i="4"/>
  <c r="V14" i="4"/>
  <c r="V15" i="4"/>
  <c r="V16" i="4"/>
  <c r="V10" i="5"/>
  <c r="V11" i="5"/>
  <c r="V12" i="5"/>
  <c r="V13" i="5"/>
  <c r="V14" i="5"/>
  <c r="V15" i="5"/>
  <c r="V16" i="5"/>
  <c r="V10" i="6"/>
  <c r="V11" i="6"/>
  <c r="V12" i="6"/>
  <c r="V13" i="6"/>
  <c r="V14" i="6"/>
  <c r="V15" i="6"/>
  <c r="V16" i="6"/>
  <c r="V10" i="7"/>
  <c r="V11" i="7"/>
  <c r="V13" i="7"/>
  <c r="V14" i="7"/>
  <c r="V10" i="8"/>
  <c r="V11" i="8"/>
  <c r="V12" i="8"/>
  <c r="V13" i="8"/>
  <c r="V14" i="8"/>
  <c r="V15" i="8"/>
  <c r="V16" i="8"/>
  <c r="V10" i="9"/>
  <c r="V11" i="9"/>
  <c r="V12" i="9"/>
  <c r="V13" i="9"/>
  <c r="V14" i="9"/>
  <c r="V15" i="9"/>
  <c r="V16" i="9"/>
  <c r="V10" i="10"/>
  <c r="V11" i="10"/>
  <c r="V12" i="10"/>
  <c r="V13" i="10"/>
  <c r="V14" i="10"/>
  <c r="V15" i="10"/>
  <c r="V16" i="10"/>
  <c r="V10" i="11"/>
  <c r="V11" i="11"/>
  <c r="V12" i="11"/>
  <c r="V13" i="11"/>
  <c r="V14" i="11"/>
  <c r="V15" i="11"/>
  <c r="V16" i="11"/>
  <c r="V10" i="12"/>
  <c r="V11" i="12"/>
  <c r="V13" i="12"/>
  <c r="V14" i="12"/>
  <c r="V15" i="12"/>
  <c r="V16" i="12"/>
  <c r="V10" i="13"/>
  <c r="V11" i="13"/>
  <c r="V12" i="13"/>
  <c r="V13" i="13"/>
  <c r="V14" i="13"/>
  <c r="V15" i="13"/>
  <c r="V16" i="13"/>
  <c r="V10" i="14"/>
  <c r="V11" i="14"/>
  <c r="V12" i="14"/>
  <c r="V13" i="14"/>
  <c r="V14" i="14"/>
  <c r="V15" i="14"/>
  <c r="V16" i="14"/>
  <c r="V10" i="15"/>
  <c r="V11" i="15"/>
  <c r="V12" i="15"/>
  <c r="V13" i="15"/>
  <c r="V14" i="15"/>
  <c r="V15" i="15"/>
  <c r="V16" i="15"/>
  <c r="V10" i="17"/>
  <c r="V11" i="17"/>
  <c r="V12" i="17"/>
  <c r="V13" i="17"/>
  <c r="V14" i="17"/>
  <c r="V15" i="17"/>
  <c r="V16" i="17"/>
  <c r="V10" i="18"/>
  <c r="V11" i="18"/>
  <c r="V12" i="18"/>
  <c r="V13" i="18"/>
  <c r="V14" i="18"/>
  <c r="V15" i="18"/>
  <c r="V16" i="18"/>
  <c r="V10" i="19"/>
  <c r="V11" i="19"/>
  <c r="V12" i="19"/>
  <c r="V13" i="19"/>
  <c r="V14" i="19"/>
  <c r="V15" i="19"/>
  <c r="V16" i="19"/>
  <c r="V10" i="20"/>
  <c r="V11" i="20"/>
  <c r="V12" i="20"/>
  <c r="V13" i="20"/>
  <c r="V14" i="20"/>
  <c r="V15" i="20"/>
  <c r="V16" i="20"/>
  <c r="V10" i="21"/>
  <c r="V11" i="21"/>
  <c r="V12" i="21"/>
  <c r="V13" i="21"/>
  <c r="V14" i="21"/>
  <c r="V15" i="21"/>
  <c r="V16" i="21"/>
  <c r="V10" i="22"/>
  <c r="V11" i="22"/>
  <c r="V12" i="22"/>
  <c r="V13" i="22"/>
  <c r="V10" i="23"/>
  <c r="V11" i="23"/>
  <c r="V12" i="23"/>
  <c r="V13" i="23"/>
  <c r="V14" i="23"/>
  <c r="V15" i="23"/>
  <c r="V16" i="23"/>
  <c r="V10" i="24"/>
  <c r="V11" i="24"/>
  <c r="V12" i="24"/>
  <c r="V13" i="24"/>
  <c r="V14" i="24"/>
  <c r="V15" i="24"/>
  <c r="V16" i="24"/>
  <c r="V10" i="26"/>
  <c r="V11" i="26"/>
  <c r="V12" i="26"/>
  <c r="V13" i="26"/>
  <c r="V14" i="26"/>
  <c r="V15" i="26"/>
  <c r="V16" i="26"/>
  <c r="V10" i="27"/>
  <c r="V11" i="27"/>
  <c r="V12" i="27"/>
  <c r="V13" i="27"/>
  <c r="V14" i="27"/>
  <c r="V15" i="27"/>
  <c r="V16" i="27"/>
  <c r="V10" i="28"/>
  <c r="V11" i="28"/>
  <c r="V12" i="28"/>
  <c r="V13" i="28"/>
  <c r="V14" i="28"/>
  <c r="V15" i="28"/>
  <c r="V16" i="28"/>
  <c r="V10" i="29"/>
  <c r="V11" i="29"/>
  <c r="V12" i="29"/>
  <c r="V13" i="29"/>
  <c r="V14" i="29"/>
  <c r="V15" i="29"/>
  <c r="V16" i="29"/>
  <c r="V10" i="30"/>
  <c r="V11" i="30"/>
  <c r="V12" i="30"/>
  <c r="V13" i="30"/>
  <c r="V14" i="30"/>
  <c r="V15" i="30"/>
  <c r="V16" i="30"/>
  <c r="V10" i="31"/>
  <c r="V11" i="31"/>
  <c r="V12" i="31"/>
  <c r="V13" i="31"/>
  <c r="V14" i="31"/>
  <c r="V15" i="31"/>
  <c r="V10" i="1"/>
  <c r="V11" i="1"/>
  <c r="V12" i="1"/>
  <c r="V13" i="1"/>
  <c r="V14" i="1"/>
  <c r="V15" i="1"/>
  <c r="V16" i="1"/>
  <c r="J12" i="2"/>
  <c r="J13" i="2"/>
  <c r="J14" i="2"/>
  <c r="J15" i="2"/>
  <c r="J16" i="2"/>
  <c r="J12" i="4"/>
  <c r="J13" i="4"/>
  <c r="J14" i="4"/>
  <c r="J15" i="4"/>
  <c r="J16" i="4"/>
  <c r="J12" i="5"/>
  <c r="J13" i="5"/>
  <c r="J14" i="5"/>
  <c r="J15" i="5"/>
  <c r="J12" i="6"/>
  <c r="J13" i="6"/>
  <c r="J14" i="6"/>
  <c r="J15" i="6"/>
  <c r="J16" i="6"/>
  <c r="J12" i="8"/>
  <c r="J13" i="8"/>
  <c r="J12" i="11"/>
  <c r="J12" i="12"/>
  <c r="J13" i="12"/>
  <c r="J14" i="12"/>
  <c r="J15" i="12"/>
  <c r="J16" i="12"/>
  <c r="J12" i="13"/>
  <c r="J13" i="13"/>
  <c r="J14" i="13"/>
  <c r="J15" i="13"/>
  <c r="J16" i="13"/>
  <c r="J12" i="14"/>
  <c r="J13" i="14"/>
  <c r="J12" i="15"/>
  <c r="J13" i="15"/>
  <c r="J12" i="17"/>
  <c r="J13" i="17"/>
  <c r="J14" i="17"/>
  <c r="J15" i="17"/>
  <c r="J16" i="17"/>
  <c r="J13" i="18"/>
  <c r="J14" i="18"/>
  <c r="J15" i="18"/>
  <c r="J16" i="18"/>
  <c r="J12" i="19"/>
  <c r="J13" i="19"/>
  <c r="J14" i="19"/>
  <c r="J15" i="19"/>
  <c r="J16" i="19"/>
  <c r="J12" i="20"/>
  <c r="J13" i="20"/>
  <c r="J14" i="20"/>
  <c r="J15" i="20"/>
  <c r="J16" i="20"/>
  <c r="J13" i="21"/>
  <c r="J14" i="21"/>
  <c r="J15" i="21"/>
  <c r="J16" i="21"/>
  <c r="J12" i="23"/>
  <c r="J13" i="23"/>
  <c r="J14" i="23"/>
  <c r="J15" i="23"/>
  <c r="J16" i="23"/>
  <c r="J12" i="24"/>
  <c r="J13" i="24"/>
  <c r="J14" i="24"/>
  <c r="J15" i="24"/>
  <c r="J12" i="25"/>
  <c r="J13" i="25"/>
  <c r="J14" i="25"/>
  <c r="J15" i="25"/>
  <c r="J16" i="25"/>
  <c r="J12" i="26"/>
  <c r="J13" i="26"/>
  <c r="J14" i="26"/>
  <c r="J15" i="26"/>
  <c r="J16" i="26"/>
  <c r="J12" i="27"/>
  <c r="J13" i="27"/>
  <c r="J14" i="27"/>
  <c r="J15" i="27"/>
  <c r="J16" i="27"/>
  <c r="J12" i="28"/>
  <c r="J13" i="28"/>
  <c r="J14" i="28"/>
  <c r="J15" i="28"/>
  <c r="J12" i="29"/>
  <c r="J13" i="29"/>
  <c r="J14" i="29"/>
  <c r="J15" i="29"/>
  <c r="J16" i="29"/>
  <c r="J12" i="30"/>
  <c r="J13" i="30"/>
  <c r="J14" i="30"/>
  <c r="J15" i="30"/>
  <c r="J16" i="30"/>
  <c r="J11" i="31"/>
  <c r="J12" i="31"/>
  <c r="J13" i="31"/>
  <c r="J14" i="31"/>
  <c r="J15" i="31"/>
  <c r="J12" i="1"/>
  <c r="J13" i="1"/>
  <c r="J16" i="1"/>
  <c r="V17" i="30"/>
  <c r="Z17" i="30" s="1"/>
  <c r="K21" i="31" l="1"/>
  <c r="U20" i="31"/>
  <c r="U21" i="31" s="1"/>
  <c r="T20" i="31"/>
  <c r="T21" i="31" s="1"/>
  <c r="S20" i="31"/>
  <c r="S21" i="31" s="1"/>
  <c r="R20" i="31"/>
  <c r="R21" i="31" s="1"/>
  <c r="Q20" i="31"/>
  <c r="Q21" i="31" s="1"/>
  <c r="P20" i="31"/>
  <c r="P21" i="31" s="1"/>
  <c r="O20" i="31"/>
  <c r="O21" i="31" s="1"/>
  <c r="I20" i="31"/>
  <c r="I21" i="31" s="1"/>
  <c r="H20" i="31"/>
  <c r="H21" i="31" s="1"/>
  <c r="G20" i="31"/>
  <c r="G21" i="31" s="1"/>
  <c r="F20" i="31"/>
  <c r="F21" i="31" s="1"/>
  <c r="E20" i="31"/>
  <c r="E21" i="31" s="1"/>
  <c r="D20" i="31"/>
  <c r="D21" i="31" s="1"/>
  <c r="C20" i="31"/>
  <c r="C21" i="31" s="1"/>
  <c r="Z19" i="31"/>
  <c r="J19" i="31"/>
  <c r="Y19" i="31" s="1"/>
  <c r="Z10" i="31"/>
  <c r="J10" i="31"/>
  <c r="Y10" i="31" s="1"/>
  <c r="V9" i="31"/>
  <c r="Z9" i="31" s="1"/>
  <c r="J9" i="31"/>
  <c r="Y9" i="31" s="1"/>
  <c r="V8" i="31"/>
  <c r="Z8" i="31" s="1"/>
  <c r="J8" i="31"/>
  <c r="V7" i="31"/>
  <c r="Z7" i="31" s="1"/>
  <c r="J7" i="31"/>
  <c r="K23" i="30"/>
  <c r="J17" i="30"/>
  <c r="J21" i="30"/>
  <c r="AA19" i="31" l="1"/>
  <c r="AA9" i="31"/>
  <c r="Y8" i="31"/>
  <c r="AA8" i="31" s="1"/>
  <c r="J21" i="31"/>
  <c r="AA10" i="31"/>
  <c r="Z20" i="31"/>
  <c r="Z21" i="31" s="1"/>
  <c r="J20" i="31"/>
  <c r="V20" i="31"/>
  <c r="V21" i="31" s="1"/>
  <c r="Y7" i="31"/>
  <c r="AA7" i="31" l="1"/>
  <c r="AA20" i="31" s="1"/>
  <c r="AA21" i="31" s="1"/>
  <c r="Y20" i="31"/>
  <c r="Y21" i="31" s="1"/>
  <c r="V17" i="29" l="1"/>
  <c r="V18" i="29"/>
  <c r="V19" i="29"/>
  <c r="V20" i="29"/>
  <c r="Z17" i="27" l="1"/>
  <c r="V17" i="24" l="1"/>
  <c r="Y30" i="20" l="1"/>
  <c r="X27" i="20"/>
  <c r="W31" i="20" s="1"/>
  <c r="P19" i="20"/>
  <c r="Q19" i="20"/>
  <c r="R19" i="20"/>
  <c r="S19" i="20"/>
  <c r="T19" i="20"/>
  <c r="U19" i="20"/>
  <c r="O19" i="20"/>
  <c r="V18" i="20"/>
  <c r="I19" i="20" l="1"/>
  <c r="H19" i="20"/>
  <c r="G19" i="20"/>
  <c r="C19" i="20"/>
  <c r="F19" i="20"/>
  <c r="E19" i="20"/>
  <c r="D19" i="20"/>
  <c r="V17" i="20" l="1"/>
  <c r="Z18" i="20"/>
  <c r="J18" i="20"/>
  <c r="Y18" i="20" s="1"/>
  <c r="J27" i="19"/>
  <c r="AA18" i="20" l="1"/>
  <c r="V17" i="17" l="1"/>
  <c r="V12" i="12" l="1"/>
  <c r="V17" i="13"/>
  <c r="V17" i="12" l="1"/>
  <c r="V17" i="11"/>
  <c r="V12" i="7"/>
  <c r="V17" i="6" l="1"/>
  <c r="J9" i="4" l="1"/>
  <c r="Z17" i="2" l="1"/>
  <c r="Z17" i="3"/>
  <c r="Z12" i="4"/>
  <c r="Z17" i="4"/>
  <c r="Z17" i="5"/>
  <c r="Z17" i="6"/>
  <c r="Z17" i="7"/>
  <c r="Z17" i="8"/>
  <c r="Z17" i="9"/>
  <c r="Z17" i="10"/>
  <c r="Z17" i="11"/>
  <c r="Z17" i="12"/>
  <c r="Z17" i="13"/>
  <c r="Z12" i="14"/>
  <c r="Z17" i="14"/>
  <c r="Z17" i="15"/>
  <c r="Z12" i="16"/>
  <c r="Z17" i="16"/>
  <c r="Z17" i="17"/>
  <c r="Z17" i="18"/>
  <c r="Z12" i="19"/>
  <c r="Z17" i="19"/>
  <c r="Z17" i="20"/>
  <c r="Z17" i="21"/>
  <c r="Z17" i="22"/>
  <c r="Z17" i="23"/>
  <c r="Z17" i="24"/>
  <c r="Z17" i="25"/>
  <c r="Z17" i="26"/>
  <c r="Z20" i="27"/>
  <c r="Z17" i="28"/>
  <c r="Z20" i="29"/>
  <c r="Z21" i="30"/>
  <c r="Z17" i="1"/>
  <c r="Y17" i="2"/>
  <c r="AA17" i="2" s="1"/>
  <c r="Y17" i="3"/>
  <c r="Y17" i="4"/>
  <c r="Y17" i="5"/>
  <c r="Y17" i="6"/>
  <c r="Y17" i="7"/>
  <c r="Y17" i="8"/>
  <c r="Y17" i="9"/>
  <c r="AA17" i="9" s="1"/>
  <c r="Y17" i="10"/>
  <c r="AA17" i="10" s="1"/>
  <c r="Y17" i="11"/>
  <c r="Y17" i="12"/>
  <c r="Y17" i="13"/>
  <c r="Y17" i="14"/>
  <c r="AA17" i="14" s="1"/>
  <c r="Y17" i="15"/>
  <c r="AA17" i="15" s="1"/>
  <c r="Y17" i="16"/>
  <c r="Y17" i="17"/>
  <c r="Y17" i="18"/>
  <c r="Y17" i="19"/>
  <c r="AA17" i="19" s="1"/>
  <c r="Y17" i="20"/>
  <c r="Y17" i="21"/>
  <c r="Y17" i="22"/>
  <c r="Y17" i="23"/>
  <c r="AA17" i="23" s="1"/>
  <c r="Y17" i="24"/>
  <c r="Y17" i="25"/>
  <c r="Y17" i="26"/>
  <c r="AA17" i="26" s="1"/>
  <c r="Y20" i="27"/>
  <c r="AA20" i="27" s="1"/>
  <c r="Y17" i="28"/>
  <c r="Y20" i="29"/>
  <c r="Y21" i="30"/>
  <c r="AA21" i="30" s="1"/>
  <c r="Y17" i="1"/>
  <c r="AA17" i="1" s="1"/>
  <c r="U18" i="2"/>
  <c r="U19" i="2" s="1"/>
  <c r="T18" i="2"/>
  <c r="T19" i="2" s="1"/>
  <c r="S18" i="2"/>
  <c r="S19" i="2" s="1"/>
  <c r="R18" i="2"/>
  <c r="R19" i="2" s="1"/>
  <c r="Q18" i="2"/>
  <c r="Q19" i="2" s="1"/>
  <c r="P18" i="2"/>
  <c r="P19" i="2" s="1"/>
  <c r="O18" i="2"/>
  <c r="U18" i="3"/>
  <c r="U19" i="3" s="1"/>
  <c r="T18" i="3"/>
  <c r="T19" i="3" s="1"/>
  <c r="S18" i="3"/>
  <c r="S19" i="3" s="1"/>
  <c r="R18" i="3"/>
  <c r="R19" i="3" s="1"/>
  <c r="Q18" i="3"/>
  <c r="Q19" i="3" s="1"/>
  <c r="P18" i="3"/>
  <c r="P19" i="3" s="1"/>
  <c r="O18" i="3"/>
  <c r="O19" i="3" s="1"/>
  <c r="U18" i="4"/>
  <c r="U19" i="4" s="1"/>
  <c r="T18" i="4"/>
  <c r="T19" i="4" s="1"/>
  <c r="S18" i="4"/>
  <c r="S19" i="4" s="1"/>
  <c r="R18" i="4"/>
  <c r="R19" i="4" s="1"/>
  <c r="Q18" i="4"/>
  <c r="Q19" i="4" s="1"/>
  <c r="P18" i="4"/>
  <c r="P19" i="4" s="1"/>
  <c r="O18" i="4"/>
  <c r="O19" i="4" s="1"/>
  <c r="U18" i="5"/>
  <c r="U19" i="5" s="1"/>
  <c r="T18" i="5"/>
  <c r="T19" i="5" s="1"/>
  <c r="S18" i="5"/>
  <c r="S19" i="5" s="1"/>
  <c r="R18" i="5"/>
  <c r="R19" i="5" s="1"/>
  <c r="Q18" i="5"/>
  <c r="Q19" i="5" s="1"/>
  <c r="P18" i="5"/>
  <c r="P19" i="5" s="1"/>
  <c r="O18" i="5"/>
  <c r="U18" i="6"/>
  <c r="U19" i="6" s="1"/>
  <c r="T18" i="6"/>
  <c r="T19" i="6" s="1"/>
  <c r="S18" i="6"/>
  <c r="S19" i="6" s="1"/>
  <c r="R18" i="6"/>
  <c r="R19" i="6" s="1"/>
  <c r="Q18" i="6"/>
  <c r="Q19" i="6" s="1"/>
  <c r="P18" i="6"/>
  <c r="P19" i="6" s="1"/>
  <c r="O18" i="6"/>
  <c r="U19" i="7"/>
  <c r="T19" i="7"/>
  <c r="S19" i="7"/>
  <c r="R19" i="7"/>
  <c r="Q19" i="7"/>
  <c r="P19" i="7"/>
  <c r="O19" i="7"/>
  <c r="U18" i="8"/>
  <c r="U19" i="8" s="1"/>
  <c r="T18" i="8"/>
  <c r="T19" i="8" s="1"/>
  <c r="S18" i="8"/>
  <c r="S19" i="8" s="1"/>
  <c r="R18" i="8"/>
  <c r="R19" i="8" s="1"/>
  <c r="Q18" i="8"/>
  <c r="Q19" i="8" s="1"/>
  <c r="P18" i="8"/>
  <c r="P19" i="8" s="1"/>
  <c r="O18" i="8"/>
  <c r="O19" i="8" s="1"/>
  <c r="U18" i="9"/>
  <c r="U19" i="9" s="1"/>
  <c r="T18" i="9"/>
  <c r="T19" i="9" s="1"/>
  <c r="S18" i="9"/>
  <c r="S19" i="9" s="1"/>
  <c r="R18" i="9"/>
  <c r="R19" i="9" s="1"/>
  <c r="Q18" i="9"/>
  <c r="Q19" i="9" s="1"/>
  <c r="P18" i="9"/>
  <c r="P19" i="9" s="1"/>
  <c r="O18" i="9"/>
  <c r="U18" i="10"/>
  <c r="U19" i="10" s="1"/>
  <c r="T18" i="10"/>
  <c r="T19" i="10" s="1"/>
  <c r="S18" i="10"/>
  <c r="S19" i="10" s="1"/>
  <c r="R18" i="10"/>
  <c r="R19" i="10" s="1"/>
  <c r="Q18" i="10"/>
  <c r="Q19" i="10" s="1"/>
  <c r="P18" i="10"/>
  <c r="P19" i="10" s="1"/>
  <c r="O18" i="10"/>
  <c r="O19" i="10" s="1"/>
  <c r="U18" i="11"/>
  <c r="U19" i="11" s="1"/>
  <c r="T18" i="11"/>
  <c r="T19" i="11" s="1"/>
  <c r="S18" i="11"/>
  <c r="S19" i="11" s="1"/>
  <c r="R18" i="11"/>
  <c r="R19" i="11" s="1"/>
  <c r="Q18" i="11"/>
  <c r="Q19" i="11" s="1"/>
  <c r="P18" i="11"/>
  <c r="P19" i="11" s="1"/>
  <c r="O18" i="11"/>
  <c r="O19" i="11" s="1"/>
  <c r="U18" i="12"/>
  <c r="U19" i="12" s="1"/>
  <c r="T18" i="12"/>
  <c r="T19" i="12" s="1"/>
  <c r="S18" i="12"/>
  <c r="S19" i="12" s="1"/>
  <c r="R18" i="12"/>
  <c r="R19" i="12" s="1"/>
  <c r="Q18" i="12"/>
  <c r="Q19" i="12" s="1"/>
  <c r="P18" i="12"/>
  <c r="P19" i="12" s="1"/>
  <c r="O18" i="12"/>
  <c r="O19" i="12" s="1"/>
  <c r="U18" i="13"/>
  <c r="U19" i="13" s="1"/>
  <c r="T18" i="13"/>
  <c r="T19" i="13" s="1"/>
  <c r="S18" i="13"/>
  <c r="S19" i="13" s="1"/>
  <c r="R18" i="13"/>
  <c r="R19" i="13" s="1"/>
  <c r="Q18" i="13"/>
  <c r="Q19" i="13" s="1"/>
  <c r="P18" i="13"/>
  <c r="P19" i="13" s="1"/>
  <c r="U18" i="14"/>
  <c r="U19" i="14" s="1"/>
  <c r="T18" i="14"/>
  <c r="T19" i="14" s="1"/>
  <c r="S18" i="14"/>
  <c r="S19" i="14" s="1"/>
  <c r="R18" i="14"/>
  <c r="R19" i="14" s="1"/>
  <c r="Q18" i="14"/>
  <c r="Q19" i="14" s="1"/>
  <c r="P18" i="14"/>
  <c r="P19" i="14" s="1"/>
  <c r="O18" i="14"/>
  <c r="O19" i="14" s="1"/>
  <c r="U18" i="15"/>
  <c r="U19" i="15" s="1"/>
  <c r="T18" i="15"/>
  <c r="T19" i="15" s="1"/>
  <c r="S18" i="15"/>
  <c r="S19" i="15" s="1"/>
  <c r="R18" i="15"/>
  <c r="R19" i="15" s="1"/>
  <c r="Q18" i="15"/>
  <c r="Q19" i="15" s="1"/>
  <c r="P18" i="15"/>
  <c r="P19" i="15" s="1"/>
  <c r="O18" i="15"/>
  <c r="O19" i="15" s="1"/>
  <c r="U18" i="16"/>
  <c r="U19" i="16" s="1"/>
  <c r="T18" i="16"/>
  <c r="T19" i="16" s="1"/>
  <c r="S18" i="16"/>
  <c r="S19" i="16" s="1"/>
  <c r="R18" i="16"/>
  <c r="R19" i="16" s="1"/>
  <c r="Q18" i="16"/>
  <c r="Q19" i="16" s="1"/>
  <c r="P18" i="16"/>
  <c r="P19" i="16" s="1"/>
  <c r="O18" i="16"/>
  <c r="O19" i="16" s="1"/>
  <c r="U18" i="17"/>
  <c r="U19" i="17" s="1"/>
  <c r="T18" i="17"/>
  <c r="T19" i="17" s="1"/>
  <c r="S18" i="17"/>
  <c r="S19" i="17" s="1"/>
  <c r="R18" i="17"/>
  <c r="R19" i="17" s="1"/>
  <c r="Q18" i="17"/>
  <c r="Q19" i="17" s="1"/>
  <c r="P18" i="17"/>
  <c r="P19" i="17" s="1"/>
  <c r="O18" i="17"/>
  <c r="U18" i="18"/>
  <c r="U19" i="18" s="1"/>
  <c r="T18" i="18"/>
  <c r="T19" i="18" s="1"/>
  <c r="S18" i="18"/>
  <c r="S19" i="18" s="1"/>
  <c r="R18" i="18"/>
  <c r="R19" i="18" s="1"/>
  <c r="Q18" i="18"/>
  <c r="Q19" i="18" s="1"/>
  <c r="P18" i="18"/>
  <c r="P19" i="18" s="1"/>
  <c r="O18" i="18"/>
  <c r="O19" i="18" s="1"/>
  <c r="U18" i="19"/>
  <c r="U19" i="19" s="1"/>
  <c r="T18" i="19"/>
  <c r="T19" i="19" s="1"/>
  <c r="S18" i="19"/>
  <c r="S19" i="19" s="1"/>
  <c r="R18" i="19"/>
  <c r="R19" i="19" s="1"/>
  <c r="Q18" i="19"/>
  <c r="Q19" i="19" s="1"/>
  <c r="P18" i="19"/>
  <c r="P19" i="19" s="1"/>
  <c r="O18" i="19"/>
  <c r="O19" i="19" s="1"/>
  <c r="O20" i="20"/>
  <c r="U18" i="21"/>
  <c r="U19" i="21" s="1"/>
  <c r="T18" i="21"/>
  <c r="T19" i="21" s="1"/>
  <c r="S18" i="21"/>
  <c r="S19" i="21" s="1"/>
  <c r="R18" i="21"/>
  <c r="R19" i="21" s="1"/>
  <c r="Q18" i="21"/>
  <c r="Q19" i="21" s="1"/>
  <c r="P18" i="21"/>
  <c r="P19" i="21" s="1"/>
  <c r="O18" i="21"/>
  <c r="U18" i="22"/>
  <c r="U19" i="22" s="1"/>
  <c r="T18" i="22"/>
  <c r="T19" i="22" s="1"/>
  <c r="S18" i="22"/>
  <c r="S19" i="22" s="1"/>
  <c r="R18" i="22"/>
  <c r="R19" i="22" s="1"/>
  <c r="Q18" i="22"/>
  <c r="Q19" i="22" s="1"/>
  <c r="P18" i="22"/>
  <c r="P19" i="22" s="1"/>
  <c r="O18" i="22"/>
  <c r="O19" i="22" s="1"/>
  <c r="U18" i="23"/>
  <c r="U19" i="23" s="1"/>
  <c r="T18" i="23"/>
  <c r="T19" i="23" s="1"/>
  <c r="S18" i="23"/>
  <c r="S19" i="23" s="1"/>
  <c r="R18" i="23"/>
  <c r="R19" i="23" s="1"/>
  <c r="Q18" i="23"/>
  <c r="Q19" i="23" s="1"/>
  <c r="P18" i="23"/>
  <c r="P19" i="23" s="1"/>
  <c r="O18" i="23"/>
  <c r="O19" i="23" s="1"/>
  <c r="U18" i="24"/>
  <c r="U19" i="24" s="1"/>
  <c r="T18" i="24"/>
  <c r="T19" i="24" s="1"/>
  <c r="S18" i="24"/>
  <c r="S19" i="24" s="1"/>
  <c r="R18" i="24"/>
  <c r="R19" i="24" s="1"/>
  <c r="Q18" i="24"/>
  <c r="Q19" i="24" s="1"/>
  <c r="P18" i="24"/>
  <c r="P19" i="24" s="1"/>
  <c r="O18" i="24"/>
  <c r="O19" i="24" s="1"/>
  <c r="U18" i="25"/>
  <c r="U19" i="25" s="1"/>
  <c r="T18" i="25"/>
  <c r="T19" i="25" s="1"/>
  <c r="S18" i="25"/>
  <c r="S19" i="25" s="1"/>
  <c r="R18" i="25"/>
  <c r="R19" i="25" s="1"/>
  <c r="Q18" i="25"/>
  <c r="Q19" i="25" s="1"/>
  <c r="P18" i="25"/>
  <c r="P19" i="25" s="1"/>
  <c r="O18" i="25"/>
  <c r="U18" i="26"/>
  <c r="U19" i="26" s="1"/>
  <c r="T18" i="26"/>
  <c r="T19" i="26" s="1"/>
  <c r="S18" i="26"/>
  <c r="S19" i="26" s="1"/>
  <c r="R18" i="26"/>
  <c r="R19" i="26" s="1"/>
  <c r="Q18" i="26"/>
  <c r="Q19" i="26" s="1"/>
  <c r="P19" i="26"/>
  <c r="O18" i="26"/>
  <c r="O19" i="26" s="1"/>
  <c r="U21" i="27"/>
  <c r="U22" i="27" s="1"/>
  <c r="T21" i="27"/>
  <c r="T22" i="27" s="1"/>
  <c r="S21" i="27"/>
  <c r="S22" i="27" s="1"/>
  <c r="R21" i="27"/>
  <c r="R22" i="27" s="1"/>
  <c r="Q21" i="27"/>
  <c r="Q22" i="27" s="1"/>
  <c r="P21" i="27"/>
  <c r="P22" i="27" s="1"/>
  <c r="O21" i="27"/>
  <c r="O22" i="27" s="1"/>
  <c r="U21" i="28"/>
  <c r="U22" i="28" s="1"/>
  <c r="T21" i="28"/>
  <c r="T22" i="28" s="1"/>
  <c r="S21" i="28"/>
  <c r="S22" i="28" s="1"/>
  <c r="R21" i="28"/>
  <c r="R22" i="28" s="1"/>
  <c r="Q21" i="28"/>
  <c r="Q22" i="28" s="1"/>
  <c r="P21" i="28"/>
  <c r="P22" i="28" s="1"/>
  <c r="O21" i="28"/>
  <c r="O22" i="28" s="1"/>
  <c r="U21" i="29"/>
  <c r="U22" i="29" s="1"/>
  <c r="T21" i="29"/>
  <c r="T22" i="29" s="1"/>
  <c r="S21" i="29"/>
  <c r="S22" i="29" s="1"/>
  <c r="R21" i="29"/>
  <c r="R22" i="29" s="1"/>
  <c r="Q21" i="29"/>
  <c r="Q22" i="29" s="1"/>
  <c r="P21" i="29"/>
  <c r="P22" i="29" s="1"/>
  <c r="O21" i="29"/>
  <c r="U22" i="30"/>
  <c r="U23" i="30" s="1"/>
  <c r="T22" i="30"/>
  <c r="T23" i="30" s="1"/>
  <c r="S22" i="30"/>
  <c r="S23" i="30" s="1"/>
  <c r="R22" i="30"/>
  <c r="R23" i="30" s="1"/>
  <c r="Q22" i="30"/>
  <c r="Q23" i="30" s="1"/>
  <c r="P22" i="30"/>
  <c r="P23" i="30" s="1"/>
  <c r="O22" i="30"/>
  <c r="O23" i="30" s="1"/>
  <c r="U18" i="1"/>
  <c r="U19" i="1" s="1"/>
  <c r="T18" i="1"/>
  <c r="T19" i="1" s="1"/>
  <c r="S18" i="1"/>
  <c r="S19" i="1" s="1"/>
  <c r="R18" i="1"/>
  <c r="R19" i="1" s="1"/>
  <c r="Q18" i="1"/>
  <c r="Q19" i="1" s="1"/>
  <c r="P18" i="1"/>
  <c r="P19" i="1" s="1"/>
  <c r="O18" i="1"/>
  <c r="O19" i="1" s="1"/>
  <c r="I18" i="2"/>
  <c r="I19" i="2" s="1"/>
  <c r="I18" i="3"/>
  <c r="I19" i="3" s="1"/>
  <c r="I18" i="4"/>
  <c r="I19" i="4" s="1"/>
  <c r="I18" i="5"/>
  <c r="I19" i="5" s="1"/>
  <c r="I18" i="6"/>
  <c r="I19" i="6" s="1"/>
  <c r="I18" i="7"/>
  <c r="I19" i="7" s="1"/>
  <c r="I18" i="8"/>
  <c r="I19" i="8" s="1"/>
  <c r="I18" i="9"/>
  <c r="I19" i="9" s="1"/>
  <c r="I18" i="10"/>
  <c r="I19" i="10" s="1"/>
  <c r="I18" i="11"/>
  <c r="I19" i="11" s="1"/>
  <c r="I18" i="12"/>
  <c r="I19" i="12" s="1"/>
  <c r="I18" i="13"/>
  <c r="I19" i="13" s="1"/>
  <c r="I18" i="14"/>
  <c r="I19" i="14" s="1"/>
  <c r="I18" i="15"/>
  <c r="I19" i="15" s="1"/>
  <c r="I18" i="16"/>
  <c r="I19" i="16" s="1"/>
  <c r="I18" i="17"/>
  <c r="I19" i="17" s="1"/>
  <c r="I18" i="18"/>
  <c r="I19" i="18" s="1"/>
  <c r="I18" i="19"/>
  <c r="I19" i="19" s="1"/>
  <c r="I20" i="20"/>
  <c r="I18" i="21"/>
  <c r="I19" i="21" s="1"/>
  <c r="I18" i="22"/>
  <c r="I19" i="22" s="1"/>
  <c r="I18" i="23"/>
  <c r="I19" i="23" s="1"/>
  <c r="I18" i="24"/>
  <c r="I19" i="24" s="1"/>
  <c r="I18" i="25"/>
  <c r="I19" i="25" s="1"/>
  <c r="I18" i="26"/>
  <c r="I19" i="26" s="1"/>
  <c r="I21" i="27"/>
  <c r="I22" i="27" s="1"/>
  <c r="I21" i="28"/>
  <c r="I22" i="28" s="1"/>
  <c r="I21" i="29"/>
  <c r="I22" i="29" s="1"/>
  <c r="I22" i="30"/>
  <c r="I23" i="30" s="1"/>
  <c r="I18" i="1"/>
  <c r="I19" i="1" s="1"/>
  <c r="H18" i="2"/>
  <c r="H19" i="2" s="1"/>
  <c r="H18" i="3"/>
  <c r="H19" i="3" s="1"/>
  <c r="H18" i="4"/>
  <c r="H19" i="4" s="1"/>
  <c r="H18" i="5"/>
  <c r="H19" i="5" s="1"/>
  <c r="H18" i="6"/>
  <c r="H19" i="6" s="1"/>
  <c r="H18" i="7"/>
  <c r="H19" i="7" s="1"/>
  <c r="H18" i="8"/>
  <c r="H19" i="8" s="1"/>
  <c r="H18" i="9"/>
  <c r="H19" i="9" s="1"/>
  <c r="H18" i="10"/>
  <c r="H19" i="10" s="1"/>
  <c r="H18" i="11"/>
  <c r="H19" i="11" s="1"/>
  <c r="H18" i="12"/>
  <c r="H19" i="12" s="1"/>
  <c r="H18" i="13"/>
  <c r="H19" i="13" s="1"/>
  <c r="H18" i="14"/>
  <c r="H19" i="14" s="1"/>
  <c r="H18" i="15"/>
  <c r="H19" i="15" s="1"/>
  <c r="H18" i="16"/>
  <c r="H19" i="16" s="1"/>
  <c r="H18" i="17"/>
  <c r="H19" i="17" s="1"/>
  <c r="H18" i="18"/>
  <c r="H19" i="18" s="1"/>
  <c r="H18" i="19"/>
  <c r="H19" i="19" s="1"/>
  <c r="H20" i="20"/>
  <c r="H18" i="21"/>
  <c r="H19" i="21" s="1"/>
  <c r="H18" i="22"/>
  <c r="H19" i="22" s="1"/>
  <c r="H18" i="23"/>
  <c r="H19" i="23" s="1"/>
  <c r="H18" i="24"/>
  <c r="H19" i="24" s="1"/>
  <c r="H18" i="25"/>
  <c r="H19" i="25" s="1"/>
  <c r="H18" i="26"/>
  <c r="H19" i="26" s="1"/>
  <c r="H21" i="27"/>
  <c r="H22" i="27" s="1"/>
  <c r="H21" i="28"/>
  <c r="H22" i="28" s="1"/>
  <c r="H21" i="29"/>
  <c r="H22" i="29" s="1"/>
  <c r="H22" i="30"/>
  <c r="H23" i="30" s="1"/>
  <c r="H18" i="1"/>
  <c r="H19" i="1" s="1"/>
  <c r="G18" i="2"/>
  <c r="G19" i="2" s="1"/>
  <c r="G18" i="3"/>
  <c r="G19" i="3" s="1"/>
  <c r="G18" i="4"/>
  <c r="G19" i="4" s="1"/>
  <c r="G18" i="5"/>
  <c r="G19" i="5" s="1"/>
  <c r="G18" i="6"/>
  <c r="G19" i="6" s="1"/>
  <c r="G18" i="7"/>
  <c r="G19" i="7" s="1"/>
  <c r="G18" i="8"/>
  <c r="G19" i="8" s="1"/>
  <c r="G18" i="9"/>
  <c r="G19" i="9" s="1"/>
  <c r="G18" i="10"/>
  <c r="G19" i="10" s="1"/>
  <c r="G18" i="11"/>
  <c r="G19" i="11" s="1"/>
  <c r="G18" i="12"/>
  <c r="G19" i="12" s="1"/>
  <c r="G18" i="13"/>
  <c r="G19" i="13" s="1"/>
  <c r="G18" i="14"/>
  <c r="G19" i="14" s="1"/>
  <c r="G18" i="15"/>
  <c r="G19" i="15" s="1"/>
  <c r="G18" i="16"/>
  <c r="G19" i="16" s="1"/>
  <c r="G18" i="17"/>
  <c r="G19" i="17" s="1"/>
  <c r="G18" i="18"/>
  <c r="G19" i="18" s="1"/>
  <c r="G18" i="19"/>
  <c r="G19" i="19" s="1"/>
  <c r="G20" i="20"/>
  <c r="G18" i="21"/>
  <c r="G19" i="21" s="1"/>
  <c r="G18" i="22"/>
  <c r="G19" i="22" s="1"/>
  <c r="G18" i="23"/>
  <c r="G19" i="23" s="1"/>
  <c r="G18" i="24"/>
  <c r="G19" i="24" s="1"/>
  <c r="G18" i="25"/>
  <c r="G19" i="25" s="1"/>
  <c r="G18" i="26"/>
  <c r="G19" i="26" s="1"/>
  <c r="G21" i="27"/>
  <c r="G22" i="27" s="1"/>
  <c r="G21" i="28"/>
  <c r="G22" i="28" s="1"/>
  <c r="G21" i="29"/>
  <c r="G22" i="29" s="1"/>
  <c r="G22" i="30"/>
  <c r="G23" i="30" s="1"/>
  <c r="G18" i="1"/>
  <c r="G19" i="1" s="1"/>
  <c r="F18" i="2"/>
  <c r="F19" i="2" s="1"/>
  <c r="F18" i="3"/>
  <c r="F19" i="3" s="1"/>
  <c r="F18" i="4"/>
  <c r="F19" i="4" s="1"/>
  <c r="F18" i="5"/>
  <c r="F19" i="5" s="1"/>
  <c r="F18" i="6"/>
  <c r="F18" i="7"/>
  <c r="F19" i="7" s="1"/>
  <c r="F18" i="8"/>
  <c r="F19" i="8" s="1"/>
  <c r="F18" i="9"/>
  <c r="F19" i="9" s="1"/>
  <c r="F18" i="10"/>
  <c r="F19" i="10" s="1"/>
  <c r="F18" i="11"/>
  <c r="F19" i="11" s="1"/>
  <c r="F18" i="12"/>
  <c r="F19" i="12" s="1"/>
  <c r="F18" i="13"/>
  <c r="F19" i="13" s="1"/>
  <c r="F18" i="14"/>
  <c r="F18" i="15"/>
  <c r="F19" i="15" s="1"/>
  <c r="F18" i="16"/>
  <c r="F19" i="16" s="1"/>
  <c r="F18" i="17"/>
  <c r="F19" i="17" s="1"/>
  <c r="F18" i="18"/>
  <c r="F19" i="18" s="1"/>
  <c r="F18" i="19"/>
  <c r="F19" i="19" s="1"/>
  <c r="F20" i="20"/>
  <c r="F18" i="21"/>
  <c r="F19" i="21" s="1"/>
  <c r="F18" i="22"/>
  <c r="F18" i="23"/>
  <c r="F19" i="23" s="1"/>
  <c r="F18" i="24"/>
  <c r="F19" i="24" s="1"/>
  <c r="F18" i="25"/>
  <c r="F19" i="25" s="1"/>
  <c r="F18" i="26"/>
  <c r="F21" i="27"/>
  <c r="F22" i="27" s="1"/>
  <c r="F21" i="28"/>
  <c r="F22" i="28" s="1"/>
  <c r="F21" i="29"/>
  <c r="F22" i="29" s="1"/>
  <c r="F22" i="30"/>
  <c r="F23" i="30" s="1"/>
  <c r="F18" i="1"/>
  <c r="F19" i="1" s="1"/>
  <c r="E18" i="2"/>
  <c r="E19" i="2" s="1"/>
  <c r="E18" i="3"/>
  <c r="E19" i="3" s="1"/>
  <c r="E18" i="4"/>
  <c r="E19" i="4" s="1"/>
  <c r="E18" i="5"/>
  <c r="E19" i="5" s="1"/>
  <c r="E18" i="6"/>
  <c r="E19" i="6" s="1"/>
  <c r="E18" i="7"/>
  <c r="E19" i="7" s="1"/>
  <c r="E18" i="8"/>
  <c r="E19" i="8" s="1"/>
  <c r="E18" i="9"/>
  <c r="E19" i="9" s="1"/>
  <c r="E18" i="10"/>
  <c r="E19" i="10" s="1"/>
  <c r="E18" i="11"/>
  <c r="E19" i="11" s="1"/>
  <c r="E18" i="12"/>
  <c r="E19" i="12" s="1"/>
  <c r="E18" i="13"/>
  <c r="E19" i="13" s="1"/>
  <c r="E18" i="14"/>
  <c r="E19" i="14" s="1"/>
  <c r="E18" i="15"/>
  <c r="E19" i="15" s="1"/>
  <c r="E18" i="16"/>
  <c r="E19" i="16" s="1"/>
  <c r="E18" i="17"/>
  <c r="E19" i="17" s="1"/>
  <c r="E18" i="18"/>
  <c r="E19" i="18" s="1"/>
  <c r="E18" i="19"/>
  <c r="E19" i="19" s="1"/>
  <c r="E20" i="20"/>
  <c r="E18" i="21"/>
  <c r="E19" i="21" s="1"/>
  <c r="E18" i="22"/>
  <c r="E19" i="22" s="1"/>
  <c r="E18" i="23"/>
  <c r="E19" i="23" s="1"/>
  <c r="E18" i="24"/>
  <c r="E19" i="24" s="1"/>
  <c r="E18" i="25"/>
  <c r="E19" i="25" s="1"/>
  <c r="E18" i="26"/>
  <c r="E19" i="26" s="1"/>
  <c r="E21" i="27"/>
  <c r="E22" i="27" s="1"/>
  <c r="E21" i="28"/>
  <c r="E22" i="28" s="1"/>
  <c r="E21" i="29"/>
  <c r="E22" i="29" s="1"/>
  <c r="E22" i="30"/>
  <c r="E23" i="30" s="1"/>
  <c r="E18" i="1"/>
  <c r="E19" i="1" s="1"/>
  <c r="D18" i="2"/>
  <c r="D19" i="2" s="1"/>
  <c r="D18" i="3"/>
  <c r="D19" i="3" s="1"/>
  <c r="D18" i="4"/>
  <c r="D19" i="4" s="1"/>
  <c r="D18" i="5"/>
  <c r="D19" i="5" s="1"/>
  <c r="D18" i="6"/>
  <c r="D19" i="6" s="1"/>
  <c r="D18" i="7"/>
  <c r="D19" i="7" s="1"/>
  <c r="D18" i="9"/>
  <c r="D19" i="9" s="1"/>
  <c r="D18" i="10"/>
  <c r="D19" i="10" s="1"/>
  <c r="D18" i="11"/>
  <c r="D19" i="11" s="1"/>
  <c r="D18" i="12"/>
  <c r="D19" i="12" s="1"/>
  <c r="D18" i="13"/>
  <c r="D19" i="13" s="1"/>
  <c r="D18" i="14"/>
  <c r="D19" i="14" s="1"/>
  <c r="D18" i="15"/>
  <c r="D19" i="15" s="1"/>
  <c r="D18" i="16"/>
  <c r="D19" i="16" s="1"/>
  <c r="D18" i="17"/>
  <c r="D19" i="17" s="1"/>
  <c r="D18" i="18"/>
  <c r="D19" i="18" s="1"/>
  <c r="D18" i="19"/>
  <c r="D19" i="19" s="1"/>
  <c r="D20" i="20"/>
  <c r="D18" i="22"/>
  <c r="D19" i="22" s="1"/>
  <c r="D18" i="23"/>
  <c r="D19" i="23" s="1"/>
  <c r="D18" i="24"/>
  <c r="D19" i="24" s="1"/>
  <c r="D18" i="25"/>
  <c r="D19" i="25" s="1"/>
  <c r="D18" i="26"/>
  <c r="D19" i="26" s="1"/>
  <c r="D21" i="27"/>
  <c r="D22" i="27" s="1"/>
  <c r="D21" i="28"/>
  <c r="D22" i="28" s="1"/>
  <c r="D21" i="29"/>
  <c r="D22" i="29" s="1"/>
  <c r="D22" i="30"/>
  <c r="D23" i="30" s="1"/>
  <c r="D18" i="1"/>
  <c r="D19" i="1" s="1"/>
  <c r="C18" i="2"/>
  <c r="C19" i="2" s="1"/>
  <c r="C18" i="3"/>
  <c r="C19" i="3" s="1"/>
  <c r="C18" i="4"/>
  <c r="C19" i="4" s="1"/>
  <c r="C18" i="5"/>
  <c r="C19" i="5" s="1"/>
  <c r="C18" i="6"/>
  <c r="C19" i="6" s="1"/>
  <c r="C18" i="7"/>
  <c r="C19" i="7" s="1"/>
  <c r="C18" i="8"/>
  <c r="C19" i="8" s="1"/>
  <c r="C18" i="9"/>
  <c r="C19" i="9" s="1"/>
  <c r="C18" i="10"/>
  <c r="C19" i="10" s="1"/>
  <c r="C18" i="11"/>
  <c r="C18" i="12"/>
  <c r="C19" i="12" s="1"/>
  <c r="C18" i="13"/>
  <c r="C19" i="13" s="1"/>
  <c r="C18" i="14"/>
  <c r="C19" i="14" s="1"/>
  <c r="C18" i="15"/>
  <c r="C18" i="16"/>
  <c r="C19" i="16" s="1"/>
  <c r="C18" i="17"/>
  <c r="C18" i="18"/>
  <c r="C19" i="18" s="1"/>
  <c r="C18" i="19"/>
  <c r="C19" i="19" s="1"/>
  <c r="C20" i="20"/>
  <c r="C18" i="21"/>
  <c r="C19" i="21" s="1"/>
  <c r="C18" i="24"/>
  <c r="C19" i="24" s="1"/>
  <c r="C18" i="25"/>
  <c r="C18" i="26"/>
  <c r="C19" i="26" s="1"/>
  <c r="C21" i="27"/>
  <c r="C21" i="28"/>
  <c r="C22" i="28" s="1"/>
  <c r="C21" i="29"/>
  <c r="C22" i="30"/>
  <c r="C23" i="30" s="1"/>
  <c r="C18" i="1"/>
  <c r="V9" i="2"/>
  <c r="Z9" i="2" s="1"/>
  <c r="Z10" i="2"/>
  <c r="Z11" i="2"/>
  <c r="Z12" i="2"/>
  <c r="V9" i="3"/>
  <c r="Z9" i="3" s="1"/>
  <c r="Z10" i="3"/>
  <c r="Z11" i="3"/>
  <c r="Z12" i="3"/>
  <c r="V9" i="4"/>
  <c r="Z9" i="4" s="1"/>
  <c r="Z10" i="4"/>
  <c r="Z11" i="4"/>
  <c r="V9" i="5"/>
  <c r="Z9" i="5" s="1"/>
  <c r="Z10" i="5"/>
  <c r="Z11" i="5"/>
  <c r="Z12" i="5"/>
  <c r="V9" i="6"/>
  <c r="Z9" i="6" s="1"/>
  <c r="Z10" i="6"/>
  <c r="Z11" i="6"/>
  <c r="Z12" i="6"/>
  <c r="V9" i="7"/>
  <c r="Z9" i="7" s="1"/>
  <c r="Z10" i="7"/>
  <c r="Z11" i="7"/>
  <c r="Z12" i="7"/>
  <c r="V9" i="8"/>
  <c r="Z9" i="8" s="1"/>
  <c r="Z10" i="8"/>
  <c r="Z11" i="8"/>
  <c r="Z12" i="8"/>
  <c r="V9" i="9"/>
  <c r="Z9" i="9" s="1"/>
  <c r="Z10" i="9"/>
  <c r="Z11" i="9"/>
  <c r="Z12" i="9"/>
  <c r="V9" i="10"/>
  <c r="Z9" i="10" s="1"/>
  <c r="Z10" i="10"/>
  <c r="Z11" i="10"/>
  <c r="Z12" i="10"/>
  <c r="V9" i="11"/>
  <c r="Z9" i="11" s="1"/>
  <c r="Z10" i="11"/>
  <c r="Z11" i="11"/>
  <c r="Z12" i="11"/>
  <c r="V9" i="12"/>
  <c r="Z9" i="12" s="1"/>
  <c r="Z10" i="12"/>
  <c r="Z11" i="12"/>
  <c r="Z12" i="12"/>
  <c r="V9" i="13"/>
  <c r="Z9" i="13" s="1"/>
  <c r="Z10" i="13"/>
  <c r="Z11" i="13"/>
  <c r="Z12" i="13"/>
  <c r="V9" i="14"/>
  <c r="Z9" i="14" s="1"/>
  <c r="Z10" i="14"/>
  <c r="Z11" i="14"/>
  <c r="V9" i="15"/>
  <c r="Z9" i="15" s="1"/>
  <c r="Z10" i="15"/>
  <c r="Z11" i="15"/>
  <c r="Z12" i="15"/>
  <c r="Z9" i="16"/>
  <c r="Z10" i="16"/>
  <c r="Z11" i="16"/>
  <c r="V9" i="17"/>
  <c r="Z9" i="17" s="1"/>
  <c r="Z10" i="17"/>
  <c r="Z11" i="17"/>
  <c r="Z12" i="17"/>
  <c r="V9" i="18"/>
  <c r="Z9" i="18" s="1"/>
  <c r="Z10" i="18"/>
  <c r="Z11" i="18"/>
  <c r="Z12" i="18"/>
  <c r="V9" i="19"/>
  <c r="Z9" i="19" s="1"/>
  <c r="Z10" i="19"/>
  <c r="Z11" i="19"/>
  <c r="V9" i="20"/>
  <c r="Z9" i="20" s="1"/>
  <c r="Z10" i="20"/>
  <c r="Z11" i="20"/>
  <c r="Z12" i="20"/>
  <c r="V9" i="21"/>
  <c r="Z9" i="21" s="1"/>
  <c r="Z10" i="21"/>
  <c r="Z11" i="21"/>
  <c r="Z12" i="21"/>
  <c r="V9" i="22"/>
  <c r="Z9" i="22" s="1"/>
  <c r="Z10" i="22"/>
  <c r="Z11" i="22"/>
  <c r="Z12" i="22"/>
  <c r="V9" i="23"/>
  <c r="Z9" i="23" s="1"/>
  <c r="Z10" i="23"/>
  <c r="Z11" i="23"/>
  <c r="Z12" i="23"/>
  <c r="V9" i="24"/>
  <c r="Z9" i="24" s="1"/>
  <c r="Z10" i="24"/>
  <c r="Z11" i="24"/>
  <c r="Z12" i="24"/>
  <c r="Z9" i="25"/>
  <c r="Z10" i="25"/>
  <c r="Z11" i="25"/>
  <c r="Z12" i="25"/>
  <c r="V9" i="26"/>
  <c r="Z9" i="26" s="1"/>
  <c r="Z10" i="26"/>
  <c r="Z11" i="26"/>
  <c r="Z12" i="26"/>
  <c r="V9" i="27"/>
  <c r="Z9" i="27" s="1"/>
  <c r="Z10" i="27"/>
  <c r="Z11" i="27"/>
  <c r="Z12" i="27"/>
  <c r="V9" i="28"/>
  <c r="Z9" i="28" s="1"/>
  <c r="Z10" i="28"/>
  <c r="Z11" i="28"/>
  <c r="Z12" i="28"/>
  <c r="V9" i="29"/>
  <c r="Z9" i="29" s="1"/>
  <c r="Z10" i="29"/>
  <c r="Z11" i="29"/>
  <c r="Z12" i="29"/>
  <c r="V9" i="30"/>
  <c r="Z9" i="30" s="1"/>
  <c r="Z10" i="30"/>
  <c r="Z11" i="30"/>
  <c r="Z12" i="30"/>
  <c r="V9" i="1"/>
  <c r="Z9" i="1" s="1"/>
  <c r="Z10" i="1"/>
  <c r="Z11" i="1"/>
  <c r="Z12" i="1"/>
  <c r="V8" i="2"/>
  <c r="Z8" i="2" s="1"/>
  <c r="V8" i="3"/>
  <c r="Z8" i="3" s="1"/>
  <c r="V8" i="4"/>
  <c r="Z8" i="4" s="1"/>
  <c r="V8" i="5"/>
  <c r="Z8" i="5" s="1"/>
  <c r="V8" i="6"/>
  <c r="Z8" i="6" s="1"/>
  <c r="V8" i="7"/>
  <c r="Z8" i="7" s="1"/>
  <c r="V8" i="8"/>
  <c r="Z8" i="8" s="1"/>
  <c r="V8" i="9"/>
  <c r="Z8" i="9" s="1"/>
  <c r="V8" i="10"/>
  <c r="Z8" i="10" s="1"/>
  <c r="V8" i="11"/>
  <c r="Z8" i="11" s="1"/>
  <c r="V8" i="12"/>
  <c r="Z8" i="12" s="1"/>
  <c r="V8" i="13"/>
  <c r="Z8" i="13" s="1"/>
  <c r="V8" i="14"/>
  <c r="Z8" i="14" s="1"/>
  <c r="V8" i="15"/>
  <c r="Z8" i="15" s="1"/>
  <c r="Z8" i="16"/>
  <c r="V8" i="17"/>
  <c r="Z8" i="17" s="1"/>
  <c r="V8" i="18"/>
  <c r="Z8" i="18" s="1"/>
  <c r="V8" i="19"/>
  <c r="Z8" i="19" s="1"/>
  <c r="V8" i="20"/>
  <c r="Z8" i="20" s="1"/>
  <c r="V8" i="21"/>
  <c r="Z8" i="21" s="1"/>
  <c r="V8" i="22"/>
  <c r="V8" i="23"/>
  <c r="Z8" i="23" s="1"/>
  <c r="V8" i="24"/>
  <c r="Z8" i="24" s="1"/>
  <c r="V8" i="25"/>
  <c r="Z8" i="25" s="1"/>
  <c r="V8" i="26"/>
  <c r="Z8" i="26" s="1"/>
  <c r="V8" i="27"/>
  <c r="Z8" i="27" s="1"/>
  <c r="V8" i="28"/>
  <c r="Z8" i="28" s="1"/>
  <c r="V8" i="29"/>
  <c r="Z8" i="29" s="1"/>
  <c r="V8" i="30"/>
  <c r="Z8" i="30" s="1"/>
  <c r="V8" i="1"/>
  <c r="Z8" i="1" s="1"/>
  <c r="J9" i="2"/>
  <c r="Y9" i="2" s="1"/>
  <c r="J10" i="2"/>
  <c r="Y10" i="2" s="1"/>
  <c r="J11" i="2"/>
  <c r="Y11" i="2" s="1"/>
  <c r="Y12" i="2"/>
  <c r="Y10" i="3"/>
  <c r="Y11" i="3"/>
  <c r="Y12" i="3"/>
  <c r="Y9" i="4"/>
  <c r="J10" i="4"/>
  <c r="Y10" i="4" s="1"/>
  <c r="J11" i="4"/>
  <c r="Y11" i="4" s="1"/>
  <c r="Y12" i="4"/>
  <c r="J9" i="5"/>
  <c r="Y9" i="5" s="1"/>
  <c r="J10" i="5"/>
  <c r="Y10" i="5" s="1"/>
  <c r="J11" i="5"/>
  <c r="Y11" i="5" s="1"/>
  <c r="Y12" i="5"/>
  <c r="J9" i="6"/>
  <c r="Y9" i="6" s="1"/>
  <c r="J10" i="6"/>
  <c r="Y10" i="6" s="1"/>
  <c r="J11" i="6"/>
  <c r="Y11" i="6" s="1"/>
  <c r="Y12" i="6"/>
  <c r="Y10" i="7"/>
  <c r="Y11" i="7"/>
  <c r="Y12" i="7"/>
  <c r="J9" i="8"/>
  <c r="Y9" i="8" s="1"/>
  <c r="J10" i="8"/>
  <c r="J11" i="8"/>
  <c r="Y11" i="8" s="1"/>
  <c r="Y12" i="8"/>
  <c r="Y10" i="9"/>
  <c r="Y11" i="9"/>
  <c r="Y12" i="9"/>
  <c r="Y9" i="10"/>
  <c r="Y10" i="10"/>
  <c r="Y11" i="10"/>
  <c r="Y12" i="10"/>
  <c r="J9" i="11"/>
  <c r="Y9" i="11" s="1"/>
  <c r="J10" i="11"/>
  <c r="Y10" i="11" s="1"/>
  <c r="J11" i="11"/>
  <c r="Y11" i="11" s="1"/>
  <c r="Y12" i="11"/>
  <c r="J9" i="12"/>
  <c r="Y9" i="12" s="1"/>
  <c r="J10" i="12"/>
  <c r="Y10" i="12" s="1"/>
  <c r="J11" i="12"/>
  <c r="Y11" i="12" s="1"/>
  <c r="Y12" i="12"/>
  <c r="J9" i="13"/>
  <c r="Y9" i="13" s="1"/>
  <c r="J10" i="13"/>
  <c r="Y10" i="13" s="1"/>
  <c r="J11" i="13"/>
  <c r="Y11" i="13" s="1"/>
  <c r="Y12" i="13"/>
  <c r="J9" i="14"/>
  <c r="Y9" i="14" s="1"/>
  <c r="J10" i="14"/>
  <c r="Y10" i="14" s="1"/>
  <c r="J11" i="14"/>
  <c r="Y11" i="14" s="1"/>
  <c r="Y12" i="14"/>
  <c r="Y9" i="15"/>
  <c r="Y10" i="15"/>
  <c r="J11" i="15"/>
  <c r="Y11" i="15" s="1"/>
  <c r="Y12" i="15"/>
  <c r="Y9" i="16"/>
  <c r="Y10" i="16"/>
  <c r="Y11" i="16"/>
  <c r="Y12" i="16"/>
  <c r="J9" i="17"/>
  <c r="Y9" i="17" s="1"/>
  <c r="J10" i="17"/>
  <c r="Y10" i="17" s="1"/>
  <c r="J11" i="17"/>
  <c r="Y11" i="17" s="1"/>
  <c r="Y12" i="17"/>
  <c r="J9" i="18"/>
  <c r="Y9" i="18" s="1"/>
  <c r="J10" i="18"/>
  <c r="Y10" i="18" s="1"/>
  <c r="J11" i="18"/>
  <c r="Y11" i="18" s="1"/>
  <c r="Y12" i="18"/>
  <c r="J9" i="19"/>
  <c r="Y9" i="19" s="1"/>
  <c r="J10" i="19"/>
  <c r="Y10" i="19" s="1"/>
  <c r="J11" i="19"/>
  <c r="Y11" i="19" s="1"/>
  <c r="Y12" i="19"/>
  <c r="AA12" i="19" s="1"/>
  <c r="J9" i="20"/>
  <c r="Y9" i="20" s="1"/>
  <c r="J10" i="20"/>
  <c r="Y10" i="20" s="1"/>
  <c r="J11" i="20"/>
  <c r="Y11" i="20" s="1"/>
  <c r="Y12" i="20"/>
  <c r="J9" i="21"/>
  <c r="Y9" i="21" s="1"/>
  <c r="J10" i="21"/>
  <c r="Y10" i="21" s="1"/>
  <c r="J11" i="21"/>
  <c r="Y11" i="21" s="1"/>
  <c r="J9" i="22"/>
  <c r="J10" i="22"/>
  <c r="Y10" i="22" s="1"/>
  <c r="J11" i="22"/>
  <c r="Y11" i="22" s="1"/>
  <c r="J10" i="23"/>
  <c r="Y10" i="23" s="1"/>
  <c r="J11" i="23"/>
  <c r="Y11" i="23" s="1"/>
  <c r="Y12" i="23"/>
  <c r="J9" i="24"/>
  <c r="Y9" i="24" s="1"/>
  <c r="J10" i="24"/>
  <c r="Y10" i="24" s="1"/>
  <c r="J11" i="24"/>
  <c r="Y11" i="24" s="1"/>
  <c r="Y12" i="24"/>
  <c r="J9" i="25"/>
  <c r="Y9" i="25" s="1"/>
  <c r="Y10" i="25"/>
  <c r="J11" i="25"/>
  <c r="Y11" i="25" s="1"/>
  <c r="Y12" i="25"/>
  <c r="J9" i="26"/>
  <c r="Y9" i="26" s="1"/>
  <c r="J10" i="26"/>
  <c r="Y10" i="26" s="1"/>
  <c r="J11" i="26"/>
  <c r="Y11" i="26" s="1"/>
  <c r="Y12" i="26"/>
  <c r="J9" i="27"/>
  <c r="Y9" i="27" s="1"/>
  <c r="J10" i="27"/>
  <c r="Y10" i="27" s="1"/>
  <c r="J11" i="27"/>
  <c r="Y11" i="27" s="1"/>
  <c r="Y12" i="27"/>
  <c r="J9" i="28"/>
  <c r="J10" i="28"/>
  <c r="Y10" i="28" s="1"/>
  <c r="J11" i="28"/>
  <c r="Y11" i="28" s="1"/>
  <c r="Y12" i="28"/>
  <c r="J9" i="29"/>
  <c r="Y9" i="29" s="1"/>
  <c r="J10" i="29"/>
  <c r="Y10" i="29" s="1"/>
  <c r="J11" i="29"/>
  <c r="Y11" i="29" s="1"/>
  <c r="Y12" i="29"/>
  <c r="J9" i="30"/>
  <c r="Y9" i="30" s="1"/>
  <c r="J10" i="30"/>
  <c r="Y10" i="30" s="1"/>
  <c r="J11" i="30"/>
  <c r="Y11" i="30" s="1"/>
  <c r="Y12" i="30"/>
  <c r="J9" i="1"/>
  <c r="Y9" i="1" s="1"/>
  <c r="J10" i="1"/>
  <c r="Y10" i="1" s="1"/>
  <c r="J11" i="1"/>
  <c r="Y11" i="1" s="1"/>
  <c r="Y12" i="1"/>
  <c r="J8" i="2"/>
  <c r="Y8" i="2" s="1"/>
  <c r="Y8" i="3"/>
  <c r="J8" i="4"/>
  <c r="Y8" i="4" s="1"/>
  <c r="J8" i="5"/>
  <c r="Y8" i="5" s="1"/>
  <c r="J8" i="6"/>
  <c r="Y8" i="6" s="1"/>
  <c r="Y8" i="7"/>
  <c r="Y8" i="8"/>
  <c r="Y8" i="9"/>
  <c r="Y8" i="10"/>
  <c r="J8" i="11"/>
  <c r="J8" i="12"/>
  <c r="Y8" i="12" s="1"/>
  <c r="J8" i="13"/>
  <c r="Y8" i="13" s="1"/>
  <c r="Y8" i="14"/>
  <c r="Y8" i="15"/>
  <c r="Y8" i="16"/>
  <c r="J8" i="17"/>
  <c r="Y8" i="17" s="1"/>
  <c r="Y8" i="18"/>
  <c r="J8" i="19"/>
  <c r="Y8" i="19" s="1"/>
  <c r="J8" i="20"/>
  <c r="Y8" i="20" s="1"/>
  <c r="J8" i="21"/>
  <c r="Y8" i="21" s="1"/>
  <c r="J8" i="22"/>
  <c r="Y8" i="22" s="1"/>
  <c r="J8" i="23"/>
  <c r="Y8" i="23" s="1"/>
  <c r="J8" i="24"/>
  <c r="Y8" i="24" s="1"/>
  <c r="J8" i="25"/>
  <c r="Y8" i="25" s="1"/>
  <c r="J8" i="26"/>
  <c r="Y8" i="26" s="1"/>
  <c r="J8" i="27"/>
  <c r="Y8" i="27" s="1"/>
  <c r="J8" i="28"/>
  <c r="Y8" i="28" s="1"/>
  <c r="J8" i="29"/>
  <c r="J8" i="30"/>
  <c r="J8" i="1"/>
  <c r="Y8" i="1" s="1"/>
  <c r="AA17" i="16" l="1"/>
  <c r="Y8" i="11"/>
  <c r="J19" i="11"/>
  <c r="AA17" i="7"/>
  <c r="Y9" i="9"/>
  <c r="AA9" i="9" s="1"/>
  <c r="J19" i="9"/>
  <c r="AA12" i="14"/>
  <c r="AA12" i="4"/>
  <c r="Z8" i="22"/>
  <c r="V19" i="22"/>
  <c r="Y9" i="22"/>
  <c r="J19" i="22"/>
  <c r="AA12" i="16"/>
  <c r="Y10" i="8"/>
  <c r="J19" i="8"/>
  <c r="AA17" i="18"/>
  <c r="AA17" i="25"/>
  <c r="AA17" i="21"/>
  <c r="Y9" i="7"/>
  <c r="AA9" i="7" s="1"/>
  <c r="J19" i="7"/>
  <c r="AA17" i="8"/>
  <c r="AA17" i="4"/>
  <c r="Y9" i="3"/>
  <c r="AA9" i="3" s="1"/>
  <c r="J19" i="3"/>
  <c r="AA17" i="24"/>
  <c r="AA17" i="5"/>
  <c r="AA17" i="11"/>
  <c r="AA17" i="3"/>
  <c r="AA17" i="6"/>
  <c r="AA12" i="3"/>
  <c r="AA17" i="22"/>
  <c r="AA12" i="9"/>
  <c r="AA12" i="2"/>
  <c r="Z18" i="23"/>
  <c r="Z19" i="23" s="1"/>
  <c r="J18" i="1"/>
  <c r="J19" i="1" s="1"/>
  <c r="AA12" i="1"/>
  <c r="AA12" i="26"/>
  <c r="AA12" i="23"/>
  <c r="AA11" i="26"/>
  <c r="Z18" i="16"/>
  <c r="Z19" i="16" s="1"/>
  <c r="Z18" i="26"/>
  <c r="Z19" i="26" s="1"/>
  <c r="Z18" i="9"/>
  <c r="Z19" i="9" s="1"/>
  <c r="Z18" i="14"/>
  <c r="Z19" i="14" s="1"/>
  <c r="AA11" i="16"/>
  <c r="AA11" i="14"/>
  <c r="AA11" i="9"/>
  <c r="AA11" i="4"/>
  <c r="AA8" i="15"/>
  <c r="AA10" i="26"/>
  <c r="AA10" i="23"/>
  <c r="AA10" i="16"/>
  <c r="AA10" i="15"/>
  <c r="AA10" i="9"/>
  <c r="AA10" i="8"/>
  <c r="AA10" i="3"/>
  <c r="AA10" i="2"/>
  <c r="AA10" i="14"/>
  <c r="AA11" i="23"/>
  <c r="AA11" i="18"/>
  <c r="AA11" i="10"/>
  <c r="AA11" i="5"/>
  <c r="AA11" i="3"/>
  <c r="AA9" i="26"/>
  <c r="AA9" i="16"/>
  <c r="AA9" i="14"/>
  <c r="AA9" i="12"/>
  <c r="AA9" i="4"/>
  <c r="AA9" i="2"/>
  <c r="Z18" i="2"/>
  <c r="Z19" i="2" s="1"/>
  <c r="AA8" i="2"/>
  <c r="Y18" i="16"/>
  <c r="Y19" i="16" s="1"/>
  <c r="AA8" i="16"/>
  <c r="Y18" i="26"/>
  <c r="Y19" i="26" s="1"/>
  <c r="Y18" i="9"/>
  <c r="Y19" i="9" s="1"/>
  <c r="AA8" i="9"/>
  <c r="Y18" i="1"/>
  <c r="Y19" i="1" s="1"/>
  <c r="AA8" i="23"/>
  <c r="Y18" i="14"/>
  <c r="Y19" i="14" s="1"/>
  <c r="AA12" i="18"/>
  <c r="AA12" i="17"/>
  <c r="Y8" i="30"/>
  <c r="AA8" i="30" s="1"/>
  <c r="J23" i="30"/>
  <c r="AA8" i="8"/>
  <c r="AA11" i="1"/>
  <c r="AA8" i="14"/>
  <c r="AA9" i="1"/>
  <c r="Y8" i="29"/>
  <c r="Y21" i="29" s="1"/>
  <c r="Y22" i="29" s="1"/>
  <c r="J22" i="29"/>
  <c r="AA8" i="1"/>
  <c r="AA8" i="3"/>
  <c r="AA10" i="1"/>
  <c r="C19" i="1"/>
  <c r="AA8" i="26"/>
  <c r="AA11" i="30"/>
  <c r="AA9" i="30"/>
  <c r="AA10" i="30"/>
  <c r="Z22" i="30"/>
  <c r="Z23" i="30" s="1"/>
  <c r="AA12" i="30"/>
  <c r="AA17" i="28"/>
  <c r="AA20" i="29"/>
  <c r="AA11" i="29"/>
  <c r="AA10" i="29"/>
  <c r="Z21" i="29"/>
  <c r="Z22" i="29" s="1"/>
  <c r="AA9" i="29"/>
  <c r="AA12" i="29"/>
  <c r="Y9" i="28"/>
  <c r="AA9" i="28" s="1"/>
  <c r="J22" i="28"/>
  <c r="Z21" i="28"/>
  <c r="Z22" i="28" s="1"/>
  <c r="AA8" i="28"/>
  <c r="AA11" i="28"/>
  <c r="AA12" i="28"/>
  <c r="AA10" i="28"/>
  <c r="AA9" i="25"/>
  <c r="AA11" i="25"/>
  <c r="AA11" i="27"/>
  <c r="Z21" i="27"/>
  <c r="Z22" i="27" s="1"/>
  <c r="AA10" i="27"/>
  <c r="AA9" i="27"/>
  <c r="AA12" i="27"/>
  <c r="AA8" i="27"/>
  <c r="Y21" i="27"/>
  <c r="Y22" i="27" s="1"/>
  <c r="AA12" i="25"/>
  <c r="Z18" i="25"/>
  <c r="Z19" i="25" s="1"/>
  <c r="AA10" i="25"/>
  <c r="AA10" i="24"/>
  <c r="AA9" i="24"/>
  <c r="AA11" i="24"/>
  <c r="Z18" i="24"/>
  <c r="Z19" i="24" s="1"/>
  <c r="AA12" i="24"/>
  <c r="Y18" i="25"/>
  <c r="Y19" i="25" s="1"/>
  <c r="AA8" i="25"/>
  <c r="AA8" i="24"/>
  <c r="Y18" i="24"/>
  <c r="Y19" i="24" s="1"/>
  <c r="AA10" i="22"/>
  <c r="AA8" i="22"/>
  <c r="AA11" i="22"/>
  <c r="Z18" i="22"/>
  <c r="Z19" i="22" s="1"/>
  <c r="AA9" i="22"/>
  <c r="AA8" i="21"/>
  <c r="AA9" i="21"/>
  <c r="AA10" i="21"/>
  <c r="Z18" i="21"/>
  <c r="Z19" i="21" s="1"/>
  <c r="AA12" i="20"/>
  <c r="AA10" i="20"/>
  <c r="AA9" i="20"/>
  <c r="AA11" i="21"/>
  <c r="AA11" i="19"/>
  <c r="AA10" i="19"/>
  <c r="Z18" i="19"/>
  <c r="Z19" i="19" s="1"/>
  <c r="AA9" i="19"/>
  <c r="AA11" i="20"/>
  <c r="Y19" i="20"/>
  <c r="Y20" i="20" s="1"/>
  <c r="AA17" i="20"/>
  <c r="Z19" i="20"/>
  <c r="Z20" i="20" s="1"/>
  <c r="AA8" i="20"/>
  <c r="AA9" i="18"/>
  <c r="Z18" i="18"/>
  <c r="Z19" i="18" s="1"/>
  <c r="AA8" i="18"/>
  <c r="Y18" i="19"/>
  <c r="Y19" i="19" s="1"/>
  <c r="AA8" i="19"/>
  <c r="AA8" i="17"/>
  <c r="AA11" i="17"/>
  <c r="Z18" i="17"/>
  <c r="Z19" i="17" s="1"/>
  <c r="AA9" i="17"/>
  <c r="AA10" i="17"/>
  <c r="Y18" i="18"/>
  <c r="Y19" i="18" s="1"/>
  <c r="AA10" i="18"/>
  <c r="Y18" i="17"/>
  <c r="Y19" i="17" s="1"/>
  <c r="AA17" i="17"/>
  <c r="AA11" i="15"/>
  <c r="Z18" i="15"/>
  <c r="Z19" i="15" s="1"/>
  <c r="AA9" i="15"/>
  <c r="Y18" i="15"/>
  <c r="Y19" i="15" s="1"/>
  <c r="AA12" i="15"/>
  <c r="AA12" i="13"/>
  <c r="AA11" i="13"/>
  <c r="AA9" i="13"/>
  <c r="AA10" i="13"/>
  <c r="Z18" i="13"/>
  <c r="Z19" i="13" s="1"/>
  <c r="AA8" i="13"/>
  <c r="AA12" i="12"/>
  <c r="AA10" i="12"/>
  <c r="AA8" i="12"/>
  <c r="Y18" i="13"/>
  <c r="Y19" i="13" s="1"/>
  <c r="AA17" i="13"/>
  <c r="Z18" i="12"/>
  <c r="Z19" i="12" s="1"/>
  <c r="AA11" i="12"/>
  <c r="AA17" i="12"/>
  <c r="AA12" i="11"/>
  <c r="AA9" i="11"/>
  <c r="Y18" i="12"/>
  <c r="Y19" i="12" s="1"/>
  <c r="AA11" i="11"/>
  <c r="Z18" i="11"/>
  <c r="Z19" i="11" s="1"/>
  <c r="AA10" i="11"/>
  <c r="AA12" i="10"/>
  <c r="AA9" i="10"/>
  <c r="Z18" i="10"/>
  <c r="Z19" i="10" s="1"/>
  <c r="AA8" i="10"/>
  <c r="Y18" i="11"/>
  <c r="Y19" i="11" s="1"/>
  <c r="AA8" i="11"/>
  <c r="AA12" i="7"/>
  <c r="AA12" i="8"/>
  <c r="Z18" i="8"/>
  <c r="Z19" i="8" s="1"/>
  <c r="AA11" i="8"/>
  <c r="AA10" i="10"/>
  <c r="Y18" i="10"/>
  <c r="Y19" i="10" s="1"/>
  <c r="AA11" i="7"/>
  <c r="Z18" i="7"/>
  <c r="Z19" i="7" s="1"/>
  <c r="AA10" i="7"/>
  <c r="AA8" i="7"/>
  <c r="Y18" i="8"/>
  <c r="Y19" i="8" s="1"/>
  <c r="AA9" i="8"/>
  <c r="AA12" i="6"/>
  <c r="AA11" i="6"/>
  <c r="AA8" i="6"/>
  <c r="Z18" i="6"/>
  <c r="Z19" i="6" s="1"/>
  <c r="AA10" i="6"/>
  <c r="AA8" i="5"/>
  <c r="AA9" i="5"/>
  <c r="AA12" i="5"/>
  <c r="Y18" i="6"/>
  <c r="Y19" i="6" s="1"/>
  <c r="AA9" i="6"/>
  <c r="Z18" i="4"/>
  <c r="Z19" i="4" s="1"/>
  <c r="AA8" i="4"/>
  <c r="Y18" i="5"/>
  <c r="Y19" i="5" s="1"/>
  <c r="Y18" i="4"/>
  <c r="Y19" i="4" s="1"/>
  <c r="AA10" i="4"/>
  <c r="Z18" i="3"/>
  <c r="Z19" i="3" s="1"/>
  <c r="Y18" i="2"/>
  <c r="Y19" i="2" s="1"/>
  <c r="AA11" i="2"/>
  <c r="AA10" i="5"/>
  <c r="Z18" i="5"/>
  <c r="Z19" i="5" s="1"/>
  <c r="Z18" i="1"/>
  <c r="Z19" i="1" s="1"/>
  <c r="J18" i="25"/>
  <c r="J19" i="25" s="1"/>
  <c r="C19" i="25"/>
  <c r="J21" i="29"/>
  <c r="C22" i="29"/>
  <c r="J18" i="17"/>
  <c r="J19" i="17" s="1"/>
  <c r="C19" i="17"/>
  <c r="J18" i="26"/>
  <c r="J19" i="26" s="1"/>
  <c r="F19" i="26"/>
  <c r="F19" i="22"/>
  <c r="J18" i="14"/>
  <c r="J19" i="14" s="1"/>
  <c r="F19" i="14"/>
  <c r="J18" i="6"/>
  <c r="J19" i="6" s="1"/>
  <c r="F19" i="6"/>
  <c r="J21" i="27"/>
  <c r="J22" i="27" s="1"/>
  <c r="J18" i="19"/>
  <c r="J19" i="19" s="1"/>
  <c r="J18" i="15"/>
  <c r="J19" i="15" s="1"/>
  <c r="J18" i="11"/>
  <c r="J18" i="7"/>
  <c r="J18" i="3"/>
  <c r="C22" i="27"/>
  <c r="C19" i="11"/>
  <c r="C19" i="15"/>
  <c r="J21" i="28"/>
  <c r="J18" i="24"/>
  <c r="J19" i="24" s="1"/>
  <c r="J19" i="20"/>
  <c r="J20" i="20" s="1"/>
  <c r="J18" i="16"/>
  <c r="J19" i="16" s="1"/>
  <c r="J18" i="12"/>
  <c r="J19" i="12" s="1"/>
  <c r="J18" i="8"/>
  <c r="J18" i="4"/>
  <c r="J19" i="4" s="1"/>
  <c r="V18" i="26"/>
  <c r="V19" i="26" s="1"/>
  <c r="V18" i="22"/>
  <c r="V18" i="18"/>
  <c r="V19" i="18" s="1"/>
  <c r="V18" i="14"/>
  <c r="V19" i="14" s="1"/>
  <c r="V18" i="10"/>
  <c r="V19" i="10" s="1"/>
  <c r="V18" i="4"/>
  <c r="V19" i="4" s="1"/>
  <c r="V18" i="3"/>
  <c r="V19" i="3" s="1"/>
  <c r="V18" i="2"/>
  <c r="V19" i="2" s="1"/>
  <c r="V18" i="5"/>
  <c r="V19" i="5" s="1"/>
  <c r="V21" i="29"/>
  <c r="V22" i="29" s="1"/>
  <c r="V18" i="25"/>
  <c r="V19" i="25" s="1"/>
  <c r="V18" i="21"/>
  <c r="V19" i="21" s="1"/>
  <c r="V18" i="17"/>
  <c r="V19" i="17" s="1"/>
  <c r="V18" i="13"/>
  <c r="V19" i="13" s="1"/>
  <c r="V18" i="9"/>
  <c r="V19" i="9" s="1"/>
  <c r="V18" i="7"/>
  <c r="V19" i="7" s="1"/>
  <c r="V18" i="6"/>
  <c r="V19" i="6" s="1"/>
  <c r="V18" i="1"/>
  <c r="V19" i="1" s="1"/>
  <c r="V22" i="30"/>
  <c r="V23" i="30" s="1"/>
  <c r="V21" i="27"/>
  <c r="V22" i="27" s="1"/>
  <c r="V18" i="23"/>
  <c r="V19" i="23" s="1"/>
  <c r="V18" i="19"/>
  <c r="V19" i="19" s="1"/>
  <c r="V18" i="15"/>
  <c r="V19" i="15" s="1"/>
  <c r="V18" i="11"/>
  <c r="V19" i="11" s="1"/>
  <c r="O19" i="6"/>
  <c r="O19" i="2"/>
  <c r="O22" i="29"/>
  <c r="V21" i="28"/>
  <c r="V22" i="28" s="1"/>
  <c r="O19" i="25"/>
  <c r="V18" i="24"/>
  <c r="V19" i="24" s="1"/>
  <c r="O19" i="21"/>
  <c r="O19" i="17"/>
  <c r="V18" i="16"/>
  <c r="V19" i="16" s="1"/>
  <c r="V18" i="12"/>
  <c r="V19" i="12" s="1"/>
  <c r="O19" i="9"/>
  <c r="V18" i="8"/>
  <c r="V19" i="8" s="1"/>
  <c r="O19" i="5"/>
  <c r="J22" i="30"/>
  <c r="J18" i="18"/>
  <c r="J19" i="18" s="1"/>
  <c r="J18" i="10"/>
  <c r="J19" i="10" s="1"/>
  <c r="J18" i="2"/>
  <c r="J18" i="13"/>
  <c r="J19" i="13" s="1"/>
  <c r="J18" i="9"/>
  <c r="J18" i="5"/>
  <c r="J19" i="5" s="1"/>
  <c r="Y18" i="3" l="1"/>
  <c r="Y19" i="3" s="1"/>
  <c r="Y21" i="28"/>
  <c r="Y22" i="28" s="1"/>
  <c r="Y18" i="7"/>
  <c r="Y19" i="7" s="1"/>
  <c r="AA8" i="29"/>
  <c r="AA21" i="29" s="1"/>
  <c r="AA22" i="29" s="1"/>
  <c r="AA18" i="11"/>
  <c r="AA19" i="11" s="1"/>
  <c r="AA18" i="26"/>
  <c r="AA19" i="26" s="1"/>
  <c r="AA18" i="16"/>
  <c r="AA19" i="16" s="1"/>
  <c r="AA18" i="3"/>
  <c r="AA19" i="3" s="1"/>
  <c r="AA18" i="9"/>
  <c r="AA19" i="9" s="1"/>
  <c r="AA18" i="2"/>
  <c r="AA19" i="2" s="1"/>
  <c r="AA18" i="1"/>
  <c r="AA19" i="1" s="1"/>
  <c r="AA18" i="14"/>
  <c r="AA19" i="14" s="1"/>
  <c r="Y22" i="30"/>
  <c r="Y23" i="30" s="1"/>
  <c r="AA18" i="13"/>
  <c r="AA19" i="13" s="1"/>
  <c r="AA22" i="30"/>
  <c r="AA23" i="30" s="1"/>
  <c r="AA21" i="28"/>
  <c r="AA22" i="28" s="1"/>
  <c r="AA21" i="27"/>
  <c r="AA22" i="27" s="1"/>
  <c r="AA18" i="25"/>
  <c r="AA19" i="25" s="1"/>
  <c r="AA18" i="24"/>
  <c r="AA19" i="24" s="1"/>
  <c r="AA18" i="19"/>
  <c r="AA19" i="19" s="1"/>
  <c r="AA19" i="20"/>
  <c r="AA20" i="20" s="1"/>
  <c r="AA18" i="18"/>
  <c r="AA19" i="18" s="1"/>
  <c r="AA18" i="17"/>
  <c r="AA19" i="17" s="1"/>
  <c r="AA18" i="15"/>
  <c r="AA19" i="15" s="1"/>
  <c r="AA18" i="12"/>
  <c r="AA19" i="12" s="1"/>
  <c r="AA18" i="10"/>
  <c r="AA19" i="10" s="1"/>
  <c r="AA18" i="8"/>
  <c r="AA19" i="8" s="1"/>
  <c r="AA18" i="7"/>
  <c r="AA19" i="7" s="1"/>
  <c r="AA18" i="6"/>
  <c r="AA19" i="6" s="1"/>
  <c r="AA18" i="5"/>
  <c r="AA19" i="5" s="1"/>
  <c r="AA18" i="4"/>
  <c r="AA19" i="4" s="1"/>
  <c r="T20" i="20"/>
  <c r="S20" i="20"/>
  <c r="R20" i="20"/>
  <c r="U20" i="20"/>
  <c r="P20" i="20"/>
  <c r="V19" i="20"/>
  <c r="V20" i="20" s="1"/>
  <c r="Q20" i="20"/>
  <c r="Y9" i="23"/>
  <c r="AA9" i="23" s="1"/>
  <c r="AA18" i="23" s="1"/>
  <c r="AA19" i="23" s="1"/>
  <c r="C18" i="23"/>
  <c r="C19" i="23" s="1"/>
  <c r="J18" i="23" l="1"/>
  <c r="J19" i="23" s="1"/>
  <c r="Y18" i="23"/>
  <c r="Y19" i="23" s="1"/>
  <c r="Y12" i="22"/>
  <c r="AA12" i="22" s="1"/>
  <c r="AA18" i="22" s="1"/>
  <c r="AA19" i="22" s="1"/>
  <c r="Y18" i="22"/>
  <c r="Y19" i="22" s="1"/>
  <c r="C18" i="22"/>
  <c r="C19" i="22" s="1"/>
  <c r="Y12" i="21"/>
  <c r="AA12" i="21" s="1"/>
  <c r="AA18" i="21" s="1"/>
  <c r="AA19" i="21" s="1"/>
  <c r="Y18" i="21"/>
  <c r="Y19" i="21" s="1"/>
  <c r="D18" i="21"/>
  <c r="J18" i="21" s="1"/>
  <c r="J19" i="21" s="1"/>
  <c r="J18" i="22" l="1"/>
  <c r="D19" i="21"/>
</calcChain>
</file>

<file path=xl/sharedStrings.xml><?xml version="1.0" encoding="utf-8"?>
<sst xmlns="http://schemas.openxmlformats.org/spreadsheetml/2006/main" count="1885" uniqueCount="54">
  <si>
    <t>Booking</t>
  </si>
  <si>
    <t>Execution</t>
  </si>
  <si>
    <t>60gm</t>
  </si>
  <si>
    <t>70 Gmm</t>
  </si>
  <si>
    <t>120Gm</t>
  </si>
  <si>
    <t>Name</t>
  </si>
  <si>
    <t xml:space="preserve">CHK  </t>
  </si>
  <si>
    <t>Meat</t>
  </si>
  <si>
    <t>LEM</t>
  </si>
  <si>
    <t>CHK</t>
  </si>
  <si>
    <t xml:space="preserve">LEM </t>
  </si>
  <si>
    <t>Ctns</t>
  </si>
  <si>
    <t>Shops</t>
  </si>
  <si>
    <t xml:space="preserve">Zeshan </t>
  </si>
  <si>
    <t xml:space="preserve">Salman </t>
  </si>
  <si>
    <t>Umair</t>
  </si>
  <si>
    <t xml:space="preserve">Shakoor </t>
  </si>
  <si>
    <t>Shakoor</t>
  </si>
  <si>
    <t>SKU Wise</t>
  </si>
  <si>
    <t>Diffrence</t>
  </si>
  <si>
    <t xml:space="preserve">Execution </t>
  </si>
  <si>
    <t>Return</t>
  </si>
  <si>
    <t>Jabbar</t>
  </si>
  <si>
    <t>A1</t>
  </si>
  <si>
    <t>A3</t>
  </si>
  <si>
    <t>A4</t>
  </si>
  <si>
    <t>A5</t>
  </si>
  <si>
    <t>A6</t>
  </si>
  <si>
    <t>Furqan</t>
  </si>
  <si>
    <t xml:space="preserve">Jabbar </t>
  </si>
  <si>
    <t>Zeshan</t>
  </si>
  <si>
    <t>Salman Butt</t>
  </si>
  <si>
    <t>Umair Rehman</t>
  </si>
  <si>
    <t>Shakoor (LMT)</t>
  </si>
  <si>
    <t xml:space="preserve">Yasir </t>
  </si>
  <si>
    <t xml:space="preserve">Aqeel </t>
  </si>
  <si>
    <t xml:space="preserve">Qasim </t>
  </si>
  <si>
    <t xml:space="preserve"> </t>
  </si>
  <si>
    <t>Yasir</t>
  </si>
  <si>
    <t>.</t>
  </si>
  <si>
    <t>Leave</t>
  </si>
  <si>
    <t xml:space="preserve">Monday </t>
  </si>
  <si>
    <t>Aqib</t>
  </si>
  <si>
    <t xml:space="preserve">Aqib </t>
  </si>
  <si>
    <t>KasoorSD</t>
  </si>
  <si>
    <t xml:space="preserve">Jalal Sons </t>
  </si>
  <si>
    <t>C102609154</t>
  </si>
  <si>
    <t>C102609155</t>
  </si>
  <si>
    <t>Nabeel SD</t>
  </si>
  <si>
    <t>Nishat</t>
  </si>
  <si>
    <t>Bedian road</t>
  </si>
  <si>
    <t>Nabeel Traders</t>
  </si>
  <si>
    <t>Off</t>
  </si>
  <si>
    <t xml:space="preserve">Nabel Traders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</si>
</sst>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8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돋움"/>
      <family val="3"/>
      <charset val="129"/>
    </font>
    <font>
      <sz val="11"/>
      <color indexed="8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2" fillId="0" borderId="2" xfId="0" applyFont="1" applyBorder="1"/>
    <xf numFmtId="0" fontId="4" fillId="0" borderId="3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4" fillId="0" borderId="0" xfId="0" applyNumberFormat="1" applyFont="1"/>
    <xf numFmtId="0" fontId="0" fillId="0" borderId="6" xfId="0" applyBorder="1"/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7" xfId="0" applyBorder="1"/>
    <xf numFmtId="0" fontId="4" fillId="0" borderId="6" xfId="0" applyFont="1" applyBorder="1" applyAlignment="1">
      <alignment horizontal="center"/>
    </xf>
    <xf numFmtId="0" fontId="6" fillId="0" borderId="8" xfId="0" applyFont="1" applyBorder="1"/>
    <xf numFmtId="0" fontId="4" fillId="0" borderId="9" xfId="0" applyFont="1" applyBorder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0" fillId="0" borderId="10" xfId="0" applyBorder="1"/>
    <xf numFmtId="0" fontId="2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7" xfId="0" applyFont="1" applyBorder="1"/>
    <xf numFmtId="0" fontId="5" fillId="0" borderId="7" xfId="0" applyFont="1" applyBorder="1"/>
    <xf numFmtId="0" fontId="0" fillId="0" borderId="2" xfId="0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2" xfId="0" applyFont="1" applyBorder="1"/>
    <xf numFmtId="0" fontId="11" fillId="0" borderId="3" xfId="0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0" fontId="11" fillId="0" borderId="0" xfId="0" applyFont="1"/>
    <xf numFmtId="0" fontId="11" fillId="0" borderId="5" xfId="0" applyFont="1" applyBorder="1"/>
    <xf numFmtId="0" fontId="11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11" fillId="0" borderId="0" xfId="0" applyNumberFormat="1" applyFont="1"/>
    <xf numFmtId="0" fontId="10" fillId="0" borderId="6" xfId="0" applyFont="1" applyBorder="1"/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0" fillId="0" borderId="7" xfId="0" applyFont="1" applyBorder="1"/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/>
    <xf numFmtId="0" fontId="13" fillId="0" borderId="8" xfId="0" applyFont="1" applyBorder="1"/>
    <xf numFmtId="0" fontId="11" fillId="0" borderId="9" xfId="0" applyFont="1" applyBorder="1" applyAlignment="1">
      <alignment horizontal="center"/>
    </xf>
    <xf numFmtId="0" fontId="13" fillId="4" borderId="9" xfId="0" applyFont="1" applyFill="1" applyBorder="1" applyAlignment="1">
      <alignment horizontal="center" vertical="center"/>
    </xf>
    <xf numFmtId="0" fontId="10" fillId="0" borderId="10" xfId="0" applyFont="1" applyBorder="1"/>
    <xf numFmtId="2" fontId="5" fillId="4" borderId="9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" fillId="0" borderId="0" xfId="0" applyFont="1"/>
    <xf numFmtId="0" fontId="4" fillId="4" borderId="6" xfId="0" applyFont="1" applyFill="1" applyBorder="1" applyAlignment="1">
      <alignment horizontal="center" vertical="center"/>
    </xf>
    <xf numFmtId="0" fontId="0" fillId="4" borderId="6" xfId="0" applyFill="1" applyBorder="1"/>
    <xf numFmtId="0" fontId="0" fillId="5" borderId="6" xfId="0" applyFill="1" applyBorder="1"/>
    <xf numFmtId="16" fontId="16" fillId="0" borderId="0" xfId="0" applyNumberFormat="1" applyFont="1" applyAlignment="1">
      <alignment horizontal="center" vertical="center"/>
    </xf>
    <xf numFmtId="0" fontId="0" fillId="2" borderId="6" xfId="0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horizontal="left"/>
    </xf>
    <xf numFmtId="0" fontId="7" fillId="5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5" fillId="5" borderId="7" xfId="0" applyFont="1" applyFill="1" applyBorder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</cellXfs>
  <cellStyles count="4">
    <cellStyle name="Comma 2 10" xfId="1" xr:uid="{AE1F4535-4203-4FAC-A25F-A3FC5C82F4CA}"/>
    <cellStyle name="Comma 2170" xfId="2" xr:uid="{A3A2CD98-A5C9-4E32-9D03-99DC1324ECE2}"/>
    <cellStyle name="Comma 4" xfId="3" xr:uid="{B2B0F83C-1332-4925-B670-C7673016AE0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7967-E2EB-4CA7-BAB0-3E7FDF23CB2C}">
  <dimension ref="A1:AA19"/>
  <sheetViews>
    <sheetView workbookViewId="0">
      <selection sqref="A1:W20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8.81640625" bestFit="1" customWidth="1"/>
  </cols>
  <sheetData>
    <row r="1" spans="1:27" x14ac:dyDescent="0.35">
      <c r="A1" s="6" t="s">
        <v>23</v>
      </c>
      <c r="B1" s="1"/>
      <c r="C1" s="1"/>
      <c r="D1" s="1"/>
      <c r="E1" s="1"/>
      <c r="F1" s="1"/>
      <c r="G1" s="1"/>
      <c r="H1" s="1"/>
      <c r="I1" s="1"/>
      <c r="L1" s="86">
        <v>46032</v>
      </c>
      <c r="M1" s="87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L2" s="87"/>
      <c r="M2" s="87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2" t="s">
        <v>19</v>
      </c>
      <c r="Z3" s="82"/>
      <c r="AA3" s="82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2"/>
      <c r="Z4" s="82"/>
      <c r="AA4" s="82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10</v>
      </c>
      <c r="E8" s="11">
        <v>10</v>
      </c>
      <c r="F8" s="11">
        <v>100</v>
      </c>
      <c r="G8" s="11">
        <v>50</v>
      </c>
      <c r="H8" s="11">
        <v>0</v>
      </c>
      <c r="I8" s="11">
        <v>170</v>
      </c>
      <c r="J8" s="15">
        <f>SUM(C8:I8)/40</f>
        <v>8.5</v>
      </c>
      <c r="K8" s="12">
        <v>9</v>
      </c>
      <c r="L8" s="13"/>
      <c r="M8" s="14"/>
      <c r="N8" s="7" t="s">
        <v>13</v>
      </c>
      <c r="O8" s="11"/>
      <c r="P8" s="11">
        <v>0</v>
      </c>
      <c r="Q8" s="11">
        <v>0</v>
      </c>
      <c r="R8" s="11">
        <v>80</v>
      </c>
      <c r="S8" s="11">
        <v>50</v>
      </c>
      <c r="T8" s="11">
        <v>0</v>
      </c>
      <c r="U8" s="11">
        <v>170</v>
      </c>
      <c r="V8" s="15">
        <f>SUM(O8:U8)/40</f>
        <v>7.5</v>
      </c>
      <c r="W8" s="12">
        <v>8</v>
      </c>
      <c r="Y8" s="36">
        <f>J8</f>
        <v>8.5</v>
      </c>
      <c r="Z8" s="37">
        <f>V8</f>
        <v>7.5</v>
      </c>
      <c r="AA8" s="38">
        <f>Y8-Z8</f>
        <v>1</v>
      </c>
    </row>
    <row r="9" spans="1:27" x14ac:dyDescent="0.35">
      <c r="A9" s="14"/>
      <c r="B9" s="7" t="s">
        <v>14</v>
      </c>
      <c r="C9" s="11"/>
      <c r="D9" s="11">
        <v>0</v>
      </c>
      <c r="E9" s="11">
        <v>0</v>
      </c>
      <c r="F9" s="11">
        <v>0</v>
      </c>
      <c r="G9" s="11">
        <v>110</v>
      </c>
      <c r="H9" s="11">
        <v>100</v>
      </c>
      <c r="I9" s="11">
        <v>70</v>
      </c>
      <c r="J9" s="15">
        <f t="shared" ref="J9:J16" si="0">SUM(C9:I9)/40</f>
        <v>7</v>
      </c>
      <c r="K9" s="12">
        <v>3</v>
      </c>
      <c r="L9" s="13"/>
      <c r="M9" s="14"/>
      <c r="N9" s="7" t="s">
        <v>14</v>
      </c>
      <c r="O9" s="11"/>
      <c r="P9" s="11">
        <v>0</v>
      </c>
      <c r="Q9" s="11">
        <v>0</v>
      </c>
      <c r="R9" s="11">
        <v>0</v>
      </c>
      <c r="S9" s="11">
        <v>95</v>
      </c>
      <c r="T9" s="11">
        <v>90</v>
      </c>
      <c r="U9" s="11">
        <v>55</v>
      </c>
      <c r="V9" s="15">
        <f t="shared" ref="V9:V16" si="1">SUM(O9:U9)/40</f>
        <v>6</v>
      </c>
      <c r="W9" s="12">
        <v>2</v>
      </c>
      <c r="Y9" s="36">
        <f t="shared" ref="Y9:Y17" si="2">J9</f>
        <v>7</v>
      </c>
      <c r="Z9" s="37">
        <f t="shared" ref="Z9:Z17" si="3">V9</f>
        <v>6</v>
      </c>
      <c r="AA9" s="38">
        <f t="shared" ref="AA9:AA17" si="4">Y9-Z9</f>
        <v>1</v>
      </c>
    </row>
    <row r="10" spans="1:27" x14ac:dyDescent="0.35">
      <c r="A10" s="14"/>
      <c r="B10" s="7" t="s">
        <v>15</v>
      </c>
      <c r="C10" s="11"/>
      <c r="D10" s="11">
        <v>19</v>
      </c>
      <c r="E10" s="11">
        <v>16</v>
      </c>
      <c r="F10" s="11">
        <v>17</v>
      </c>
      <c r="G10" s="11">
        <v>41</v>
      </c>
      <c r="H10" s="11">
        <v>34</v>
      </c>
      <c r="I10" s="11">
        <v>59</v>
      </c>
      <c r="J10" s="15">
        <f t="shared" si="0"/>
        <v>4.6500000000000004</v>
      </c>
      <c r="K10" s="12">
        <v>7</v>
      </c>
      <c r="L10" s="13"/>
      <c r="M10" s="14"/>
      <c r="N10" s="7" t="s">
        <v>15</v>
      </c>
      <c r="O10" s="11"/>
      <c r="P10" s="11">
        <v>19</v>
      </c>
      <c r="Q10" s="11">
        <v>16</v>
      </c>
      <c r="R10" s="11">
        <v>17</v>
      </c>
      <c r="S10" s="11">
        <v>41</v>
      </c>
      <c r="T10" s="11">
        <v>34</v>
      </c>
      <c r="U10" s="11">
        <v>59</v>
      </c>
      <c r="V10" s="15">
        <f t="shared" si="1"/>
        <v>4.6500000000000004</v>
      </c>
      <c r="W10" s="12">
        <v>7</v>
      </c>
      <c r="Y10" s="36">
        <f t="shared" si="2"/>
        <v>4.6500000000000004</v>
      </c>
      <c r="Z10" s="37">
        <f t="shared" si="3"/>
        <v>4.6500000000000004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0</v>
      </c>
      <c r="E11" s="11">
        <v>0</v>
      </c>
      <c r="F11" s="11">
        <v>0</v>
      </c>
      <c r="G11" s="11">
        <v>12</v>
      </c>
      <c r="H11" s="11">
        <v>92</v>
      </c>
      <c r="I11" s="11">
        <v>92</v>
      </c>
      <c r="J11" s="15">
        <f t="shared" si="0"/>
        <v>4.9000000000000004</v>
      </c>
      <c r="K11" s="12">
        <v>3</v>
      </c>
      <c r="L11" s="13"/>
      <c r="M11" s="16"/>
      <c r="N11" s="17" t="s">
        <v>29</v>
      </c>
      <c r="O11" s="11"/>
      <c r="P11" s="11">
        <v>0</v>
      </c>
      <c r="Q11" s="11">
        <v>0</v>
      </c>
      <c r="R11" s="11">
        <v>0</v>
      </c>
      <c r="S11" s="11">
        <v>12</v>
      </c>
      <c r="T11" s="11">
        <v>92</v>
      </c>
      <c r="U11" s="11">
        <v>92</v>
      </c>
      <c r="V11" s="15">
        <f t="shared" si="1"/>
        <v>4.9000000000000004</v>
      </c>
      <c r="W11" s="12">
        <v>3</v>
      </c>
      <c r="Y11" s="36">
        <f t="shared" si="2"/>
        <v>4.9000000000000004</v>
      </c>
      <c r="Z11" s="37">
        <f t="shared" si="3"/>
        <v>4.9000000000000004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>
        <v>9</v>
      </c>
      <c r="E12" s="11">
        <v>9</v>
      </c>
      <c r="F12" s="11">
        <v>9</v>
      </c>
      <c r="G12" s="11">
        <v>50</v>
      </c>
      <c r="H12" s="11">
        <v>0</v>
      </c>
      <c r="I12" s="11">
        <v>10</v>
      </c>
      <c r="J12" s="15">
        <f t="shared" si="0"/>
        <v>2.1749999999999998</v>
      </c>
      <c r="K12" s="12">
        <v>4</v>
      </c>
      <c r="L12" s="13"/>
      <c r="M12" s="16"/>
      <c r="N12" s="17" t="s">
        <v>28</v>
      </c>
      <c r="O12" s="11"/>
      <c r="P12" s="11">
        <v>9</v>
      </c>
      <c r="Q12" s="11">
        <v>9</v>
      </c>
      <c r="R12" s="11">
        <v>9</v>
      </c>
      <c r="S12" s="11">
        <v>50</v>
      </c>
      <c r="T12" s="11">
        <v>0</v>
      </c>
      <c r="U12" s="11">
        <v>10</v>
      </c>
      <c r="V12" s="15">
        <f t="shared" si="1"/>
        <v>2.1749999999999998</v>
      </c>
      <c r="W12" s="12">
        <v>4</v>
      </c>
      <c r="Y12" s="36">
        <f t="shared" si="2"/>
        <v>2.1749999999999998</v>
      </c>
      <c r="Z12" s="37">
        <f t="shared" si="3"/>
        <v>2.1749999999999998</v>
      </c>
      <c r="AA12" s="38">
        <f t="shared" si="4"/>
        <v>0</v>
      </c>
    </row>
    <row r="13" spans="1:27" x14ac:dyDescent="0.35">
      <c r="A13" s="16"/>
      <c r="B13" s="17" t="s">
        <v>16</v>
      </c>
      <c r="C13" s="11"/>
      <c r="D13" s="11">
        <v>730</v>
      </c>
      <c r="E13" s="11">
        <v>640</v>
      </c>
      <c r="F13" s="11">
        <v>800</v>
      </c>
      <c r="G13" s="11">
        <v>510</v>
      </c>
      <c r="H13" s="11">
        <v>380</v>
      </c>
      <c r="I13" s="11">
        <v>400</v>
      </c>
      <c r="J13" s="15">
        <f t="shared" si="0"/>
        <v>86.5</v>
      </c>
      <c r="K13" s="12">
        <v>1</v>
      </c>
      <c r="L13" s="13"/>
      <c r="M13" s="16"/>
      <c r="N13" s="17" t="s">
        <v>16</v>
      </c>
      <c r="O13" s="11"/>
      <c r="P13" s="11">
        <v>465</v>
      </c>
      <c r="Q13" s="11">
        <v>395</v>
      </c>
      <c r="R13" s="11">
        <v>460</v>
      </c>
      <c r="S13" s="11">
        <v>295</v>
      </c>
      <c r="T13" s="11">
        <v>195</v>
      </c>
      <c r="U13" s="11">
        <v>220</v>
      </c>
      <c r="V13" s="15">
        <f t="shared" si="1"/>
        <v>50.75</v>
      </c>
      <c r="W13" s="12">
        <v>1</v>
      </c>
      <c r="Y13" s="36"/>
      <c r="Z13" s="37"/>
      <c r="AA13" s="38"/>
    </row>
    <row r="14" spans="1:27" x14ac:dyDescent="0.35">
      <c r="A14" s="16"/>
      <c r="B14" s="17" t="s">
        <v>35</v>
      </c>
      <c r="C14" s="11"/>
      <c r="D14" s="11"/>
      <c r="E14" s="11"/>
      <c r="F14" s="11"/>
      <c r="G14" s="11"/>
      <c r="H14" s="11"/>
      <c r="I14" s="11"/>
      <c r="J14" s="15">
        <v>0</v>
      </c>
      <c r="K14" s="12"/>
      <c r="L14" s="13"/>
      <c r="M14" s="16"/>
      <c r="N14" s="17" t="s">
        <v>35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36</v>
      </c>
      <c r="C15" s="11"/>
      <c r="D15" s="11"/>
      <c r="E15" s="11"/>
      <c r="F15" s="11"/>
      <c r="G15" s="11"/>
      <c r="H15" s="11"/>
      <c r="I15" s="11"/>
      <c r="J15" s="15">
        <v>0</v>
      </c>
      <c r="K15" s="12"/>
      <c r="L15" s="13"/>
      <c r="M15" s="16"/>
      <c r="N15" s="17" t="s">
        <v>36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4">
        <f t="shared" ref="C18:I18" si="5">SUM(C8:C17)</f>
        <v>0</v>
      </c>
      <c r="D18" s="24">
        <f t="shared" si="5"/>
        <v>768</v>
      </c>
      <c r="E18" s="24">
        <f t="shared" si="5"/>
        <v>675</v>
      </c>
      <c r="F18" s="24">
        <f t="shared" si="5"/>
        <v>926</v>
      </c>
      <c r="G18" s="24">
        <f t="shared" si="5"/>
        <v>773</v>
      </c>
      <c r="H18" s="24">
        <f t="shared" si="5"/>
        <v>606</v>
      </c>
      <c r="I18" s="24">
        <f t="shared" si="5"/>
        <v>801</v>
      </c>
      <c r="J18" s="19">
        <f>SUM(C18:I18)</f>
        <v>4549</v>
      </c>
      <c r="K18" s="27"/>
      <c r="M18" s="1"/>
      <c r="N18" s="7"/>
      <c r="O18" s="24">
        <f t="shared" ref="O18:U18" si="6">SUM(O8:O17)</f>
        <v>0</v>
      </c>
      <c r="P18" s="24">
        <f t="shared" si="6"/>
        <v>493</v>
      </c>
      <c r="Q18" s="24">
        <f t="shared" si="6"/>
        <v>420</v>
      </c>
      <c r="R18" s="24">
        <f t="shared" si="6"/>
        <v>566</v>
      </c>
      <c r="S18" s="24">
        <f t="shared" si="6"/>
        <v>543</v>
      </c>
      <c r="T18" s="24">
        <f t="shared" si="6"/>
        <v>411</v>
      </c>
      <c r="U18" s="24">
        <f t="shared" si="6"/>
        <v>606</v>
      </c>
      <c r="V18" s="19">
        <f>SUM(O18:U18)</f>
        <v>3039</v>
      </c>
      <c r="W18" s="27"/>
      <c r="Y18" s="31">
        <f>SUM(Y8:Y17)</f>
        <v>27.224999999999998</v>
      </c>
      <c r="Z18" s="32">
        <f>SUM(Z8:Z17)</f>
        <v>25.224999999999998</v>
      </c>
      <c r="AA18" s="42">
        <f>SUM(AA8:AA17)</f>
        <v>2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19.2</v>
      </c>
      <c r="E19" s="21">
        <f t="shared" si="7"/>
        <v>16.875</v>
      </c>
      <c r="F19" s="21">
        <f t="shared" si="7"/>
        <v>23.15</v>
      </c>
      <c r="G19" s="21">
        <f t="shared" si="7"/>
        <v>19.324999999999999</v>
      </c>
      <c r="H19" s="21">
        <f t="shared" si="7"/>
        <v>15.15</v>
      </c>
      <c r="I19" s="21">
        <f t="shared" si="7"/>
        <v>20.024999999999999</v>
      </c>
      <c r="J19" s="22">
        <f t="shared" si="7"/>
        <v>113.72499999999999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12.324999999999999</v>
      </c>
      <c r="Q19" s="21">
        <f t="shared" si="8"/>
        <v>10.5</v>
      </c>
      <c r="R19" s="21">
        <f t="shared" si="8"/>
        <v>14.15</v>
      </c>
      <c r="S19" s="21">
        <f t="shared" si="8"/>
        <v>13.574999999999999</v>
      </c>
      <c r="T19" s="21">
        <f t="shared" si="8"/>
        <v>10.275</v>
      </c>
      <c r="U19" s="21">
        <f t="shared" si="8"/>
        <v>15.15</v>
      </c>
      <c r="V19" s="22">
        <f t="shared" si="8"/>
        <v>75.974999999999994</v>
      </c>
      <c r="W19" s="23"/>
      <c r="Y19" s="39">
        <f>Y18/40</f>
        <v>0.68062499999999992</v>
      </c>
      <c r="Z19" s="40">
        <f>Z18/40</f>
        <v>0.63062499999999999</v>
      </c>
      <c r="AA19" s="41">
        <f>AA18/40</f>
        <v>0.05</v>
      </c>
    </row>
  </sheetData>
  <mergeCells count="8">
    <mergeCell ref="Y3:AA4"/>
    <mergeCell ref="B2:J5"/>
    <mergeCell ref="N2:V5"/>
    <mergeCell ref="D6:F6"/>
    <mergeCell ref="G6:I6"/>
    <mergeCell ref="P6:R6"/>
    <mergeCell ref="S6:U6"/>
    <mergeCell ref="L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4D50-A789-4515-ABA1-71936FBC5F42}">
  <dimension ref="A1:AA19"/>
  <sheetViews>
    <sheetView workbookViewId="0">
      <selection activeCell="AC5" sqref="AC5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>
        <v>2</v>
      </c>
      <c r="B1" s="1"/>
      <c r="C1" s="1"/>
      <c r="D1" s="1"/>
      <c r="E1" s="1"/>
      <c r="F1" s="1"/>
      <c r="G1" s="1"/>
      <c r="H1" s="1"/>
      <c r="I1" s="1"/>
      <c r="L1" s="86">
        <v>46063</v>
      </c>
      <c r="M1" s="87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L2" s="87"/>
      <c r="M2" s="87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30</v>
      </c>
      <c r="E8" s="11">
        <v>30</v>
      </c>
      <c r="F8" s="11">
        <v>70</v>
      </c>
      <c r="G8" s="11">
        <v>80</v>
      </c>
      <c r="H8" s="11">
        <v>80</v>
      </c>
      <c r="I8" s="11">
        <v>85</v>
      </c>
      <c r="J8" s="15">
        <f>SUM(C8:I8)/40</f>
        <v>9.375</v>
      </c>
      <c r="K8" s="12">
        <v>6</v>
      </c>
      <c r="L8" s="13"/>
      <c r="M8" s="14"/>
      <c r="N8" s="7" t="s">
        <v>13</v>
      </c>
      <c r="O8" s="11"/>
      <c r="P8" s="11">
        <v>30</v>
      </c>
      <c r="Q8" s="11">
        <v>30</v>
      </c>
      <c r="R8" s="11">
        <v>60</v>
      </c>
      <c r="S8" s="11">
        <v>80</v>
      </c>
      <c r="T8" s="11">
        <v>80</v>
      </c>
      <c r="U8" s="11">
        <v>80</v>
      </c>
      <c r="V8" s="15">
        <f>SUM(O8:U8)/40</f>
        <v>9</v>
      </c>
      <c r="W8" s="12">
        <v>5</v>
      </c>
      <c r="Y8" s="36">
        <f>J8</f>
        <v>9.375</v>
      </c>
      <c r="Z8" s="37">
        <f>V8</f>
        <v>9</v>
      </c>
      <c r="AA8" s="38">
        <f>Y8-Z8</f>
        <v>0.375</v>
      </c>
    </row>
    <row r="9" spans="1:27" x14ac:dyDescent="0.35">
      <c r="A9" s="14"/>
      <c r="B9" s="7" t="s">
        <v>14</v>
      </c>
      <c r="C9" s="11"/>
      <c r="D9" s="11">
        <v>55</v>
      </c>
      <c r="E9" s="11">
        <v>90</v>
      </c>
      <c r="F9" s="11">
        <v>95</v>
      </c>
      <c r="G9" s="11">
        <v>70</v>
      </c>
      <c r="H9" s="11">
        <v>60</v>
      </c>
      <c r="I9" s="11">
        <v>70</v>
      </c>
      <c r="J9" s="15">
        <f t="shared" ref="J9:J16" si="0">SUM(C9:I9)/40</f>
        <v>11</v>
      </c>
      <c r="K9" s="12">
        <v>5</v>
      </c>
      <c r="L9" s="13"/>
      <c r="M9" s="14"/>
      <c r="N9" s="7" t="s">
        <v>14</v>
      </c>
      <c r="O9" s="11"/>
      <c r="P9" s="11">
        <v>53</v>
      </c>
      <c r="Q9" s="11">
        <v>90</v>
      </c>
      <c r="R9" s="11">
        <v>95</v>
      </c>
      <c r="S9" s="11">
        <v>55</v>
      </c>
      <c r="T9" s="11">
        <v>48</v>
      </c>
      <c r="U9" s="11">
        <v>55</v>
      </c>
      <c r="V9" s="15">
        <f t="shared" ref="V9:V16" si="1">SUM(O9:U9)/40</f>
        <v>9.9</v>
      </c>
      <c r="W9" s="12">
        <v>4</v>
      </c>
      <c r="Y9" s="36">
        <f t="shared" ref="Y9:Y17" si="2">J9</f>
        <v>11</v>
      </c>
      <c r="Z9" s="37">
        <f t="shared" ref="Z9:Z17" si="3">V9</f>
        <v>9.9</v>
      </c>
      <c r="AA9" s="38">
        <f t="shared" ref="AA9:AA17" si="4">Y9-Z9</f>
        <v>1.0999999999999996</v>
      </c>
    </row>
    <row r="10" spans="1:27" x14ac:dyDescent="0.35">
      <c r="A10" s="14"/>
      <c r="B10" s="7" t="s">
        <v>15</v>
      </c>
      <c r="C10" s="11"/>
      <c r="D10" s="11">
        <v>0</v>
      </c>
      <c r="E10" s="11">
        <v>0</v>
      </c>
      <c r="F10" s="11">
        <v>0</v>
      </c>
      <c r="G10" s="11">
        <v>140</v>
      </c>
      <c r="H10" s="11">
        <v>80</v>
      </c>
      <c r="I10" s="11">
        <v>40</v>
      </c>
      <c r="J10" s="15">
        <f t="shared" si="0"/>
        <v>6.5</v>
      </c>
      <c r="K10" s="12">
        <v>5</v>
      </c>
      <c r="L10" s="13"/>
      <c r="M10" s="14"/>
      <c r="N10" s="7" t="s">
        <v>15</v>
      </c>
      <c r="O10" s="11"/>
      <c r="P10" s="11">
        <v>0</v>
      </c>
      <c r="Q10" s="11">
        <v>0</v>
      </c>
      <c r="R10" s="11">
        <v>0</v>
      </c>
      <c r="S10" s="11">
        <v>140</v>
      </c>
      <c r="T10" s="11">
        <v>80</v>
      </c>
      <c r="U10" s="11">
        <v>40</v>
      </c>
      <c r="V10" s="15">
        <f t="shared" si="1"/>
        <v>6.5</v>
      </c>
      <c r="W10" s="12">
        <v>5</v>
      </c>
      <c r="Y10" s="36">
        <f t="shared" si="2"/>
        <v>6.5</v>
      </c>
      <c r="Z10" s="37">
        <f t="shared" si="3"/>
        <v>6.5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55</v>
      </c>
      <c r="E11" s="11">
        <v>10</v>
      </c>
      <c r="F11" s="11">
        <v>55</v>
      </c>
      <c r="G11" s="11">
        <v>50</v>
      </c>
      <c r="H11" s="11">
        <v>20</v>
      </c>
      <c r="I11" s="11">
        <v>62</v>
      </c>
      <c r="J11" s="15">
        <f t="shared" si="0"/>
        <v>6.3</v>
      </c>
      <c r="K11" s="12">
        <v>4</v>
      </c>
      <c r="L11" s="13"/>
      <c r="M11" s="16"/>
      <c r="N11" s="17" t="s">
        <v>29</v>
      </c>
      <c r="O11" s="11"/>
      <c r="P11" s="11">
        <v>55</v>
      </c>
      <c r="Q11" s="11">
        <v>10</v>
      </c>
      <c r="R11" s="11">
        <v>55</v>
      </c>
      <c r="S11" s="11">
        <v>50</v>
      </c>
      <c r="T11" s="11">
        <v>20</v>
      </c>
      <c r="U11" s="11">
        <v>62</v>
      </c>
      <c r="V11" s="15">
        <f t="shared" si="1"/>
        <v>6.3</v>
      </c>
      <c r="W11" s="12">
        <v>4</v>
      </c>
      <c r="Y11" s="36">
        <f t="shared" si="2"/>
        <v>6.3</v>
      </c>
      <c r="Z11" s="37">
        <f t="shared" si="3"/>
        <v>6.3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>
        <v>0</v>
      </c>
      <c r="E12" s="11">
        <v>38</v>
      </c>
      <c r="F12" s="11">
        <v>41</v>
      </c>
      <c r="G12" s="11">
        <v>47</v>
      </c>
      <c r="H12" s="11">
        <v>35</v>
      </c>
      <c r="I12" s="11">
        <v>70</v>
      </c>
      <c r="J12" s="15">
        <f t="shared" si="0"/>
        <v>5.7750000000000004</v>
      </c>
      <c r="K12" s="12">
        <v>6</v>
      </c>
      <c r="L12" s="13"/>
      <c r="M12" s="16"/>
      <c r="N12" s="17" t="s">
        <v>28</v>
      </c>
      <c r="O12" s="11"/>
      <c r="P12" s="11">
        <v>0</v>
      </c>
      <c r="Q12" s="11">
        <v>32</v>
      </c>
      <c r="R12" s="11">
        <v>35</v>
      </c>
      <c r="S12" s="11">
        <v>47</v>
      </c>
      <c r="T12" s="11">
        <v>35</v>
      </c>
      <c r="U12" s="11">
        <v>70</v>
      </c>
      <c r="V12" s="15">
        <f t="shared" si="1"/>
        <v>5.4749999999999996</v>
      </c>
      <c r="W12" s="12">
        <v>5</v>
      </c>
      <c r="Y12" s="36">
        <f t="shared" si="2"/>
        <v>5.7750000000000004</v>
      </c>
      <c r="Z12" s="37">
        <f t="shared" si="3"/>
        <v>5.4749999999999996</v>
      </c>
      <c r="AA12" s="38">
        <f t="shared" si="4"/>
        <v>0.30000000000000071</v>
      </c>
    </row>
    <row r="13" spans="1:27" x14ac:dyDescent="0.35">
      <c r="A13" s="16"/>
      <c r="B13" s="17" t="s">
        <v>16</v>
      </c>
      <c r="C13" s="11"/>
      <c r="D13" s="11">
        <v>360</v>
      </c>
      <c r="E13" s="11">
        <v>200</v>
      </c>
      <c r="F13" s="11">
        <v>580</v>
      </c>
      <c r="G13" s="11">
        <v>360</v>
      </c>
      <c r="H13" s="11">
        <v>480</v>
      </c>
      <c r="I13" s="11">
        <v>720</v>
      </c>
      <c r="J13" s="15">
        <f t="shared" si="0"/>
        <v>67.5</v>
      </c>
      <c r="K13" s="12">
        <v>11</v>
      </c>
      <c r="L13" s="13"/>
      <c r="M13" s="16"/>
      <c r="N13" s="17" t="s">
        <v>16</v>
      </c>
      <c r="O13" s="11"/>
      <c r="P13" s="11">
        <v>317</v>
      </c>
      <c r="Q13" s="11">
        <v>175</v>
      </c>
      <c r="R13" s="11">
        <v>611</v>
      </c>
      <c r="S13" s="11">
        <v>360</v>
      </c>
      <c r="T13" s="11">
        <v>442</v>
      </c>
      <c r="U13" s="11">
        <v>720</v>
      </c>
      <c r="V13" s="15">
        <f t="shared" si="1"/>
        <v>65.625</v>
      </c>
      <c r="W13" s="12">
        <v>11</v>
      </c>
      <c r="Y13" s="36"/>
      <c r="Z13" s="37"/>
      <c r="AA13" s="38"/>
    </row>
    <row r="14" spans="1:27" x14ac:dyDescent="0.35">
      <c r="A14" s="16"/>
      <c r="B14" s="17" t="s">
        <v>35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35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/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/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500</v>
      </c>
      <c r="E18" s="25">
        <f t="shared" si="5"/>
        <v>368</v>
      </c>
      <c r="F18" s="25">
        <f t="shared" si="5"/>
        <v>841</v>
      </c>
      <c r="G18" s="25">
        <f t="shared" si="5"/>
        <v>747</v>
      </c>
      <c r="H18" s="25">
        <f t="shared" si="5"/>
        <v>755</v>
      </c>
      <c r="I18" s="25">
        <f t="shared" si="5"/>
        <v>1047</v>
      </c>
      <c r="J18" s="26">
        <f>SUM(C18:I18)</f>
        <v>4258</v>
      </c>
      <c r="K18" s="28"/>
      <c r="M18" s="1"/>
      <c r="N18" s="7"/>
      <c r="O18" s="25">
        <f t="shared" ref="O18:U18" si="6">SUM(O8:O17)</f>
        <v>0</v>
      </c>
      <c r="P18" s="25">
        <f t="shared" si="6"/>
        <v>455</v>
      </c>
      <c r="Q18" s="25">
        <f t="shared" si="6"/>
        <v>337</v>
      </c>
      <c r="R18" s="25">
        <f t="shared" si="6"/>
        <v>856</v>
      </c>
      <c r="S18" s="25">
        <f t="shared" si="6"/>
        <v>732</v>
      </c>
      <c r="T18" s="25">
        <f t="shared" si="6"/>
        <v>705</v>
      </c>
      <c r="U18" s="25">
        <f t="shared" si="6"/>
        <v>1027</v>
      </c>
      <c r="V18" s="26">
        <f>SUM(O18:U18)</f>
        <v>4112</v>
      </c>
      <c r="W18" s="28"/>
      <c r="Y18" s="33">
        <f>SUM(Y8:Y17)</f>
        <v>38.949999999999996</v>
      </c>
      <c r="Z18" s="34">
        <f>SUM(Z8:Z17)</f>
        <v>37.174999999999997</v>
      </c>
      <c r="AA18" s="35">
        <f>SUM(AA8:AA17)</f>
        <v>1.7750000000000004</v>
      </c>
    </row>
    <row r="19" spans="1:27" ht="15" thickBot="1" x14ac:dyDescent="0.4">
      <c r="A19" s="1"/>
      <c r="B19" s="20" t="s">
        <v>18</v>
      </c>
      <c r="C19" s="21">
        <f t="shared" ref="C19:I19" si="7">C18/40</f>
        <v>0</v>
      </c>
      <c r="D19" s="21">
        <f t="shared" si="7"/>
        <v>12.5</v>
      </c>
      <c r="E19" s="21">
        <f t="shared" si="7"/>
        <v>9.1999999999999993</v>
      </c>
      <c r="F19" s="21">
        <f t="shared" si="7"/>
        <v>21.024999999999999</v>
      </c>
      <c r="G19" s="21">
        <f t="shared" si="7"/>
        <v>18.675000000000001</v>
      </c>
      <c r="H19" s="21">
        <f t="shared" si="7"/>
        <v>18.875</v>
      </c>
      <c r="I19" s="21">
        <f t="shared" si="7"/>
        <v>26.175000000000001</v>
      </c>
      <c r="J19" s="22">
        <f>SUM(J8:J16)</f>
        <v>106.44999999999999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11.375</v>
      </c>
      <c r="Q19" s="21">
        <f t="shared" si="8"/>
        <v>8.4250000000000007</v>
      </c>
      <c r="R19" s="21">
        <f t="shared" si="8"/>
        <v>21.4</v>
      </c>
      <c r="S19" s="21">
        <f t="shared" si="8"/>
        <v>18.3</v>
      </c>
      <c r="T19" s="21">
        <f t="shared" si="8"/>
        <v>17.625</v>
      </c>
      <c r="U19" s="21">
        <f t="shared" si="8"/>
        <v>25.675000000000001</v>
      </c>
      <c r="V19" s="22">
        <f t="shared" si="8"/>
        <v>102.8</v>
      </c>
      <c r="W19" s="23"/>
      <c r="Y19" s="39">
        <f>Y18/40</f>
        <v>0.97374999999999989</v>
      </c>
      <c r="Z19" s="40">
        <f>Z18/40</f>
        <v>0.92937499999999995</v>
      </c>
      <c r="AA19" s="41">
        <f>AA18/40</f>
        <v>4.4375000000000012E-2</v>
      </c>
    </row>
  </sheetData>
  <mergeCells count="8">
    <mergeCell ref="Y3:AA4"/>
    <mergeCell ref="B2:J5"/>
    <mergeCell ref="N2:V5"/>
    <mergeCell ref="D6:F6"/>
    <mergeCell ref="G6:I6"/>
    <mergeCell ref="P6:R6"/>
    <mergeCell ref="S6:U6"/>
    <mergeCell ref="L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E74C-C447-4A90-B62E-14FECF9BB5AD}">
  <dimension ref="A1:AA19"/>
  <sheetViews>
    <sheetView workbookViewId="0">
      <selection activeCell="X16" sqref="X16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24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44</v>
      </c>
      <c r="E8" s="11">
        <v>114</v>
      </c>
      <c r="F8" s="11">
        <v>154</v>
      </c>
      <c r="G8" s="11">
        <v>79</v>
      </c>
      <c r="H8" s="11">
        <v>54</v>
      </c>
      <c r="I8" s="11">
        <v>99</v>
      </c>
      <c r="J8" s="15">
        <f>SUM(C8:I8)/40</f>
        <v>13.6</v>
      </c>
      <c r="K8" s="12">
        <v>17</v>
      </c>
      <c r="L8" s="13"/>
      <c r="M8" s="14"/>
      <c r="N8" s="7" t="s">
        <v>13</v>
      </c>
      <c r="O8" s="11"/>
      <c r="P8" s="11">
        <v>44</v>
      </c>
      <c r="Q8" s="11">
        <v>62</v>
      </c>
      <c r="R8" s="11">
        <v>114</v>
      </c>
      <c r="S8" s="11">
        <v>79</v>
      </c>
      <c r="T8" s="11">
        <v>42</v>
      </c>
      <c r="U8" s="11">
        <v>99</v>
      </c>
      <c r="V8" s="15">
        <f>SUM(O8:U8)/40</f>
        <v>11</v>
      </c>
      <c r="W8" s="12">
        <v>15</v>
      </c>
      <c r="Y8" s="36">
        <f>J8</f>
        <v>13.6</v>
      </c>
      <c r="Z8" s="37">
        <f>V8</f>
        <v>11</v>
      </c>
      <c r="AA8" s="38">
        <f>Y8-Z8</f>
        <v>2.5999999999999996</v>
      </c>
    </row>
    <row r="9" spans="1:27" x14ac:dyDescent="0.35">
      <c r="A9" s="14"/>
      <c r="B9" s="7" t="s">
        <v>14</v>
      </c>
      <c r="C9" s="11"/>
      <c r="D9" s="11">
        <v>0</v>
      </c>
      <c r="E9" s="11">
        <v>0</v>
      </c>
      <c r="F9" s="11">
        <v>10</v>
      </c>
      <c r="G9" s="11">
        <v>65</v>
      </c>
      <c r="H9" s="11">
        <v>60</v>
      </c>
      <c r="I9" s="11">
        <v>65</v>
      </c>
      <c r="J9" s="15">
        <f t="shared" ref="J9:J17" si="0">SUM(C9:I9)/40</f>
        <v>5</v>
      </c>
      <c r="K9" s="12">
        <v>6</v>
      </c>
      <c r="L9" s="13"/>
      <c r="M9" s="14"/>
      <c r="N9" s="7" t="s">
        <v>14</v>
      </c>
      <c r="O9" s="11"/>
      <c r="P9" s="11">
        <v>0</v>
      </c>
      <c r="Q9" s="11">
        <v>0</v>
      </c>
      <c r="R9" s="11">
        <v>10</v>
      </c>
      <c r="S9" s="11">
        <v>65</v>
      </c>
      <c r="T9" s="11">
        <v>20</v>
      </c>
      <c r="U9" s="11">
        <v>25</v>
      </c>
      <c r="V9" s="15">
        <f t="shared" ref="V9:V16" si="1">SUM(O9:U9)/40</f>
        <v>3</v>
      </c>
      <c r="W9" s="12">
        <v>6</v>
      </c>
      <c r="Y9" s="36">
        <f t="shared" ref="Y9:Y17" si="2">J9</f>
        <v>5</v>
      </c>
      <c r="Z9" s="37">
        <f t="shared" ref="Z9:Z17" si="3">V9</f>
        <v>3</v>
      </c>
      <c r="AA9" s="38">
        <f t="shared" ref="AA9:AA17" si="4">Y9-Z9</f>
        <v>2</v>
      </c>
    </row>
    <row r="10" spans="1:27" x14ac:dyDescent="0.35">
      <c r="A10" s="14"/>
      <c r="B10" s="7" t="s">
        <v>15</v>
      </c>
      <c r="C10" s="11"/>
      <c r="D10" s="11">
        <v>70</v>
      </c>
      <c r="E10" s="11">
        <v>64</v>
      </c>
      <c r="F10" s="11">
        <v>66</v>
      </c>
      <c r="G10" s="11">
        <v>80</v>
      </c>
      <c r="H10" s="11">
        <v>70</v>
      </c>
      <c r="I10" s="11">
        <v>131</v>
      </c>
      <c r="J10" s="15">
        <f t="shared" si="0"/>
        <v>12.025</v>
      </c>
      <c r="K10" s="12">
        <v>8</v>
      </c>
      <c r="L10" s="13"/>
      <c r="M10" s="14"/>
      <c r="N10" s="7" t="s">
        <v>15</v>
      </c>
      <c r="O10" s="11"/>
      <c r="P10" s="11">
        <v>70</v>
      </c>
      <c r="Q10" s="11">
        <v>44</v>
      </c>
      <c r="R10" s="11">
        <v>26</v>
      </c>
      <c r="S10" s="11">
        <v>74</v>
      </c>
      <c r="T10" s="11">
        <v>64</v>
      </c>
      <c r="U10" s="11">
        <v>119</v>
      </c>
      <c r="V10" s="15">
        <f t="shared" si="1"/>
        <v>9.9250000000000007</v>
      </c>
      <c r="W10" s="12">
        <v>6</v>
      </c>
      <c r="Y10" s="36">
        <f t="shared" si="2"/>
        <v>12.025</v>
      </c>
      <c r="Z10" s="37">
        <f t="shared" si="3"/>
        <v>9.9250000000000007</v>
      </c>
      <c r="AA10" s="38">
        <f t="shared" si="4"/>
        <v>2.0999999999999996</v>
      </c>
    </row>
    <row r="11" spans="1:27" x14ac:dyDescent="0.35">
      <c r="A11" s="16"/>
      <c r="B11" s="17" t="s">
        <v>29</v>
      </c>
      <c r="C11" s="11"/>
      <c r="D11" s="11">
        <v>17</v>
      </c>
      <c r="E11" s="11">
        <v>17</v>
      </c>
      <c r="F11" s="11">
        <v>14</v>
      </c>
      <c r="G11" s="11">
        <v>4</v>
      </c>
      <c r="H11" s="11">
        <v>4</v>
      </c>
      <c r="I11" s="11">
        <v>0</v>
      </c>
      <c r="J11" s="15">
        <f t="shared" si="0"/>
        <v>1.4</v>
      </c>
      <c r="K11" s="12">
        <v>2</v>
      </c>
      <c r="L11" s="13"/>
      <c r="M11" s="16"/>
      <c r="N11" s="17" t="s">
        <v>29</v>
      </c>
      <c r="O11" s="11"/>
      <c r="P11" s="11">
        <v>17</v>
      </c>
      <c r="Q11" s="11">
        <v>17</v>
      </c>
      <c r="R11" s="11">
        <v>14</v>
      </c>
      <c r="S11" s="11">
        <v>4</v>
      </c>
      <c r="T11" s="11">
        <v>4</v>
      </c>
      <c r="U11" s="11">
        <v>0</v>
      </c>
      <c r="V11" s="15">
        <f t="shared" si="1"/>
        <v>1.4</v>
      </c>
      <c r="W11" s="12">
        <v>2</v>
      </c>
      <c r="Y11" s="36">
        <f t="shared" si="2"/>
        <v>1.4</v>
      </c>
      <c r="Z11" s="37">
        <f t="shared" si="3"/>
        <v>1.4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>
        <v>20</v>
      </c>
      <c r="E12" s="11">
        <v>30</v>
      </c>
      <c r="F12" s="11">
        <v>42</v>
      </c>
      <c r="G12" s="11">
        <v>65</v>
      </c>
      <c r="H12" s="11">
        <v>25</v>
      </c>
      <c r="I12" s="11">
        <v>70</v>
      </c>
      <c r="J12" s="15">
        <f t="shared" si="0"/>
        <v>6.3</v>
      </c>
      <c r="K12" s="12">
        <v>5</v>
      </c>
      <c r="L12" s="13"/>
      <c r="M12" s="16"/>
      <c r="N12" s="17" t="s">
        <v>28</v>
      </c>
      <c r="O12" s="11"/>
      <c r="P12" s="11">
        <v>0</v>
      </c>
      <c r="Q12" s="11">
        <v>0</v>
      </c>
      <c r="R12" s="11">
        <v>12</v>
      </c>
      <c r="S12" s="11">
        <v>65</v>
      </c>
      <c r="T12" s="11">
        <v>25</v>
      </c>
      <c r="U12" s="11">
        <v>70</v>
      </c>
      <c r="V12" s="15">
        <f t="shared" si="1"/>
        <v>4.3</v>
      </c>
      <c r="W12" s="12">
        <v>3</v>
      </c>
      <c r="Y12" s="36">
        <f t="shared" si="2"/>
        <v>6.3</v>
      </c>
      <c r="Z12" s="37">
        <f t="shared" si="3"/>
        <v>4.3</v>
      </c>
      <c r="AA12" s="38">
        <f t="shared" si="4"/>
        <v>2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>
        <v>240</v>
      </c>
      <c r="E14" s="11">
        <v>160</v>
      </c>
      <c r="F14" s="11">
        <v>280</v>
      </c>
      <c r="G14" s="11">
        <v>320</v>
      </c>
      <c r="H14" s="11">
        <v>280</v>
      </c>
      <c r="I14" s="11">
        <v>520</v>
      </c>
      <c r="J14" s="15">
        <f t="shared" si="0"/>
        <v>45</v>
      </c>
      <c r="K14" s="12">
        <v>3</v>
      </c>
      <c r="L14" s="13"/>
      <c r="M14" s="16"/>
      <c r="N14" s="17" t="s">
        <v>17</v>
      </c>
      <c r="O14" s="11"/>
      <c r="P14" s="11">
        <v>190</v>
      </c>
      <c r="Q14" s="11">
        <v>140</v>
      </c>
      <c r="R14" s="11">
        <v>180</v>
      </c>
      <c r="S14" s="11">
        <v>120</v>
      </c>
      <c r="T14" s="11">
        <v>140</v>
      </c>
      <c r="U14" s="11">
        <v>180</v>
      </c>
      <c r="V14" s="15">
        <f t="shared" si="1"/>
        <v>23.75</v>
      </c>
      <c r="W14" s="12">
        <v>3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v>10</v>
      </c>
      <c r="K15" s="12">
        <v>9</v>
      </c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v>8</v>
      </c>
      <c r="K16" s="12">
        <v>9</v>
      </c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45</v>
      </c>
      <c r="O17" s="11"/>
      <c r="P17" s="11">
        <v>199</v>
      </c>
      <c r="Q17" s="11">
        <v>120</v>
      </c>
      <c r="R17" s="11">
        <v>280</v>
      </c>
      <c r="S17" s="11">
        <v>280</v>
      </c>
      <c r="T17" s="11">
        <v>240</v>
      </c>
      <c r="U17" s="11">
        <v>480</v>
      </c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391</v>
      </c>
      <c r="E18" s="25">
        <f t="shared" si="5"/>
        <v>385</v>
      </c>
      <c r="F18" s="25">
        <f t="shared" si="5"/>
        <v>566</v>
      </c>
      <c r="G18" s="25">
        <f t="shared" si="5"/>
        <v>613</v>
      </c>
      <c r="H18" s="25">
        <f t="shared" si="5"/>
        <v>493</v>
      </c>
      <c r="I18" s="25">
        <f t="shared" si="5"/>
        <v>885</v>
      </c>
      <c r="J18" s="26">
        <f>SUM(C18:I18)</f>
        <v>3333</v>
      </c>
      <c r="K18" s="28"/>
      <c r="M18" s="1"/>
      <c r="N18" s="7"/>
      <c r="O18" s="25">
        <f t="shared" ref="O18:U18" si="6">SUM(O8:O17)</f>
        <v>0</v>
      </c>
      <c r="P18" s="25">
        <f t="shared" si="6"/>
        <v>520</v>
      </c>
      <c r="Q18" s="25">
        <f t="shared" si="6"/>
        <v>383</v>
      </c>
      <c r="R18" s="25">
        <f t="shared" si="6"/>
        <v>636</v>
      </c>
      <c r="S18" s="25">
        <f t="shared" si="6"/>
        <v>687</v>
      </c>
      <c r="T18" s="25">
        <f t="shared" si="6"/>
        <v>535</v>
      </c>
      <c r="U18" s="25">
        <f t="shared" si="6"/>
        <v>973</v>
      </c>
      <c r="V18" s="26">
        <f>SUM(O18:U18)</f>
        <v>3734</v>
      </c>
      <c r="W18" s="28"/>
      <c r="Y18" s="33">
        <f>SUM(Y8:Y17)</f>
        <v>38.324999999999996</v>
      </c>
      <c r="Z18" s="34">
        <f>SUM(Z8:Z17)</f>
        <v>29.625</v>
      </c>
      <c r="AA18" s="35">
        <f>SUM(AA8:AA17)</f>
        <v>8.6999999999999993</v>
      </c>
    </row>
    <row r="19" spans="1:27" ht="15" thickBot="1" x14ac:dyDescent="0.4">
      <c r="A19" s="1"/>
      <c r="B19" s="20" t="s">
        <v>18</v>
      </c>
      <c r="C19" s="21">
        <f t="shared" ref="C19:I19" si="7">C18/40</f>
        <v>0</v>
      </c>
      <c r="D19" s="21">
        <f t="shared" si="7"/>
        <v>9.7750000000000004</v>
      </c>
      <c r="E19" s="21">
        <f t="shared" si="7"/>
        <v>9.625</v>
      </c>
      <c r="F19" s="21">
        <f t="shared" si="7"/>
        <v>14.15</v>
      </c>
      <c r="G19" s="21">
        <f t="shared" si="7"/>
        <v>15.324999999999999</v>
      </c>
      <c r="H19" s="21">
        <f t="shared" si="7"/>
        <v>12.324999999999999</v>
      </c>
      <c r="I19" s="21">
        <f t="shared" si="7"/>
        <v>22.125</v>
      </c>
      <c r="J19" s="22">
        <f>SUM(J8:J16)</f>
        <v>101.32499999999999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13</v>
      </c>
      <c r="Q19" s="21">
        <f t="shared" si="8"/>
        <v>9.5749999999999993</v>
      </c>
      <c r="R19" s="21">
        <f t="shared" si="8"/>
        <v>15.9</v>
      </c>
      <c r="S19" s="21">
        <f t="shared" si="8"/>
        <v>17.175000000000001</v>
      </c>
      <c r="T19" s="21">
        <f t="shared" si="8"/>
        <v>13.375</v>
      </c>
      <c r="U19" s="21">
        <f t="shared" si="8"/>
        <v>24.324999999999999</v>
      </c>
      <c r="V19" s="22">
        <f t="shared" si="8"/>
        <v>93.35</v>
      </c>
      <c r="W19" s="23"/>
      <c r="Y19" s="39">
        <f>Y18/40</f>
        <v>0.95812499999999989</v>
      </c>
      <c r="Z19" s="40">
        <f>Z18/40</f>
        <v>0.74062499999999998</v>
      </c>
      <c r="AA19" s="41">
        <f>AA18/40</f>
        <v>0.21749999999999997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BE16-0424-4AA6-A26A-B37C87397264}">
  <dimension ref="A1:AA19"/>
  <sheetViews>
    <sheetView workbookViewId="0">
      <selection activeCell="O8" sqref="O8:V17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25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43"/>
      <c r="D8" s="43"/>
      <c r="E8" s="43"/>
      <c r="F8" s="43"/>
      <c r="G8" s="43"/>
      <c r="H8" s="43"/>
      <c r="I8" s="43"/>
      <c r="J8" s="74">
        <f>SUM(C8:I8)/40</f>
        <v>0</v>
      </c>
      <c r="K8" s="12"/>
      <c r="L8" s="13"/>
      <c r="M8" s="14"/>
      <c r="N8" s="7" t="s">
        <v>13</v>
      </c>
      <c r="O8" s="43"/>
      <c r="P8" s="43"/>
      <c r="Q8" s="43"/>
      <c r="R8" s="43"/>
      <c r="S8" s="43"/>
      <c r="T8" s="43"/>
      <c r="U8" s="43"/>
      <c r="V8" s="74">
        <f>SUM(O8:U8)/40</f>
        <v>0</v>
      </c>
      <c r="W8" s="12">
        <v>12</v>
      </c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14</v>
      </c>
      <c r="C9" s="43"/>
      <c r="D9" s="43"/>
      <c r="E9" s="43"/>
      <c r="F9" s="43"/>
      <c r="G9" s="43"/>
      <c r="H9" s="43"/>
      <c r="I9" s="43"/>
      <c r="J9" s="74">
        <f>SUM(C9:I9)/40</f>
        <v>0</v>
      </c>
      <c r="K9" s="12"/>
      <c r="L9" s="13"/>
      <c r="M9" s="14"/>
      <c r="N9" s="7" t="s">
        <v>14</v>
      </c>
      <c r="O9" s="43"/>
      <c r="P9" s="43"/>
      <c r="Q9" s="43"/>
      <c r="R9" s="43"/>
      <c r="S9" s="43"/>
      <c r="T9" s="43"/>
      <c r="U9" s="43"/>
      <c r="V9" s="74">
        <f t="shared" ref="V9:V16" si="0">SUM(O9:U9)/40</f>
        <v>0</v>
      </c>
      <c r="W9" s="12">
        <v>20</v>
      </c>
      <c r="Y9" s="36">
        <f t="shared" ref="Y9:Y17" si="1">J9</f>
        <v>0</v>
      </c>
      <c r="Z9" s="37">
        <f t="shared" ref="Z9:Z17" si="2">V9</f>
        <v>0</v>
      </c>
      <c r="AA9" s="38">
        <f t="shared" ref="AA9:AA17" si="3">Y9-Z9</f>
        <v>0</v>
      </c>
    </row>
    <row r="10" spans="1:27" x14ac:dyDescent="0.35">
      <c r="A10" s="14"/>
      <c r="B10" s="7" t="s">
        <v>15</v>
      </c>
      <c r="C10" s="43"/>
      <c r="D10" s="43"/>
      <c r="E10" s="43"/>
      <c r="F10" s="43"/>
      <c r="G10" s="43"/>
      <c r="H10" s="43"/>
      <c r="I10" s="43"/>
      <c r="J10" s="74">
        <f t="shared" ref="J10:J17" si="4">SUM(C10:I10)/40</f>
        <v>0</v>
      </c>
      <c r="K10" s="12"/>
      <c r="L10" s="13"/>
      <c r="M10" s="14"/>
      <c r="N10" s="7" t="s">
        <v>15</v>
      </c>
      <c r="O10" s="43"/>
      <c r="P10" s="43"/>
      <c r="Q10" s="43"/>
      <c r="R10" s="43"/>
      <c r="S10" s="43"/>
      <c r="T10" s="43"/>
      <c r="U10" s="43"/>
      <c r="V10" s="74">
        <f t="shared" si="0"/>
        <v>0</v>
      </c>
      <c r="W10" s="12">
        <v>6</v>
      </c>
      <c r="Y10" s="36">
        <f t="shared" si="1"/>
        <v>0</v>
      </c>
      <c r="Z10" s="37">
        <f t="shared" si="2"/>
        <v>0</v>
      </c>
      <c r="AA10" s="38">
        <f t="shared" si="3"/>
        <v>0</v>
      </c>
    </row>
    <row r="11" spans="1:27" x14ac:dyDescent="0.35">
      <c r="A11" s="16"/>
      <c r="B11" s="17" t="s">
        <v>29</v>
      </c>
      <c r="C11" s="43"/>
      <c r="D11" s="43"/>
      <c r="E11" s="43"/>
      <c r="F11" s="43"/>
      <c r="G11" s="43"/>
      <c r="H11" s="43"/>
      <c r="I11" s="43"/>
      <c r="J11" s="74">
        <f t="shared" si="4"/>
        <v>0</v>
      </c>
      <c r="K11" s="12"/>
      <c r="L11" s="13"/>
      <c r="M11" s="16"/>
      <c r="N11" s="17" t="s">
        <v>29</v>
      </c>
      <c r="O11" s="43"/>
      <c r="P11" s="43"/>
      <c r="Q11" s="43"/>
      <c r="R11" s="43"/>
      <c r="S11" s="43"/>
      <c r="T11" s="43"/>
      <c r="U11" s="43"/>
      <c r="V11" s="74">
        <f t="shared" si="0"/>
        <v>0</v>
      </c>
      <c r="W11" s="12">
        <v>4</v>
      </c>
      <c r="Y11" s="36">
        <f t="shared" si="1"/>
        <v>0</v>
      </c>
      <c r="Z11" s="37">
        <f t="shared" si="2"/>
        <v>0</v>
      </c>
      <c r="AA11" s="38">
        <f t="shared" si="3"/>
        <v>0</v>
      </c>
    </row>
    <row r="12" spans="1:27" x14ac:dyDescent="0.35">
      <c r="A12" s="16"/>
      <c r="B12" s="17" t="s">
        <v>28</v>
      </c>
      <c r="C12" s="43"/>
      <c r="D12" s="43"/>
      <c r="E12" s="43"/>
      <c r="F12" s="43"/>
      <c r="G12" s="43"/>
      <c r="H12" s="43"/>
      <c r="I12" s="43"/>
      <c r="J12" s="74">
        <f t="shared" si="4"/>
        <v>0</v>
      </c>
      <c r="K12" s="12"/>
      <c r="L12" s="13"/>
      <c r="M12" s="16"/>
      <c r="N12" s="17" t="s">
        <v>28</v>
      </c>
      <c r="O12" s="43"/>
      <c r="P12" s="43"/>
      <c r="Q12" s="43"/>
      <c r="R12" s="43"/>
      <c r="S12" s="43"/>
      <c r="T12" s="43"/>
      <c r="U12" s="43"/>
      <c r="V12" s="74">
        <f t="shared" si="0"/>
        <v>0</v>
      </c>
      <c r="W12" s="12">
        <v>5</v>
      </c>
      <c r="Y12" s="36">
        <f t="shared" si="1"/>
        <v>0</v>
      </c>
      <c r="Z12" s="37">
        <f t="shared" si="2"/>
        <v>0</v>
      </c>
      <c r="AA12" s="38">
        <f t="shared" si="3"/>
        <v>0</v>
      </c>
    </row>
    <row r="13" spans="1:27" x14ac:dyDescent="0.35">
      <c r="A13" s="16"/>
      <c r="B13" s="17" t="s">
        <v>43</v>
      </c>
      <c r="C13" s="43"/>
      <c r="D13" s="43"/>
      <c r="E13" s="43"/>
      <c r="F13" s="43"/>
      <c r="G13" s="43"/>
      <c r="H13" s="43"/>
      <c r="I13" s="43"/>
      <c r="J13" s="74">
        <f t="shared" si="4"/>
        <v>0</v>
      </c>
      <c r="K13" s="12"/>
      <c r="L13" s="13"/>
      <c r="M13" s="16"/>
      <c r="N13" s="17" t="s">
        <v>43</v>
      </c>
      <c r="O13" s="43"/>
      <c r="P13" s="43"/>
      <c r="Q13" s="43"/>
      <c r="R13" s="43"/>
      <c r="S13" s="43"/>
      <c r="T13" s="43"/>
      <c r="U13" s="43"/>
      <c r="V13" s="74">
        <f t="shared" si="0"/>
        <v>0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17</v>
      </c>
      <c r="C14" s="43"/>
      <c r="D14" s="43"/>
      <c r="E14" s="43"/>
      <c r="F14" s="43"/>
      <c r="G14" s="43"/>
      <c r="H14" s="43"/>
      <c r="I14" s="43"/>
      <c r="J14" s="74">
        <f t="shared" si="4"/>
        <v>0</v>
      </c>
      <c r="K14" s="12"/>
      <c r="L14" s="13"/>
      <c r="M14" s="16"/>
      <c r="N14" s="17" t="s">
        <v>17</v>
      </c>
      <c r="O14" s="43"/>
      <c r="P14" s="43"/>
      <c r="Q14" s="43"/>
      <c r="R14" s="43"/>
      <c r="S14" s="43"/>
      <c r="T14" s="43"/>
      <c r="U14" s="43"/>
      <c r="V14" s="74">
        <f t="shared" si="0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43"/>
      <c r="D15" s="43"/>
      <c r="E15" s="43"/>
      <c r="F15" s="43"/>
      <c r="G15" s="43"/>
      <c r="H15" s="43"/>
      <c r="I15" s="43"/>
      <c r="J15" s="74">
        <f t="shared" si="4"/>
        <v>0</v>
      </c>
      <c r="K15" s="12"/>
      <c r="L15" s="13"/>
      <c r="M15" s="16"/>
      <c r="N15" s="17" t="s">
        <v>35</v>
      </c>
      <c r="O15" s="43"/>
      <c r="P15" s="43"/>
      <c r="Q15" s="43"/>
      <c r="R15" s="43"/>
      <c r="S15" s="43"/>
      <c r="T15" s="43"/>
      <c r="U15" s="43"/>
      <c r="V15" s="74">
        <f t="shared" si="0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43"/>
      <c r="D16" s="43"/>
      <c r="E16" s="43"/>
      <c r="F16" s="43"/>
      <c r="G16" s="43"/>
      <c r="H16" s="43"/>
      <c r="I16" s="43"/>
      <c r="J16" s="74">
        <f t="shared" si="4"/>
        <v>0</v>
      </c>
      <c r="K16" s="12"/>
      <c r="L16" s="13"/>
      <c r="M16" s="16"/>
      <c r="N16" s="17" t="s">
        <v>36</v>
      </c>
      <c r="O16" s="43"/>
      <c r="P16" s="43"/>
      <c r="Q16" s="43"/>
      <c r="R16" s="43"/>
      <c r="S16" s="43"/>
      <c r="T16" s="43"/>
      <c r="U16" s="43"/>
      <c r="V16" s="74">
        <f t="shared" si="0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43"/>
      <c r="D17" s="43"/>
      <c r="E17" s="43"/>
      <c r="F17" s="43"/>
      <c r="G17" s="43"/>
      <c r="H17" s="43"/>
      <c r="I17" s="43"/>
      <c r="J17" s="74">
        <f t="shared" si="4"/>
        <v>0</v>
      </c>
      <c r="K17" s="18"/>
      <c r="M17" s="16"/>
      <c r="N17" s="17" t="s">
        <v>38</v>
      </c>
      <c r="O17" s="43"/>
      <c r="P17" s="43"/>
      <c r="Q17" s="43"/>
      <c r="R17" s="43"/>
      <c r="S17" s="43"/>
      <c r="T17" s="43"/>
      <c r="U17" s="43"/>
      <c r="V17" s="74"/>
      <c r="W17" s="18"/>
      <c r="Y17" s="36">
        <f t="shared" si="1"/>
        <v>0</v>
      </c>
      <c r="Z17" s="37">
        <f t="shared" si="2"/>
        <v>0</v>
      </c>
      <c r="AA17" s="38">
        <f t="shared" si="3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6">
        <f>SUM(C18:I18)</f>
        <v>0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0</v>
      </c>
      <c r="Z18" s="34">
        <f>SUM(Z8:Z17)</f>
        <v>0</v>
      </c>
      <c r="AA18" s="35">
        <f>SUM(AA8:AA17)</f>
        <v>0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0</v>
      </c>
      <c r="E19" s="21">
        <f t="shared" si="7"/>
        <v>0</v>
      </c>
      <c r="F19" s="21">
        <f t="shared" si="7"/>
        <v>0</v>
      </c>
      <c r="G19" s="21">
        <f t="shared" si="7"/>
        <v>0</v>
      </c>
      <c r="H19" s="21">
        <f t="shared" si="7"/>
        <v>0</v>
      </c>
      <c r="I19" s="21">
        <f t="shared" si="7"/>
        <v>0</v>
      </c>
      <c r="J19" s="22">
        <f t="shared" si="7"/>
        <v>0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</v>
      </c>
      <c r="W19" s="23"/>
      <c r="Y19" s="39">
        <f>Y18/40</f>
        <v>0</v>
      </c>
      <c r="Z19" s="40">
        <f>Z18/40</f>
        <v>0</v>
      </c>
      <c r="AA19" s="41">
        <f>AA18/40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0396-7890-4995-B70F-491025A8A037}">
  <dimension ref="A1:AA20"/>
  <sheetViews>
    <sheetView workbookViewId="0">
      <selection activeCell="M17" sqref="M17"/>
    </sheetView>
  </sheetViews>
  <sheetFormatPr defaultRowHeight="14.5" x14ac:dyDescent="0.35"/>
  <cols>
    <col min="1" max="1" width="5.6328125" customWidth="1"/>
    <col min="2" max="2" width="8" bestFit="1" customWidth="1"/>
    <col min="3" max="3" width="4.36328125" bestFit="1" customWidth="1"/>
    <col min="4" max="4" width="5.36328125" bestFit="1" customWidth="1"/>
    <col min="5" max="6" width="4.08984375" bestFit="1" customWidth="1"/>
    <col min="7" max="9" width="5.36328125" bestFit="1" customWidth="1"/>
    <col min="10" max="10" width="6.1796875" bestFit="1" customWidth="1"/>
    <col min="11" max="11" width="5.36328125" bestFit="1" customWidth="1"/>
    <col min="14" max="14" width="7.5429687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49" t="s">
        <v>26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1"/>
      <c r="N1" s="1"/>
      <c r="O1" s="1"/>
      <c r="P1" s="1"/>
      <c r="Q1" s="1"/>
      <c r="R1" s="1"/>
      <c r="S1" s="1"/>
      <c r="T1" s="1"/>
      <c r="U1" s="1"/>
    </row>
    <row r="2" spans="1:27" ht="14.5" customHeight="1" x14ac:dyDescent="0.35">
      <c r="A2" s="44"/>
      <c r="B2" s="83" t="s">
        <v>0</v>
      </c>
      <c r="C2" s="83"/>
      <c r="D2" s="83"/>
      <c r="E2" s="83"/>
      <c r="F2" s="83"/>
      <c r="G2" s="83"/>
      <c r="H2" s="83"/>
      <c r="I2" s="83"/>
      <c r="J2" s="83"/>
      <c r="K2" s="44"/>
      <c r="L2" s="44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44"/>
      <c r="B3" s="83"/>
      <c r="C3" s="83"/>
      <c r="D3" s="83"/>
      <c r="E3" s="83"/>
      <c r="F3" s="83"/>
      <c r="G3" s="83"/>
      <c r="H3" s="83"/>
      <c r="I3" s="83"/>
      <c r="J3" s="83"/>
      <c r="K3" s="44"/>
      <c r="L3" s="44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44"/>
      <c r="B4" s="83"/>
      <c r="C4" s="83"/>
      <c r="D4" s="83"/>
      <c r="E4" s="83"/>
      <c r="F4" s="83"/>
      <c r="G4" s="83"/>
      <c r="H4" s="83"/>
      <c r="I4" s="83"/>
      <c r="J4" s="83"/>
      <c r="K4" s="44"/>
      <c r="L4" s="44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customHeight="1" thickBot="1" x14ac:dyDescent="0.4">
      <c r="A5" s="44"/>
      <c r="B5" s="84"/>
      <c r="C5" s="84"/>
      <c r="D5" s="84"/>
      <c r="E5" s="84"/>
      <c r="F5" s="84"/>
      <c r="G5" s="84"/>
      <c r="H5" s="84"/>
      <c r="I5" s="84"/>
      <c r="J5" s="84"/>
      <c r="K5" s="44"/>
      <c r="L5" s="4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44"/>
      <c r="B6" s="45"/>
      <c r="C6" s="46" t="s">
        <v>2</v>
      </c>
      <c r="D6" s="89" t="s">
        <v>3</v>
      </c>
      <c r="E6" s="89"/>
      <c r="F6" s="89"/>
      <c r="G6" s="89" t="s">
        <v>4</v>
      </c>
      <c r="H6" s="89"/>
      <c r="I6" s="89"/>
      <c r="J6" s="47"/>
      <c r="K6" s="48"/>
      <c r="L6" s="44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49"/>
      <c r="B7" s="50" t="s">
        <v>5</v>
      </c>
      <c r="C7" s="51" t="s">
        <v>6</v>
      </c>
      <c r="D7" s="52" t="s">
        <v>7</v>
      </c>
      <c r="E7" s="52" t="s">
        <v>8</v>
      </c>
      <c r="F7" s="52" t="s">
        <v>9</v>
      </c>
      <c r="G7" s="53" t="s">
        <v>7</v>
      </c>
      <c r="H7" s="53" t="s">
        <v>10</v>
      </c>
      <c r="I7" s="53" t="s">
        <v>9</v>
      </c>
      <c r="J7" s="54" t="s">
        <v>11</v>
      </c>
      <c r="K7" s="55" t="s">
        <v>12</v>
      </c>
      <c r="L7" s="56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57"/>
      <c r="B8" s="50" t="s">
        <v>13</v>
      </c>
      <c r="C8" s="54"/>
      <c r="D8" s="54">
        <v>80</v>
      </c>
      <c r="E8" s="54">
        <v>40</v>
      </c>
      <c r="F8" s="54">
        <v>120</v>
      </c>
      <c r="G8" s="54">
        <v>159</v>
      </c>
      <c r="H8" s="54">
        <v>83</v>
      </c>
      <c r="I8" s="54">
        <v>193</v>
      </c>
      <c r="J8" s="58">
        <f>SUM(C8:I8)/40</f>
        <v>16.875</v>
      </c>
      <c r="K8" s="55">
        <v>14</v>
      </c>
      <c r="L8" s="56"/>
      <c r="M8" s="14"/>
      <c r="N8" s="50" t="s">
        <v>13</v>
      </c>
      <c r="O8" s="11"/>
      <c r="P8" s="11">
        <v>40</v>
      </c>
      <c r="Q8" s="11">
        <v>40</v>
      </c>
      <c r="R8" s="11">
        <v>40</v>
      </c>
      <c r="S8" s="11">
        <v>119</v>
      </c>
      <c r="T8" s="11">
        <v>83</v>
      </c>
      <c r="U8" s="11">
        <v>113</v>
      </c>
      <c r="V8" s="15">
        <f>SUM(O8:U8)/40</f>
        <v>10.875</v>
      </c>
      <c r="W8" s="12">
        <v>13</v>
      </c>
      <c r="Y8" s="36">
        <f>J8</f>
        <v>16.875</v>
      </c>
      <c r="Z8" s="37">
        <f>V8</f>
        <v>10.875</v>
      </c>
      <c r="AA8" s="38">
        <f>Y8-Z8</f>
        <v>6</v>
      </c>
    </row>
    <row r="9" spans="1:27" x14ac:dyDescent="0.35">
      <c r="A9" s="57"/>
      <c r="B9" s="50" t="s">
        <v>14</v>
      </c>
      <c r="C9" s="54"/>
      <c r="D9" s="54">
        <v>0</v>
      </c>
      <c r="E9" s="54">
        <v>20</v>
      </c>
      <c r="F9" s="54">
        <v>20</v>
      </c>
      <c r="G9" s="54">
        <v>150</v>
      </c>
      <c r="H9" s="54">
        <v>60</v>
      </c>
      <c r="I9" s="54">
        <v>95</v>
      </c>
      <c r="J9" s="58">
        <f t="shared" ref="J9:J15" si="0">SUM(C9:I9)/40</f>
        <v>8.625</v>
      </c>
      <c r="K9" s="55">
        <v>6</v>
      </c>
      <c r="L9" s="56"/>
      <c r="M9" s="14"/>
      <c r="N9" s="50" t="s">
        <v>14</v>
      </c>
      <c r="O9" s="11"/>
      <c r="P9" s="11">
        <v>0</v>
      </c>
      <c r="Q9" s="11">
        <v>0</v>
      </c>
      <c r="R9" s="11">
        <v>0</v>
      </c>
      <c r="S9" s="11">
        <v>134</v>
      </c>
      <c r="T9" s="11">
        <v>45</v>
      </c>
      <c r="U9" s="11">
        <v>85</v>
      </c>
      <c r="V9" s="15">
        <f t="shared" ref="V9:V16" si="1">SUM(O9:U9)/40</f>
        <v>6.6</v>
      </c>
      <c r="W9" s="12">
        <v>5</v>
      </c>
      <c r="Y9" s="36">
        <f t="shared" ref="Y9:Y17" si="2">J9</f>
        <v>8.625</v>
      </c>
      <c r="Z9" s="37">
        <f t="shared" ref="Z9:Z17" si="3">V9</f>
        <v>6.6</v>
      </c>
      <c r="AA9" s="38">
        <f t="shared" ref="AA9:AA17" si="4">Y9-Z9</f>
        <v>2.0250000000000004</v>
      </c>
    </row>
    <row r="10" spans="1:27" x14ac:dyDescent="0.35">
      <c r="A10" s="57"/>
      <c r="B10" s="50" t="s">
        <v>15</v>
      </c>
      <c r="C10" s="54"/>
      <c r="D10" s="54">
        <v>0</v>
      </c>
      <c r="E10" s="54">
        <v>0</v>
      </c>
      <c r="F10" s="54">
        <v>0</v>
      </c>
      <c r="G10" s="54">
        <v>20</v>
      </c>
      <c r="H10" s="54">
        <v>60</v>
      </c>
      <c r="I10" s="54">
        <v>120</v>
      </c>
      <c r="J10" s="58">
        <f t="shared" si="0"/>
        <v>5</v>
      </c>
      <c r="K10" s="55">
        <v>4</v>
      </c>
      <c r="L10" s="56"/>
      <c r="M10" s="14"/>
      <c r="N10" s="50" t="s">
        <v>15</v>
      </c>
      <c r="O10" s="11"/>
      <c r="P10" s="11">
        <v>0</v>
      </c>
      <c r="Q10" s="11">
        <v>0</v>
      </c>
      <c r="R10" s="11">
        <v>0</v>
      </c>
      <c r="S10" s="11">
        <v>0</v>
      </c>
      <c r="T10" s="11">
        <v>60</v>
      </c>
      <c r="U10" s="11">
        <v>110</v>
      </c>
      <c r="V10" s="15">
        <f t="shared" si="1"/>
        <v>4.25</v>
      </c>
      <c r="W10" s="12">
        <v>4</v>
      </c>
      <c r="Y10" s="36">
        <f t="shared" si="2"/>
        <v>5</v>
      </c>
      <c r="Z10" s="37">
        <f t="shared" si="3"/>
        <v>4.25</v>
      </c>
      <c r="AA10" s="38">
        <f t="shared" si="4"/>
        <v>0.75</v>
      </c>
    </row>
    <row r="11" spans="1:27" x14ac:dyDescent="0.35">
      <c r="A11" s="59"/>
      <c r="B11" s="60" t="s">
        <v>29</v>
      </c>
      <c r="C11" s="54"/>
      <c r="D11" s="54">
        <v>46</v>
      </c>
      <c r="E11" s="54">
        <v>6</v>
      </c>
      <c r="F11" s="54">
        <v>6</v>
      </c>
      <c r="G11" s="54">
        <v>86</v>
      </c>
      <c r="H11" s="54">
        <v>6</v>
      </c>
      <c r="I11" s="54">
        <v>86</v>
      </c>
      <c r="J11" s="58">
        <f t="shared" si="0"/>
        <v>5.9</v>
      </c>
      <c r="K11" s="55">
        <v>4</v>
      </c>
      <c r="L11" s="56"/>
      <c r="M11" s="16"/>
      <c r="N11" s="60" t="s">
        <v>29</v>
      </c>
      <c r="O11" s="11"/>
      <c r="P11" s="11">
        <v>40</v>
      </c>
      <c r="Q11" s="11">
        <v>0</v>
      </c>
      <c r="R11" s="11">
        <v>0</v>
      </c>
      <c r="S11" s="11">
        <v>40</v>
      </c>
      <c r="T11" s="11">
        <v>0</v>
      </c>
      <c r="U11" s="11">
        <v>40</v>
      </c>
      <c r="V11" s="15">
        <f t="shared" si="1"/>
        <v>3</v>
      </c>
      <c r="W11" s="12">
        <v>2</v>
      </c>
      <c r="Y11" s="36">
        <f t="shared" si="2"/>
        <v>5.9</v>
      </c>
      <c r="Z11" s="37">
        <f t="shared" si="3"/>
        <v>3</v>
      </c>
      <c r="AA11" s="38">
        <f t="shared" si="4"/>
        <v>2.9000000000000004</v>
      </c>
    </row>
    <row r="12" spans="1:27" x14ac:dyDescent="0.35">
      <c r="A12" s="59"/>
      <c r="B12" s="60" t="s">
        <v>28</v>
      </c>
      <c r="C12" s="54"/>
      <c r="D12" s="54">
        <v>40</v>
      </c>
      <c r="E12" s="54">
        <v>56</v>
      </c>
      <c r="F12" s="54">
        <v>100</v>
      </c>
      <c r="G12" s="54">
        <v>16</v>
      </c>
      <c r="H12" s="54">
        <v>10</v>
      </c>
      <c r="I12" s="54">
        <v>6</v>
      </c>
      <c r="J12" s="58">
        <f t="shared" si="0"/>
        <v>5.7</v>
      </c>
      <c r="K12" s="55">
        <v>7</v>
      </c>
      <c r="L12" s="56"/>
      <c r="M12" s="16"/>
      <c r="N12" s="60" t="s">
        <v>28</v>
      </c>
      <c r="O12" s="11"/>
      <c r="P12" s="11">
        <v>40</v>
      </c>
      <c r="Q12" s="11">
        <v>50</v>
      </c>
      <c r="R12" s="11">
        <v>82</v>
      </c>
      <c r="S12" s="11">
        <v>10</v>
      </c>
      <c r="T12" s="11">
        <v>10</v>
      </c>
      <c r="U12" s="11">
        <v>6</v>
      </c>
      <c r="V12" s="15">
        <f t="shared" si="1"/>
        <v>4.95</v>
      </c>
      <c r="W12" s="12">
        <v>6</v>
      </c>
      <c r="Y12" s="36">
        <f t="shared" si="2"/>
        <v>5.7</v>
      </c>
      <c r="Z12" s="37">
        <f t="shared" si="3"/>
        <v>4.95</v>
      </c>
      <c r="AA12" s="38">
        <f t="shared" si="4"/>
        <v>0.75</v>
      </c>
    </row>
    <row r="13" spans="1:27" x14ac:dyDescent="0.35">
      <c r="A13" s="59"/>
      <c r="B13" s="60" t="s">
        <v>43</v>
      </c>
      <c r="C13" s="54"/>
      <c r="D13" s="54"/>
      <c r="E13" s="54"/>
      <c r="F13" s="54"/>
      <c r="G13" s="54"/>
      <c r="H13" s="54"/>
      <c r="I13" s="54"/>
      <c r="J13" s="58">
        <f t="shared" si="0"/>
        <v>0</v>
      </c>
      <c r="K13" s="55"/>
      <c r="L13" s="56"/>
      <c r="M13" s="16"/>
      <c r="N13" s="60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59"/>
      <c r="B14" s="60" t="s">
        <v>17</v>
      </c>
      <c r="C14" s="54"/>
      <c r="D14" s="54"/>
      <c r="E14" s="54"/>
      <c r="F14" s="54"/>
      <c r="G14" s="54"/>
      <c r="H14" s="54"/>
      <c r="I14" s="54"/>
      <c r="J14" s="58">
        <f t="shared" si="0"/>
        <v>0</v>
      </c>
      <c r="K14" s="55"/>
      <c r="L14" s="56"/>
      <c r="M14" s="16"/>
      <c r="N14" s="60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59"/>
      <c r="B15" s="60" t="s">
        <v>35</v>
      </c>
      <c r="C15" s="54"/>
      <c r="D15" s="54"/>
      <c r="E15" s="54"/>
      <c r="F15" s="54"/>
      <c r="G15" s="54"/>
      <c r="H15" s="54"/>
      <c r="I15" s="54"/>
      <c r="J15" s="58">
        <f t="shared" si="0"/>
        <v>0</v>
      </c>
      <c r="K15" s="55"/>
      <c r="L15" s="56"/>
      <c r="M15" s="16"/>
      <c r="N15" s="60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59"/>
      <c r="B16" s="60" t="s">
        <v>36</v>
      </c>
      <c r="C16" s="54"/>
      <c r="D16" s="54"/>
      <c r="E16" s="54"/>
      <c r="F16" s="54"/>
      <c r="G16" s="54"/>
      <c r="H16" s="54"/>
      <c r="I16" s="54"/>
      <c r="J16" s="58">
        <v>28</v>
      </c>
      <c r="K16" s="55">
        <v>22</v>
      </c>
      <c r="L16" s="56"/>
      <c r="M16" s="16"/>
      <c r="N16" s="60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59"/>
      <c r="B17" s="60" t="s">
        <v>38</v>
      </c>
      <c r="C17" s="54"/>
      <c r="D17" s="54"/>
      <c r="E17" s="54"/>
      <c r="F17" s="54"/>
      <c r="G17" s="54"/>
      <c r="H17" s="54"/>
      <c r="I17" s="54"/>
      <c r="J17" s="58">
        <v>0</v>
      </c>
      <c r="K17" s="61">
        <v>0</v>
      </c>
      <c r="L17" s="44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44"/>
      <c r="B18" s="50"/>
      <c r="C18" s="62">
        <f t="shared" ref="C18:I18" si="5">SUM(C8:C17)</f>
        <v>0</v>
      </c>
      <c r="D18" s="62">
        <f t="shared" si="5"/>
        <v>166</v>
      </c>
      <c r="E18" s="62">
        <f t="shared" si="5"/>
        <v>122</v>
      </c>
      <c r="F18" s="62">
        <f t="shared" si="5"/>
        <v>246</v>
      </c>
      <c r="G18" s="62">
        <f t="shared" si="5"/>
        <v>431</v>
      </c>
      <c r="H18" s="62">
        <f t="shared" si="5"/>
        <v>219</v>
      </c>
      <c r="I18" s="62">
        <f t="shared" si="5"/>
        <v>500</v>
      </c>
      <c r="J18" s="63">
        <f>SUM(C18:I18)</f>
        <v>1684</v>
      </c>
      <c r="K18" s="64"/>
      <c r="L18" s="44"/>
      <c r="M18" s="1"/>
      <c r="N18" s="7"/>
      <c r="O18" s="25">
        <f t="shared" ref="O18:U18" si="6">SUM(O8:O17)</f>
        <v>0</v>
      </c>
      <c r="P18" s="25">
        <f t="shared" si="6"/>
        <v>120</v>
      </c>
      <c r="Q18" s="25">
        <f t="shared" si="6"/>
        <v>90</v>
      </c>
      <c r="R18" s="25">
        <f t="shared" si="6"/>
        <v>122</v>
      </c>
      <c r="S18" s="25">
        <f t="shared" si="6"/>
        <v>303</v>
      </c>
      <c r="T18" s="25">
        <f t="shared" si="6"/>
        <v>198</v>
      </c>
      <c r="U18" s="25">
        <f t="shared" si="6"/>
        <v>354</v>
      </c>
      <c r="V18" s="26">
        <f>SUM(O18:U18)</f>
        <v>1187</v>
      </c>
      <c r="W18" s="28"/>
      <c r="Y18" s="33">
        <f>SUM(Y8:Y17)</f>
        <v>42.1</v>
      </c>
      <c r="Z18" s="34">
        <f>SUM(Z8:Z17)</f>
        <v>29.675000000000001</v>
      </c>
      <c r="AA18" s="35">
        <f>SUM(AA8:AA17)</f>
        <v>12.425000000000001</v>
      </c>
    </row>
    <row r="19" spans="1:27" ht="15" thickBot="1" x14ac:dyDescent="0.4">
      <c r="A19" s="44"/>
      <c r="B19" s="65" t="s">
        <v>18</v>
      </c>
      <c r="C19" s="66">
        <f t="shared" ref="C19:J19" si="7">C18/40</f>
        <v>0</v>
      </c>
      <c r="D19" s="66">
        <f t="shared" si="7"/>
        <v>4.1500000000000004</v>
      </c>
      <c r="E19" s="66">
        <f t="shared" si="7"/>
        <v>3.05</v>
      </c>
      <c r="F19" s="66">
        <f t="shared" si="7"/>
        <v>6.15</v>
      </c>
      <c r="G19" s="66">
        <f t="shared" si="7"/>
        <v>10.775</v>
      </c>
      <c r="H19" s="66">
        <f t="shared" si="7"/>
        <v>5.4749999999999996</v>
      </c>
      <c r="I19" s="66">
        <f t="shared" si="7"/>
        <v>12.5</v>
      </c>
      <c r="J19" s="67">
        <f t="shared" si="7"/>
        <v>42.1</v>
      </c>
      <c r="K19" s="68"/>
      <c r="L19" s="44"/>
      <c r="M19" s="1"/>
      <c r="N19" s="20" t="s">
        <v>18</v>
      </c>
      <c r="O19" s="21">
        <f t="shared" ref="O19:V19" si="8">O18/40</f>
        <v>0</v>
      </c>
      <c r="P19" s="21">
        <f t="shared" si="8"/>
        <v>3</v>
      </c>
      <c r="Q19" s="21">
        <f t="shared" si="8"/>
        <v>2.25</v>
      </c>
      <c r="R19" s="21">
        <f t="shared" si="8"/>
        <v>3.05</v>
      </c>
      <c r="S19" s="21">
        <f t="shared" si="8"/>
        <v>7.5750000000000002</v>
      </c>
      <c r="T19" s="21">
        <f t="shared" si="8"/>
        <v>4.95</v>
      </c>
      <c r="U19" s="21">
        <f t="shared" si="8"/>
        <v>8.85</v>
      </c>
      <c r="V19" s="22">
        <f t="shared" si="8"/>
        <v>29.675000000000001</v>
      </c>
      <c r="W19" s="23"/>
      <c r="Y19" s="39">
        <f>Y18/40</f>
        <v>1.0525</v>
      </c>
      <c r="Z19" s="40">
        <f>Z18/40</f>
        <v>0.74187500000000006</v>
      </c>
      <c r="AA19" s="41">
        <f>AA18/40</f>
        <v>0.31062500000000004</v>
      </c>
    </row>
    <row r="20" spans="1:27" x14ac:dyDescent="0.3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1D63-9221-4747-B7FB-C6037E7ADA17}">
  <dimension ref="A1:AA19"/>
  <sheetViews>
    <sheetView workbookViewId="0">
      <selection activeCell="P17" sqref="P17:U17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7.81640625" bestFit="1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6" t="s">
        <v>27</v>
      </c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100</v>
      </c>
      <c r="E8" s="11">
        <v>50</v>
      </c>
      <c r="F8" s="11">
        <v>130</v>
      </c>
      <c r="G8" s="11">
        <v>125</v>
      </c>
      <c r="H8" s="11">
        <v>90</v>
      </c>
      <c r="I8" s="11">
        <v>220</v>
      </c>
      <c r="J8" s="15">
        <f>SUM(C8:I8)/40</f>
        <v>17.875</v>
      </c>
      <c r="K8" s="12">
        <v>9</v>
      </c>
      <c r="L8" s="13"/>
      <c r="M8" s="14"/>
      <c r="N8" s="7" t="s">
        <v>13</v>
      </c>
      <c r="O8" s="11"/>
      <c r="P8" s="11">
        <v>100</v>
      </c>
      <c r="Q8" s="11">
        <v>50</v>
      </c>
      <c r="R8" s="11">
        <v>130</v>
      </c>
      <c r="S8" s="11">
        <v>125</v>
      </c>
      <c r="T8" s="11">
        <v>90</v>
      </c>
      <c r="U8" s="11">
        <v>220</v>
      </c>
      <c r="V8" s="15">
        <f>SUM(O8:U8)/40</f>
        <v>17.875</v>
      </c>
      <c r="W8" s="12">
        <v>9</v>
      </c>
      <c r="Y8" s="36">
        <f>J8</f>
        <v>17.875</v>
      </c>
      <c r="Z8" s="37">
        <f>V8</f>
        <v>17.875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>
        <v>8</v>
      </c>
      <c r="E9" s="11">
        <v>28</v>
      </c>
      <c r="F9" s="11">
        <v>28</v>
      </c>
      <c r="G9" s="11">
        <v>25</v>
      </c>
      <c r="H9" s="11">
        <v>55</v>
      </c>
      <c r="I9" s="11">
        <v>60</v>
      </c>
      <c r="J9" s="15">
        <f t="shared" ref="J9:J17" si="0">SUM(C9:I9)/40</f>
        <v>5.0999999999999996</v>
      </c>
      <c r="K9" s="12">
        <v>5</v>
      </c>
      <c r="L9" s="13"/>
      <c r="M9" s="14"/>
      <c r="N9" s="7" t="s">
        <v>14</v>
      </c>
      <c r="O9" s="11"/>
      <c r="P9" s="11">
        <v>8</v>
      </c>
      <c r="Q9" s="11">
        <v>28</v>
      </c>
      <c r="R9" s="11">
        <v>28</v>
      </c>
      <c r="S9" s="11">
        <v>25</v>
      </c>
      <c r="T9" s="11">
        <v>55</v>
      </c>
      <c r="U9" s="11">
        <v>60</v>
      </c>
      <c r="V9" s="15">
        <f t="shared" ref="V9:V17" si="1">SUM(O9:U9)/40</f>
        <v>5.0999999999999996</v>
      </c>
      <c r="W9" s="12">
        <v>5</v>
      </c>
      <c r="Y9" s="36">
        <f t="shared" ref="Y9:Y17" si="2">J9</f>
        <v>5.0999999999999996</v>
      </c>
      <c r="Z9" s="37">
        <f t="shared" ref="Z9:Z17" si="3">V9</f>
        <v>5.0999999999999996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>
        <v>19</v>
      </c>
      <c r="E10" s="11">
        <v>33</v>
      </c>
      <c r="F10" s="11">
        <v>36</v>
      </c>
      <c r="G10" s="11">
        <v>65</v>
      </c>
      <c r="H10" s="11">
        <v>55</v>
      </c>
      <c r="I10" s="11">
        <v>90</v>
      </c>
      <c r="J10" s="15">
        <f t="shared" si="0"/>
        <v>7.45</v>
      </c>
      <c r="K10" s="12">
        <v>8</v>
      </c>
      <c r="L10" s="13"/>
      <c r="M10" s="14"/>
      <c r="N10" s="7" t="s">
        <v>15</v>
      </c>
      <c r="O10" s="11"/>
      <c r="P10" s="11">
        <v>10</v>
      </c>
      <c r="Q10" s="11">
        <v>15</v>
      </c>
      <c r="R10" s="11">
        <v>15</v>
      </c>
      <c r="S10" s="11">
        <v>25</v>
      </c>
      <c r="T10" s="11">
        <v>25</v>
      </c>
      <c r="U10" s="11">
        <v>70</v>
      </c>
      <c r="V10" s="15">
        <f t="shared" si="1"/>
        <v>4</v>
      </c>
      <c r="W10" s="12">
        <v>4</v>
      </c>
      <c r="Y10" s="36">
        <f t="shared" si="2"/>
        <v>7.45</v>
      </c>
      <c r="Z10" s="37">
        <f t="shared" si="3"/>
        <v>4</v>
      </c>
      <c r="AA10" s="38">
        <f t="shared" si="4"/>
        <v>3.45</v>
      </c>
    </row>
    <row r="11" spans="1:27" x14ac:dyDescent="0.35">
      <c r="A11" s="16"/>
      <c r="B11" s="17" t="s">
        <v>29</v>
      </c>
      <c r="C11" s="11"/>
      <c r="D11" s="11">
        <v>45</v>
      </c>
      <c r="E11" s="11">
        <v>55</v>
      </c>
      <c r="F11" s="11">
        <v>40</v>
      </c>
      <c r="G11" s="11">
        <v>105</v>
      </c>
      <c r="H11" s="11">
        <v>95</v>
      </c>
      <c r="I11" s="11">
        <v>102</v>
      </c>
      <c r="J11" s="15">
        <f t="shared" si="0"/>
        <v>11.05</v>
      </c>
      <c r="K11" s="12">
        <v>7</v>
      </c>
      <c r="L11" s="13"/>
      <c r="M11" s="16"/>
      <c r="N11" s="17" t="s">
        <v>29</v>
      </c>
      <c r="O11" s="11"/>
      <c r="P11" s="11">
        <v>5</v>
      </c>
      <c r="Q11" s="11">
        <v>15</v>
      </c>
      <c r="R11" s="11">
        <v>0</v>
      </c>
      <c r="S11" s="11">
        <v>65</v>
      </c>
      <c r="T11" s="11">
        <v>65</v>
      </c>
      <c r="U11" s="11">
        <v>52</v>
      </c>
      <c r="V11" s="15">
        <f t="shared" si="1"/>
        <v>5.05</v>
      </c>
      <c r="W11" s="12">
        <v>6</v>
      </c>
      <c r="Y11" s="36">
        <f t="shared" si="2"/>
        <v>11.05</v>
      </c>
      <c r="Z11" s="37">
        <f t="shared" si="3"/>
        <v>5.05</v>
      </c>
      <c r="AA11" s="38">
        <f t="shared" si="4"/>
        <v>6.0000000000000009</v>
      </c>
    </row>
    <row r="12" spans="1:27" x14ac:dyDescent="0.35">
      <c r="A12" s="16"/>
      <c r="B12" s="17" t="s">
        <v>28</v>
      </c>
      <c r="C12" s="11"/>
      <c r="D12" s="11">
        <v>29</v>
      </c>
      <c r="E12" s="11">
        <v>24</v>
      </c>
      <c r="F12" s="11">
        <v>63</v>
      </c>
      <c r="G12" s="11">
        <v>45</v>
      </c>
      <c r="H12" s="11">
        <v>40</v>
      </c>
      <c r="I12" s="11">
        <v>59</v>
      </c>
      <c r="J12" s="15">
        <f t="shared" si="0"/>
        <v>6.5</v>
      </c>
      <c r="K12" s="12">
        <v>9</v>
      </c>
      <c r="L12" s="13"/>
      <c r="M12" s="16"/>
      <c r="N12" s="17" t="s">
        <v>28</v>
      </c>
      <c r="O12" s="11"/>
      <c r="P12" s="11">
        <v>29</v>
      </c>
      <c r="Q12" s="11">
        <v>24</v>
      </c>
      <c r="R12" s="11">
        <v>54</v>
      </c>
      <c r="S12" s="11">
        <v>34</v>
      </c>
      <c r="T12" s="11">
        <v>30</v>
      </c>
      <c r="U12" s="11">
        <v>35</v>
      </c>
      <c r="V12" s="15">
        <f t="shared" si="1"/>
        <v>5.15</v>
      </c>
      <c r="W12" s="12">
        <v>7</v>
      </c>
      <c r="Y12" s="36">
        <f t="shared" si="2"/>
        <v>6.5</v>
      </c>
      <c r="Z12" s="37">
        <f t="shared" si="3"/>
        <v>5.15</v>
      </c>
      <c r="AA12" s="38">
        <f t="shared" si="4"/>
        <v>1.3499999999999996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44</v>
      </c>
      <c r="O13" s="11"/>
      <c r="P13" s="11"/>
      <c r="Q13" s="11"/>
      <c r="R13" s="11">
        <v>600</v>
      </c>
      <c r="S13" s="11">
        <v>800</v>
      </c>
      <c r="T13" s="11">
        <v>1200</v>
      </c>
      <c r="U13" s="11">
        <v>1000</v>
      </c>
      <c r="V13" s="15">
        <f t="shared" si="1"/>
        <v>90</v>
      </c>
      <c r="W13" s="12">
        <v>1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>
        <v>120</v>
      </c>
      <c r="Q14" s="11">
        <v>160</v>
      </c>
      <c r="R14" s="11">
        <v>480</v>
      </c>
      <c r="S14" s="11">
        <v>320</v>
      </c>
      <c r="T14" s="11">
        <v>440</v>
      </c>
      <c r="U14" s="11">
        <v>560</v>
      </c>
      <c r="V14" s="15">
        <f t="shared" si="1"/>
        <v>52</v>
      </c>
      <c r="W14" s="12">
        <v>4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45</v>
      </c>
      <c r="O17" s="11"/>
      <c r="P17" s="11">
        <v>199</v>
      </c>
      <c r="Q17" s="11">
        <v>120</v>
      </c>
      <c r="R17" s="11">
        <v>280</v>
      </c>
      <c r="S17" s="11">
        <v>280</v>
      </c>
      <c r="T17" s="11">
        <v>240</v>
      </c>
      <c r="U17" s="11">
        <v>480</v>
      </c>
      <c r="V17" s="15">
        <f t="shared" si="1"/>
        <v>39.975000000000001</v>
      </c>
      <c r="W17" s="12">
        <v>2</v>
      </c>
      <c r="Y17" s="36">
        <f t="shared" si="2"/>
        <v>0</v>
      </c>
      <c r="Z17" s="37">
        <f t="shared" si="3"/>
        <v>39.975000000000001</v>
      </c>
      <c r="AA17" s="38">
        <f t="shared" si="4"/>
        <v>-39.975000000000001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201</v>
      </c>
      <c r="E18" s="25">
        <f t="shared" si="5"/>
        <v>190</v>
      </c>
      <c r="F18" s="25">
        <f t="shared" si="5"/>
        <v>297</v>
      </c>
      <c r="G18" s="25">
        <f t="shared" si="5"/>
        <v>365</v>
      </c>
      <c r="H18" s="25">
        <f t="shared" si="5"/>
        <v>335</v>
      </c>
      <c r="I18" s="25">
        <f t="shared" si="5"/>
        <v>531</v>
      </c>
      <c r="J18" s="26">
        <f>SUM(C18:I18)</f>
        <v>1919</v>
      </c>
      <c r="K18" s="28"/>
      <c r="M18" s="1"/>
      <c r="N18" s="7"/>
      <c r="O18" s="25">
        <f t="shared" ref="O18:U18" si="6">SUM(O8:O17)</f>
        <v>0</v>
      </c>
      <c r="P18" s="25">
        <f t="shared" si="6"/>
        <v>471</v>
      </c>
      <c r="Q18" s="25">
        <f t="shared" si="6"/>
        <v>412</v>
      </c>
      <c r="R18" s="25">
        <f t="shared" si="6"/>
        <v>1587</v>
      </c>
      <c r="S18" s="25">
        <f t="shared" si="6"/>
        <v>1674</v>
      </c>
      <c r="T18" s="25">
        <f t="shared" si="6"/>
        <v>2145</v>
      </c>
      <c r="U18" s="25">
        <f t="shared" si="6"/>
        <v>2477</v>
      </c>
      <c r="V18" s="26">
        <f>SUM(O18:U18)</f>
        <v>8766</v>
      </c>
      <c r="W18" s="28"/>
      <c r="Y18" s="33">
        <f>SUM(Y8:Y17)</f>
        <v>47.975000000000001</v>
      </c>
      <c r="Z18" s="34">
        <f>SUM(Z8:Z17)</f>
        <v>77.150000000000006</v>
      </c>
      <c r="AA18" s="35">
        <f>SUM(AA8:AA17)</f>
        <v>-29.175000000000001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5.0250000000000004</v>
      </c>
      <c r="E19" s="21">
        <f t="shared" si="7"/>
        <v>4.75</v>
      </c>
      <c r="F19" s="21">
        <f t="shared" si="7"/>
        <v>7.4249999999999998</v>
      </c>
      <c r="G19" s="21">
        <f t="shared" si="7"/>
        <v>9.125</v>
      </c>
      <c r="H19" s="21">
        <f t="shared" si="7"/>
        <v>8.375</v>
      </c>
      <c r="I19" s="21">
        <f t="shared" si="7"/>
        <v>13.275</v>
      </c>
      <c r="J19" s="22">
        <f t="shared" si="7"/>
        <v>47.975000000000001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11.775</v>
      </c>
      <c r="Q19" s="21">
        <f t="shared" si="8"/>
        <v>10.3</v>
      </c>
      <c r="R19" s="21">
        <f t="shared" si="8"/>
        <v>39.674999999999997</v>
      </c>
      <c r="S19" s="21">
        <f t="shared" si="8"/>
        <v>41.85</v>
      </c>
      <c r="T19" s="21">
        <f t="shared" si="8"/>
        <v>53.625</v>
      </c>
      <c r="U19" s="21">
        <f t="shared" si="8"/>
        <v>61.924999999999997</v>
      </c>
      <c r="V19" s="69">
        <f t="shared" si="8"/>
        <v>219.15</v>
      </c>
      <c r="W19" s="23"/>
      <c r="Y19" s="39">
        <f>Y18/40</f>
        <v>1.1993750000000001</v>
      </c>
      <c r="Z19" s="40">
        <f>Z18/40</f>
        <v>1.9287500000000002</v>
      </c>
      <c r="AA19" s="41">
        <f>AA18/40</f>
        <v>-0.729375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3F42-AC98-43DD-8F7A-85910B527402}">
  <dimension ref="A1:AA19"/>
  <sheetViews>
    <sheetView workbookViewId="0">
      <selection activeCell="M11" sqref="M11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  <c r="X1" t="s">
        <v>46</v>
      </c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  <c r="X2" t="s">
        <v>47</v>
      </c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30</v>
      </c>
      <c r="E8" s="11">
        <v>20</v>
      </c>
      <c r="F8" s="11">
        <v>70</v>
      </c>
      <c r="G8" s="11">
        <v>50</v>
      </c>
      <c r="H8" s="11">
        <v>40</v>
      </c>
      <c r="I8" s="11">
        <v>70</v>
      </c>
      <c r="J8" s="15">
        <f>SUM(C8:I8)/40</f>
        <v>7</v>
      </c>
      <c r="K8" s="12">
        <v>11</v>
      </c>
      <c r="L8" s="13"/>
      <c r="M8" s="14"/>
      <c r="N8" s="7" t="s">
        <v>13</v>
      </c>
      <c r="O8" s="11"/>
      <c r="P8" s="11">
        <v>30</v>
      </c>
      <c r="Q8" s="11">
        <v>20</v>
      </c>
      <c r="R8" s="11">
        <v>70</v>
      </c>
      <c r="S8" s="11">
        <v>50</v>
      </c>
      <c r="T8" s="11">
        <v>40</v>
      </c>
      <c r="U8" s="11">
        <v>70</v>
      </c>
      <c r="V8" s="15">
        <f>SUM(O8:U8)/40</f>
        <v>7</v>
      </c>
      <c r="W8" s="12">
        <v>11</v>
      </c>
      <c r="Y8" s="36">
        <f>J8</f>
        <v>7</v>
      </c>
      <c r="Z8" s="37">
        <f>V8</f>
        <v>7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>
        <v>63</v>
      </c>
      <c r="E9" s="11">
        <v>62</v>
      </c>
      <c r="F9" s="11">
        <v>75</v>
      </c>
      <c r="G9" s="11">
        <v>50</v>
      </c>
      <c r="H9" s="11">
        <v>50</v>
      </c>
      <c r="I9" s="11">
        <v>60</v>
      </c>
      <c r="J9" s="15">
        <f t="shared" ref="J9:J14" si="0">SUM(C9:I9)/40</f>
        <v>9</v>
      </c>
      <c r="K9" s="12">
        <v>4</v>
      </c>
      <c r="L9" s="13"/>
      <c r="M9" s="14"/>
      <c r="N9" s="7" t="s">
        <v>14</v>
      </c>
      <c r="O9" s="11"/>
      <c r="P9" s="11">
        <v>18</v>
      </c>
      <c r="Q9" s="11">
        <v>17</v>
      </c>
      <c r="R9" s="11">
        <v>25</v>
      </c>
      <c r="S9" s="11">
        <v>10</v>
      </c>
      <c r="T9" s="11">
        <v>10</v>
      </c>
      <c r="U9" s="11">
        <v>20</v>
      </c>
      <c r="V9" s="15">
        <f t="shared" ref="V9:V14" si="1">SUM(O9:U9)/40</f>
        <v>2.5</v>
      </c>
      <c r="W9" s="12">
        <v>3</v>
      </c>
      <c r="Y9" s="36">
        <f t="shared" ref="Y9:Y17" si="2">J9</f>
        <v>9</v>
      </c>
      <c r="Z9" s="37">
        <f t="shared" ref="Z9:Z17" si="3">V9</f>
        <v>2.5</v>
      </c>
      <c r="AA9" s="38">
        <f t="shared" ref="AA9:AA17" si="4">Y9-Z9</f>
        <v>6.5</v>
      </c>
    </row>
    <row r="10" spans="1:27" x14ac:dyDescent="0.35">
      <c r="A10" s="14"/>
      <c r="B10" s="7" t="s">
        <v>15</v>
      </c>
      <c r="C10" s="11"/>
      <c r="D10" s="43"/>
      <c r="E10" s="43"/>
      <c r="F10" s="43"/>
      <c r="G10" s="43"/>
      <c r="H10" s="43"/>
      <c r="I10" s="43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13</v>
      </c>
      <c r="E11" s="11">
        <v>13</v>
      </c>
      <c r="F11" s="11">
        <v>14</v>
      </c>
      <c r="G11" s="11">
        <v>78</v>
      </c>
      <c r="H11" s="11">
        <v>78</v>
      </c>
      <c r="I11" s="11">
        <v>84</v>
      </c>
      <c r="J11" s="15">
        <f t="shared" si="0"/>
        <v>7</v>
      </c>
      <c r="K11" s="12">
        <v>6</v>
      </c>
      <c r="L11" s="13"/>
      <c r="M11" s="16"/>
      <c r="N11" s="17" t="s">
        <v>29</v>
      </c>
      <c r="O11" s="11"/>
      <c r="P11" s="11">
        <v>13</v>
      </c>
      <c r="Q11" s="11">
        <v>13</v>
      </c>
      <c r="R11" s="11">
        <v>14</v>
      </c>
      <c r="S11" s="11">
        <v>52</v>
      </c>
      <c r="T11" s="11">
        <v>52</v>
      </c>
      <c r="U11" s="11">
        <v>56</v>
      </c>
      <c r="V11" s="15">
        <f t="shared" si="1"/>
        <v>5</v>
      </c>
      <c r="W11" s="12">
        <v>4</v>
      </c>
      <c r="Y11" s="36">
        <f t="shared" si="2"/>
        <v>7</v>
      </c>
      <c r="Z11" s="37">
        <f t="shared" si="3"/>
        <v>5</v>
      </c>
      <c r="AA11" s="38">
        <f t="shared" si="4"/>
        <v>2</v>
      </c>
    </row>
    <row r="12" spans="1:27" x14ac:dyDescent="0.35">
      <c r="A12" s="16"/>
      <c r="B12" s="17" t="s">
        <v>28</v>
      </c>
      <c r="C12" s="11"/>
      <c r="D12" s="11">
        <v>33</v>
      </c>
      <c r="E12" s="11">
        <v>40</v>
      </c>
      <c r="F12" s="11">
        <v>50</v>
      </c>
      <c r="G12" s="11">
        <v>25</v>
      </c>
      <c r="H12" s="11">
        <v>20</v>
      </c>
      <c r="I12" s="11">
        <v>22</v>
      </c>
      <c r="J12" s="15">
        <f t="shared" si="0"/>
        <v>4.75</v>
      </c>
      <c r="K12" s="12">
        <v>7</v>
      </c>
      <c r="L12" s="13"/>
      <c r="M12" s="16"/>
      <c r="N12" s="17" t="s">
        <v>28</v>
      </c>
      <c r="O12" s="11"/>
      <c r="P12" s="11">
        <v>14</v>
      </c>
      <c r="Q12" s="11">
        <v>26</v>
      </c>
      <c r="R12" s="11">
        <v>31</v>
      </c>
      <c r="S12" s="11">
        <v>25</v>
      </c>
      <c r="T12" s="11">
        <v>20</v>
      </c>
      <c r="U12" s="11">
        <v>22</v>
      </c>
      <c r="V12" s="15">
        <f t="shared" si="1"/>
        <v>3.45</v>
      </c>
      <c r="W12" s="12">
        <v>6</v>
      </c>
      <c r="Y12" s="36">
        <f t="shared" si="2"/>
        <v>4.75</v>
      </c>
      <c r="Z12" s="37">
        <f t="shared" si="3"/>
        <v>3.45</v>
      </c>
      <c r="AA12" s="38">
        <f t="shared" si="4"/>
        <v>1.2999999999999998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>
        <v>360</v>
      </c>
      <c r="E14" s="11">
        <v>440</v>
      </c>
      <c r="F14" s="11">
        <v>640</v>
      </c>
      <c r="G14" s="11">
        <v>840</v>
      </c>
      <c r="H14" s="11">
        <v>880</v>
      </c>
      <c r="I14" s="11">
        <v>1120</v>
      </c>
      <c r="J14" s="15">
        <f t="shared" si="0"/>
        <v>107</v>
      </c>
      <c r="K14" s="12">
        <v>5</v>
      </c>
      <c r="L14" s="13"/>
      <c r="M14" s="16"/>
      <c r="N14" s="17" t="s">
        <v>17</v>
      </c>
      <c r="O14" s="11"/>
      <c r="P14" s="11">
        <v>200</v>
      </c>
      <c r="Q14" s="11">
        <v>240</v>
      </c>
      <c r="R14" s="11">
        <v>560</v>
      </c>
      <c r="S14" s="11">
        <v>520</v>
      </c>
      <c r="T14" s="11">
        <v>640</v>
      </c>
      <c r="U14" s="11">
        <v>720</v>
      </c>
      <c r="V14" s="15">
        <f t="shared" si="1"/>
        <v>72</v>
      </c>
      <c r="W14" s="12">
        <v>4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v>8</v>
      </c>
      <c r="K15" s="12">
        <v>10</v>
      </c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v>8</v>
      </c>
      <c r="W15" s="12">
        <v>10</v>
      </c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v>7</v>
      </c>
      <c r="K16" s="12">
        <v>8</v>
      </c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v>7</v>
      </c>
      <c r="W16" s="12">
        <v>8</v>
      </c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v>5</v>
      </c>
      <c r="K17" s="18">
        <v>7</v>
      </c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v>5</v>
      </c>
      <c r="W17" s="18">
        <v>7</v>
      </c>
      <c r="Y17" s="36">
        <f t="shared" si="2"/>
        <v>5</v>
      </c>
      <c r="Z17" s="37">
        <f t="shared" si="3"/>
        <v>5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499</v>
      </c>
      <c r="E18" s="25">
        <f t="shared" si="5"/>
        <v>575</v>
      </c>
      <c r="F18" s="25">
        <f t="shared" si="5"/>
        <v>849</v>
      </c>
      <c r="G18" s="25">
        <f t="shared" si="5"/>
        <v>1043</v>
      </c>
      <c r="H18" s="25">
        <f t="shared" si="5"/>
        <v>1068</v>
      </c>
      <c r="I18" s="25">
        <f t="shared" si="5"/>
        <v>1356</v>
      </c>
      <c r="J18" s="26">
        <f>SUM(C18:I18)</f>
        <v>5390</v>
      </c>
      <c r="K18" s="28"/>
      <c r="M18" s="1"/>
      <c r="N18" s="7"/>
      <c r="O18" s="25">
        <f>SUM(O8:O16)</f>
        <v>0</v>
      </c>
      <c r="P18" s="25">
        <f t="shared" ref="P18:U18" si="6">SUM(P8:P16)</f>
        <v>275</v>
      </c>
      <c r="Q18" s="25">
        <f t="shared" si="6"/>
        <v>316</v>
      </c>
      <c r="R18" s="25">
        <f t="shared" si="6"/>
        <v>700</v>
      </c>
      <c r="S18" s="25">
        <f t="shared" si="6"/>
        <v>657</v>
      </c>
      <c r="T18" s="25">
        <f t="shared" si="6"/>
        <v>762</v>
      </c>
      <c r="U18" s="25">
        <f t="shared" si="6"/>
        <v>888</v>
      </c>
      <c r="V18" s="26">
        <f>SUM(O18:U18)</f>
        <v>3598</v>
      </c>
      <c r="W18" s="28"/>
      <c r="Y18" s="33">
        <f>SUM(Y8:Y17)</f>
        <v>32.75</v>
      </c>
      <c r="Z18" s="34">
        <f>SUM(Z8:Z17)</f>
        <v>22.95</v>
      </c>
      <c r="AA18" s="35">
        <f>SUM(AA8:AA17)</f>
        <v>9.8000000000000007</v>
      </c>
    </row>
    <row r="19" spans="1:27" ht="15" thickBot="1" x14ac:dyDescent="0.4">
      <c r="A19" s="1"/>
      <c r="B19" s="20" t="s">
        <v>18</v>
      </c>
      <c r="C19" s="21">
        <f t="shared" ref="C19:I19" si="7">C18/40</f>
        <v>0</v>
      </c>
      <c r="D19" s="21">
        <f t="shared" si="7"/>
        <v>12.475</v>
      </c>
      <c r="E19" s="21">
        <f t="shared" si="7"/>
        <v>14.375</v>
      </c>
      <c r="F19" s="21">
        <f t="shared" si="7"/>
        <v>21.225000000000001</v>
      </c>
      <c r="G19" s="21">
        <f t="shared" si="7"/>
        <v>26.074999999999999</v>
      </c>
      <c r="H19" s="21">
        <f t="shared" si="7"/>
        <v>26.7</v>
      </c>
      <c r="I19" s="21">
        <f t="shared" si="7"/>
        <v>33.9</v>
      </c>
      <c r="J19" s="22">
        <f>SUM(J8:J16)</f>
        <v>149.75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6.875</v>
      </c>
      <c r="Q19" s="21">
        <f t="shared" si="8"/>
        <v>7.9</v>
      </c>
      <c r="R19" s="21">
        <f t="shared" si="8"/>
        <v>17.5</v>
      </c>
      <c r="S19" s="21">
        <f t="shared" si="8"/>
        <v>16.425000000000001</v>
      </c>
      <c r="T19" s="21">
        <f t="shared" si="8"/>
        <v>19.05</v>
      </c>
      <c r="U19" s="21">
        <f t="shared" si="8"/>
        <v>22.2</v>
      </c>
      <c r="V19" s="22">
        <f t="shared" si="8"/>
        <v>89.95</v>
      </c>
      <c r="W19" s="23"/>
      <c r="Y19" s="39">
        <f>Y18/40</f>
        <v>0.81874999999999998</v>
      </c>
      <c r="Z19" s="40">
        <f>Z18/40</f>
        <v>0.57374999999999998</v>
      </c>
      <c r="AA19" s="41">
        <f>AA18/40</f>
        <v>0.24500000000000002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4E6D-17E5-4D33-833A-ACEA6390716F}">
  <dimension ref="A1:AA19"/>
  <sheetViews>
    <sheetView workbookViewId="0">
      <selection activeCell="W14" sqref="W14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30</v>
      </c>
      <c r="E8" s="11">
        <v>30</v>
      </c>
      <c r="F8" s="11">
        <v>60</v>
      </c>
      <c r="G8" s="11">
        <v>55</v>
      </c>
      <c r="H8" s="11">
        <v>40</v>
      </c>
      <c r="I8" s="11">
        <v>65</v>
      </c>
      <c r="J8" s="15">
        <f>SUM(C8:I8)/40</f>
        <v>7</v>
      </c>
      <c r="K8" s="12">
        <v>11</v>
      </c>
      <c r="L8" s="13"/>
      <c r="M8" s="14"/>
      <c r="N8" s="7" t="s">
        <v>13</v>
      </c>
      <c r="O8" s="11"/>
      <c r="P8" s="11">
        <v>15</v>
      </c>
      <c r="Q8" s="11">
        <v>20</v>
      </c>
      <c r="R8" s="11">
        <v>45</v>
      </c>
      <c r="S8" s="11">
        <v>40</v>
      </c>
      <c r="T8" s="11">
        <v>30</v>
      </c>
      <c r="U8" s="11">
        <v>50</v>
      </c>
      <c r="V8" s="15">
        <f>SUM(O8:U8)/40</f>
        <v>5</v>
      </c>
      <c r="W8" s="12">
        <v>10</v>
      </c>
      <c r="Y8" s="36">
        <f>J8</f>
        <v>7</v>
      </c>
      <c r="Z8" s="37">
        <f>V8</f>
        <v>5</v>
      </c>
      <c r="AA8" s="38">
        <f>Y8-Z8</f>
        <v>2</v>
      </c>
    </row>
    <row r="9" spans="1:27" x14ac:dyDescent="0.35">
      <c r="A9" s="14"/>
      <c r="B9" s="7" t="s">
        <v>14</v>
      </c>
      <c r="C9" s="11"/>
      <c r="D9" s="11">
        <v>20</v>
      </c>
      <c r="E9" s="11">
        <v>20</v>
      </c>
      <c r="F9" s="11">
        <v>20</v>
      </c>
      <c r="G9" s="11">
        <v>100</v>
      </c>
      <c r="H9" s="11">
        <v>20</v>
      </c>
      <c r="I9" s="11">
        <v>40</v>
      </c>
      <c r="J9" s="15">
        <f t="shared" ref="J9:J14" si="0">SUM(C9:I9)/40</f>
        <v>5.5</v>
      </c>
      <c r="K9" s="12">
        <v>4</v>
      </c>
      <c r="L9" s="13"/>
      <c r="M9" s="14"/>
      <c r="N9" s="7" t="s">
        <v>14</v>
      </c>
      <c r="O9" s="11"/>
      <c r="P9" s="11">
        <v>20</v>
      </c>
      <c r="Q9" s="11">
        <v>20</v>
      </c>
      <c r="R9" s="11">
        <v>20</v>
      </c>
      <c r="S9" s="11">
        <v>90</v>
      </c>
      <c r="T9" s="11">
        <v>10</v>
      </c>
      <c r="U9" s="11">
        <v>20</v>
      </c>
      <c r="V9" s="15">
        <f t="shared" ref="V9:V16" si="1">SUM(O9:U9)/40</f>
        <v>4.5</v>
      </c>
      <c r="W9" s="12">
        <v>3</v>
      </c>
      <c r="Y9" s="36">
        <f t="shared" ref="Y9:Y17" si="2">J9</f>
        <v>5.5</v>
      </c>
      <c r="Z9" s="37">
        <f t="shared" ref="Z9:Z17" si="3">V9</f>
        <v>4.5</v>
      </c>
      <c r="AA9" s="38">
        <f t="shared" ref="AA9:AA17" si="4">Y9-Z9</f>
        <v>1</v>
      </c>
    </row>
    <row r="10" spans="1:27" x14ac:dyDescent="0.35">
      <c r="A10" s="14"/>
      <c r="B10" s="7" t="s">
        <v>15</v>
      </c>
      <c r="C10" s="11"/>
      <c r="D10" s="43"/>
      <c r="E10" s="43"/>
      <c r="F10" s="43"/>
      <c r="G10" s="43"/>
      <c r="H10" s="43"/>
      <c r="I10" s="43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31</v>
      </c>
      <c r="E11" s="11">
        <v>31</v>
      </c>
      <c r="F11" s="11">
        <v>37</v>
      </c>
      <c r="G11" s="11">
        <v>158</v>
      </c>
      <c r="H11" s="11">
        <v>92</v>
      </c>
      <c r="I11" s="11">
        <v>189</v>
      </c>
      <c r="J11" s="15">
        <f t="shared" si="0"/>
        <v>13.45</v>
      </c>
      <c r="K11" s="12">
        <v>9</v>
      </c>
      <c r="L11" s="13"/>
      <c r="M11" s="16"/>
      <c r="N11" s="17" t="s">
        <v>29</v>
      </c>
      <c r="O11" s="11"/>
      <c r="P11" s="11">
        <v>31</v>
      </c>
      <c r="Q11" s="11">
        <v>31</v>
      </c>
      <c r="R11" s="11">
        <v>37</v>
      </c>
      <c r="S11" s="11">
        <v>158</v>
      </c>
      <c r="T11" s="11">
        <v>92</v>
      </c>
      <c r="U11" s="11">
        <v>189</v>
      </c>
      <c r="V11" s="15">
        <f t="shared" si="1"/>
        <v>13.45</v>
      </c>
      <c r="W11" s="12">
        <v>9</v>
      </c>
      <c r="Y11" s="36">
        <f t="shared" si="2"/>
        <v>13.45</v>
      </c>
      <c r="Z11" s="37">
        <f t="shared" si="3"/>
        <v>13.45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>
        <v>74</v>
      </c>
      <c r="E12" s="11">
        <v>49</v>
      </c>
      <c r="F12" s="11">
        <v>50</v>
      </c>
      <c r="G12" s="11">
        <v>68</v>
      </c>
      <c r="H12" s="11">
        <v>49</v>
      </c>
      <c r="I12" s="11">
        <v>50</v>
      </c>
      <c r="J12" s="15">
        <f t="shared" si="0"/>
        <v>8.5</v>
      </c>
      <c r="K12" s="12">
        <v>6</v>
      </c>
      <c r="L12" s="13"/>
      <c r="M12" s="16"/>
      <c r="N12" s="17" t="s">
        <v>28</v>
      </c>
      <c r="O12" s="11"/>
      <c r="P12" s="11">
        <v>52</v>
      </c>
      <c r="Q12" s="11">
        <v>48</v>
      </c>
      <c r="R12" s="11">
        <v>50</v>
      </c>
      <c r="S12" s="11">
        <v>68</v>
      </c>
      <c r="T12" s="11">
        <v>49</v>
      </c>
      <c r="U12" s="11">
        <v>50</v>
      </c>
      <c r="V12" s="15">
        <f t="shared" si="1"/>
        <v>7.9249999999999998</v>
      </c>
      <c r="W12" s="12">
        <v>6</v>
      </c>
      <c r="Y12" s="36">
        <f t="shared" si="2"/>
        <v>8.5</v>
      </c>
      <c r="Z12" s="37">
        <f t="shared" si="3"/>
        <v>7.9249999999999998</v>
      </c>
      <c r="AA12" s="38">
        <f t="shared" si="4"/>
        <v>0.57500000000000018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>
        <v>360</v>
      </c>
      <c r="E14" s="11">
        <v>480</v>
      </c>
      <c r="F14" s="11">
        <v>480</v>
      </c>
      <c r="G14" s="11">
        <v>480</v>
      </c>
      <c r="H14" s="11">
        <v>460</v>
      </c>
      <c r="I14" s="11">
        <v>520</v>
      </c>
      <c r="J14" s="15">
        <f t="shared" si="0"/>
        <v>69.5</v>
      </c>
      <c r="K14" s="12">
        <v>6</v>
      </c>
      <c r="L14" s="13"/>
      <c r="M14" s="16"/>
      <c r="N14" s="17" t="s">
        <v>17</v>
      </c>
      <c r="O14" s="11"/>
      <c r="P14" s="11">
        <v>360</v>
      </c>
      <c r="Q14" s="11">
        <v>480</v>
      </c>
      <c r="R14" s="11">
        <v>480</v>
      </c>
      <c r="S14" s="11">
        <v>480</v>
      </c>
      <c r="T14" s="11">
        <v>460</v>
      </c>
      <c r="U14" s="11">
        <v>520</v>
      </c>
      <c r="V14" s="15">
        <f t="shared" si="1"/>
        <v>69.5</v>
      </c>
      <c r="W14" s="12">
        <v>6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v>12</v>
      </c>
      <c r="K15" s="12">
        <v>10</v>
      </c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v>7</v>
      </c>
      <c r="K16" s="12">
        <v>9</v>
      </c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v>15</v>
      </c>
      <c r="K17" s="18">
        <v>8</v>
      </c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15</v>
      </c>
      <c r="Z17" s="37">
        <f t="shared" si="3"/>
        <v>0</v>
      </c>
      <c r="AA17" s="38">
        <f t="shared" si="4"/>
        <v>15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515</v>
      </c>
      <c r="E18" s="25">
        <f t="shared" si="5"/>
        <v>610</v>
      </c>
      <c r="F18" s="25">
        <f t="shared" si="5"/>
        <v>647</v>
      </c>
      <c r="G18" s="25">
        <f t="shared" si="5"/>
        <v>861</v>
      </c>
      <c r="H18" s="25">
        <f t="shared" si="5"/>
        <v>661</v>
      </c>
      <c r="I18" s="25">
        <f t="shared" si="5"/>
        <v>864</v>
      </c>
      <c r="J18" s="26">
        <f>SUM(C18:I18)</f>
        <v>4158</v>
      </c>
      <c r="K18" s="28"/>
      <c r="M18" s="1"/>
      <c r="N18" s="7"/>
      <c r="O18" s="25">
        <f t="shared" ref="O18:U18" si="6">SUM(O8:O17)</f>
        <v>0</v>
      </c>
      <c r="P18" s="25">
        <f t="shared" si="6"/>
        <v>478</v>
      </c>
      <c r="Q18" s="25">
        <f t="shared" si="6"/>
        <v>599</v>
      </c>
      <c r="R18" s="25">
        <f t="shared" si="6"/>
        <v>632</v>
      </c>
      <c r="S18" s="25">
        <f t="shared" si="6"/>
        <v>836</v>
      </c>
      <c r="T18" s="25">
        <f t="shared" si="6"/>
        <v>641</v>
      </c>
      <c r="U18" s="25">
        <f t="shared" si="6"/>
        <v>829</v>
      </c>
      <c r="V18" s="26">
        <f>SUM(O18:U18)</f>
        <v>4015</v>
      </c>
      <c r="W18" s="28"/>
      <c r="Y18" s="33">
        <f>SUM(Y8:Y17)</f>
        <v>49.45</v>
      </c>
      <c r="Z18" s="34">
        <f>SUM(Z8:Z17)</f>
        <v>30.875</v>
      </c>
      <c r="AA18" s="35">
        <f>SUM(AA8:AA17)</f>
        <v>18.574999999999999</v>
      </c>
    </row>
    <row r="19" spans="1:27" ht="15" thickBot="1" x14ac:dyDescent="0.4">
      <c r="A19" s="1"/>
      <c r="B19" s="20" t="s">
        <v>18</v>
      </c>
      <c r="C19" s="21">
        <f t="shared" ref="C19:I19" si="7">C18/40</f>
        <v>0</v>
      </c>
      <c r="D19" s="21">
        <f t="shared" si="7"/>
        <v>12.875</v>
      </c>
      <c r="E19" s="21">
        <f t="shared" si="7"/>
        <v>15.25</v>
      </c>
      <c r="F19" s="21">
        <f t="shared" si="7"/>
        <v>16.175000000000001</v>
      </c>
      <c r="G19" s="21">
        <f t="shared" si="7"/>
        <v>21.524999999999999</v>
      </c>
      <c r="H19" s="21">
        <f t="shared" si="7"/>
        <v>16.524999999999999</v>
      </c>
      <c r="I19" s="21">
        <f t="shared" si="7"/>
        <v>21.6</v>
      </c>
      <c r="J19" s="22">
        <f>SUM(J8:J16)</f>
        <v>122.95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11.95</v>
      </c>
      <c r="Q19" s="21">
        <f t="shared" si="8"/>
        <v>14.975</v>
      </c>
      <c r="R19" s="21">
        <f t="shared" si="8"/>
        <v>15.8</v>
      </c>
      <c r="S19" s="21">
        <f t="shared" si="8"/>
        <v>20.9</v>
      </c>
      <c r="T19" s="21">
        <f t="shared" si="8"/>
        <v>16.024999999999999</v>
      </c>
      <c r="U19" s="21">
        <f t="shared" si="8"/>
        <v>20.725000000000001</v>
      </c>
      <c r="V19" s="22">
        <f t="shared" si="8"/>
        <v>100.375</v>
      </c>
      <c r="W19" s="23"/>
      <c r="Y19" s="39">
        <f>Y18/40</f>
        <v>1.2362500000000001</v>
      </c>
      <c r="Z19" s="40">
        <f>Z18/40</f>
        <v>0.77187499999999998</v>
      </c>
      <c r="AA19" s="41">
        <f>AA18/40</f>
        <v>0.46437499999999998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78AC-42E1-47D8-9009-F093134445D4}">
  <dimension ref="A1:AA22"/>
  <sheetViews>
    <sheetView topLeftCell="A2" workbookViewId="0">
      <selection activeCell="W14" sqref="W14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4.26953125" bestFit="1" customWidth="1"/>
    <col min="19" max="19" width="3.90625" bestFit="1" customWidth="1"/>
    <col min="20" max="20" width="3.6328125" bestFit="1" customWidth="1"/>
    <col min="21" max="21" width="4.2695312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10</v>
      </c>
      <c r="E8" s="11">
        <v>10</v>
      </c>
      <c r="F8" s="11">
        <v>20</v>
      </c>
      <c r="G8" s="11">
        <v>100</v>
      </c>
      <c r="H8" s="11">
        <v>50</v>
      </c>
      <c r="I8" s="11">
        <v>260</v>
      </c>
      <c r="J8" s="15">
        <f>SUM(C8:I8)/40</f>
        <v>11.25</v>
      </c>
      <c r="K8" s="12">
        <v>11</v>
      </c>
      <c r="L8" s="13"/>
      <c r="M8" s="14"/>
      <c r="N8" s="7" t="s">
        <v>13</v>
      </c>
      <c r="O8" s="11"/>
      <c r="P8" s="11">
        <v>10</v>
      </c>
      <c r="Q8" s="11">
        <v>10</v>
      </c>
      <c r="R8" s="11">
        <v>20</v>
      </c>
      <c r="S8" s="11">
        <v>100</v>
      </c>
      <c r="T8" s="11">
        <v>50</v>
      </c>
      <c r="U8" s="11">
        <v>260</v>
      </c>
      <c r="V8" s="15">
        <f>SUM(O8:U8)/40</f>
        <v>11.25</v>
      </c>
      <c r="W8" s="12">
        <v>11</v>
      </c>
      <c r="Y8" s="36">
        <f>J8</f>
        <v>11.25</v>
      </c>
      <c r="Z8" s="37">
        <f>V8</f>
        <v>11.25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>
        <v>0</v>
      </c>
      <c r="E9" s="11">
        <v>0</v>
      </c>
      <c r="F9" s="11">
        <v>0</v>
      </c>
      <c r="G9" s="11">
        <v>121</v>
      </c>
      <c r="H9" s="11">
        <v>111</v>
      </c>
      <c r="I9" s="11">
        <v>168</v>
      </c>
      <c r="J9" s="15">
        <f t="shared" ref="J9:J17" si="0">SUM(C9:I9)/40</f>
        <v>10</v>
      </c>
      <c r="K9" s="12">
        <v>4</v>
      </c>
      <c r="L9" s="13"/>
      <c r="M9" s="14"/>
      <c r="N9" s="7" t="s">
        <v>14</v>
      </c>
      <c r="O9" s="11"/>
      <c r="P9" s="11">
        <v>0</v>
      </c>
      <c r="Q9" s="11">
        <v>0</v>
      </c>
      <c r="R9" s="11">
        <v>0</v>
      </c>
      <c r="S9" s="11">
        <v>121</v>
      </c>
      <c r="T9" s="11">
        <v>111</v>
      </c>
      <c r="U9" s="11">
        <v>168</v>
      </c>
      <c r="V9" s="15">
        <f t="shared" ref="V9:V16" si="1">SUM(O9:U9)/40</f>
        <v>10</v>
      </c>
      <c r="W9" s="12">
        <v>4</v>
      </c>
      <c r="Y9" s="36">
        <f t="shared" ref="Y9:Y17" si="2">J9</f>
        <v>10</v>
      </c>
      <c r="Z9" s="37">
        <f t="shared" ref="Z9:Z17" si="3">V9</f>
        <v>10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>
        <v>27</v>
      </c>
      <c r="E12" s="11">
        <v>13</v>
      </c>
      <c r="F12" s="11">
        <v>30</v>
      </c>
      <c r="G12" s="11">
        <v>36</v>
      </c>
      <c r="H12" s="11">
        <v>20</v>
      </c>
      <c r="I12" s="11">
        <v>30</v>
      </c>
      <c r="J12" s="15">
        <f t="shared" si="0"/>
        <v>3.9</v>
      </c>
      <c r="K12" s="12">
        <v>4</v>
      </c>
      <c r="L12" s="13"/>
      <c r="M12" s="16"/>
      <c r="N12" s="17" t="s">
        <v>28</v>
      </c>
      <c r="O12" s="11"/>
      <c r="P12" s="11">
        <v>27</v>
      </c>
      <c r="Q12" s="11">
        <v>10</v>
      </c>
      <c r="R12" s="11">
        <v>27</v>
      </c>
      <c r="S12" s="11">
        <v>30</v>
      </c>
      <c r="T12" s="11">
        <v>20</v>
      </c>
      <c r="U12" s="11">
        <v>30</v>
      </c>
      <c r="V12" s="15">
        <f t="shared" si="1"/>
        <v>3.6</v>
      </c>
      <c r="W12" s="12">
        <v>3</v>
      </c>
      <c r="Y12" s="36">
        <f t="shared" si="2"/>
        <v>3.9</v>
      </c>
      <c r="Z12" s="37">
        <f t="shared" si="3"/>
        <v>3.6</v>
      </c>
      <c r="AA12" s="38">
        <f t="shared" si="4"/>
        <v>0.29999999999999982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48</v>
      </c>
      <c r="O13" s="11"/>
      <c r="P13" s="11"/>
      <c r="Q13" s="11"/>
      <c r="R13" s="11"/>
      <c r="S13" s="11">
        <v>3000</v>
      </c>
      <c r="T13" s="11">
        <v>2000</v>
      </c>
      <c r="U13" s="11">
        <v>3000</v>
      </c>
      <c r="V13" s="15">
        <f t="shared" si="1"/>
        <v>200</v>
      </c>
      <c r="W13" s="12">
        <v>1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v>52</v>
      </c>
      <c r="K14" s="12">
        <v>2</v>
      </c>
      <c r="L14" s="13"/>
      <c r="M14" s="16"/>
      <c r="N14" s="17" t="s">
        <v>17</v>
      </c>
      <c r="O14" s="11"/>
      <c r="P14" s="11">
        <v>280</v>
      </c>
      <c r="Q14" s="11">
        <v>160</v>
      </c>
      <c r="R14" s="11">
        <v>80</v>
      </c>
      <c r="S14" s="11">
        <v>340</v>
      </c>
      <c r="T14" s="11">
        <v>300</v>
      </c>
      <c r="U14" s="11">
        <v>700</v>
      </c>
      <c r="V14" s="15">
        <f t="shared" si="1"/>
        <v>46.5</v>
      </c>
      <c r="W14" s="12">
        <v>2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37</v>
      </c>
      <c r="E18" s="25">
        <f t="shared" si="5"/>
        <v>23</v>
      </c>
      <c r="F18" s="25">
        <f t="shared" si="5"/>
        <v>50</v>
      </c>
      <c r="G18" s="25">
        <f t="shared" si="5"/>
        <v>257</v>
      </c>
      <c r="H18" s="25">
        <f t="shared" si="5"/>
        <v>181</v>
      </c>
      <c r="I18" s="25">
        <f t="shared" si="5"/>
        <v>458</v>
      </c>
      <c r="J18" s="26">
        <f>SUM(C18:I18)</f>
        <v>1006</v>
      </c>
      <c r="K18" s="28"/>
      <c r="M18" s="1"/>
      <c r="N18" s="7"/>
      <c r="O18" s="25">
        <f t="shared" ref="O18:U18" si="6">SUM(O8:O17)</f>
        <v>0</v>
      </c>
      <c r="P18" s="25">
        <f t="shared" si="6"/>
        <v>317</v>
      </c>
      <c r="Q18" s="25">
        <f t="shared" si="6"/>
        <v>180</v>
      </c>
      <c r="R18" s="25">
        <f t="shared" si="6"/>
        <v>127</v>
      </c>
      <c r="S18" s="25">
        <f t="shared" si="6"/>
        <v>3591</v>
      </c>
      <c r="T18" s="25">
        <f t="shared" si="6"/>
        <v>2481</v>
      </c>
      <c r="U18" s="25">
        <f t="shared" si="6"/>
        <v>4158</v>
      </c>
      <c r="V18" s="26">
        <f>SUM(O18:U18)</f>
        <v>10854</v>
      </c>
      <c r="W18" s="28"/>
      <c r="Y18" s="33">
        <f>SUM(Y8:Y17)</f>
        <v>25.15</v>
      </c>
      <c r="Z18" s="34">
        <f>SUM(Z8:Z17)</f>
        <v>24.85</v>
      </c>
      <c r="AA18" s="35">
        <f>SUM(AA8:AA17)</f>
        <v>0.29999999999999982</v>
      </c>
    </row>
    <row r="19" spans="1:27" ht="15" thickBot="1" x14ac:dyDescent="0.4">
      <c r="A19" s="1"/>
      <c r="B19" s="20" t="s">
        <v>18</v>
      </c>
      <c r="C19" s="21">
        <f t="shared" ref="C19:I19" si="7">C18/40</f>
        <v>0</v>
      </c>
      <c r="D19" s="21">
        <f t="shared" si="7"/>
        <v>0.92500000000000004</v>
      </c>
      <c r="E19" s="21">
        <f t="shared" si="7"/>
        <v>0.57499999999999996</v>
      </c>
      <c r="F19" s="21">
        <f t="shared" si="7"/>
        <v>1.25</v>
      </c>
      <c r="G19" s="21">
        <f t="shared" si="7"/>
        <v>6.4249999999999998</v>
      </c>
      <c r="H19" s="21">
        <f t="shared" si="7"/>
        <v>4.5250000000000004</v>
      </c>
      <c r="I19" s="21">
        <f t="shared" si="7"/>
        <v>11.45</v>
      </c>
      <c r="J19" s="22">
        <f>SUM(J8:J16)</f>
        <v>77.150000000000006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7.9249999999999998</v>
      </c>
      <c r="Q19" s="21">
        <f t="shared" si="8"/>
        <v>4.5</v>
      </c>
      <c r="R19" s="21">
        <f t="shared" si="8"/>
        <v>3.1749999999999998</v>
      </c>
      <c r="S19" s="21">
        <f t="shared" si="8"/>
        <v>89.775000000000006</v>
      </c>
      <c r="T19" s="21">
        <f t="shared" si="8"/>
        <v>62.024999999999999</v>
      </c>
      <c r="U19" s="21">
        <f t="shared" si="8"/>
        <v>103.95</v>
      </c>
      <c r="V19" s="22">
        <f t="shared" si="8"/>
        <v>271.35000000000002</v>
      </c>
      <c r="W19" s="23"/>
      <c r="Y19" s="39">
        <f>Y18/40</f>
        <v>0.62874999999999992</v>
      </c>
      <c r="Z19" s="40">
        <f>Z18/40</f>
        <v>0.62125000000000008</v>
      </c>
      <c r="AA19" s="41">
        <f>AA18/40</f>
        <v>7.4999999999999954E-3</v>
      </c>
    </row>
    <row r="22" spans="1:27" x14ac:dyDescent="0.35">
      <c r="J22" t="s">
        <v>39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57C8-6669-47B4-92C0-B801164619FC}">
  <dimension ref="A1:AA19"/>
  <sheetViews>
    <sheetView workbookViewId="0">
      <selection activeCell="U9" sqref="U9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40</v>
      </c>
      <c r="E8" s="11">
        <v>70</v>
      </c>
      <c r="F8" s="11">
        <v>90</v>
      </c>
      <c r="G8" s="11">
        <v>80</v>
      </c>
      <c r="H8" s="11">
        <v>0</v>
      </c>
      <c r="I8" s="11">
        <v>80</v>
      </c>
      <c r="J8" s="15">
        <f>SUM(D8:I8)/40</f>
        <v>9</v>
      </c>
      <c r="K8" s="12">
        <v>8</v>
      </c>
      <c r="L8" s="13"/>
      <c r="M8" s="14"/>
      <c r="N8" s="7" t="s">
        <v>13</v>
      </c>
      <c r="O8" s="11"/>
      <c r="P8" s="11">
        <v>40</v>
      </c>
      <c r="Q8" s="11">
        <v>70</v>
      </c>
      <c r="R8" s="11">
        <v>90</v>
      </c>
      <c r="S8" s="11">
        <v>80</v>
      </c>
      <c r="T8" s="11">
        <v>0</v>
      </c>
      <c r="U8" s="11">
        <v>80</v>
      </c>
      <c r="V8" s="15">
        <f>SUM(O8:U8)/40</f>
        <v>9</v>
      </c>
      <c r="W8" s="12">
        <v>8</v>
      </c>
      <c r="Y8" s="36">
        <f>J8</f>
        <v>9</v>
      </c>
      <c r="Z8" s="37">
        <f>V8</f>
        <v>9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>
        <v>35</v>
      </c>
      <c r="E9" s="11">
        <v>30</v>
      </c>
      <c r="F9" s="11">
        <v>15</v>
      </c>
      <c r="G9" s="11">
        <v>45</v>
      </c>
      <c r="H9" s="11">
        <v>20</v>
      </c>
      <c r="I9" s="11">
        <v>95</v>
      </c>
      <c r="J9" s="15">
        <f t="shared" ref="J9:J17" si="0">SUM(D9:I9)/40</f>
        <v>6</v>
      </c>
      <c r="K9" s="12">
        <v>5</v>
      </c>
      <c r="L9" s="13"/>
      <c r="M9" s="14"/>
      <c r="N9" s="7" t="s">
        <v>14</v>
      </c>
      <c r="O9" s="11"/>
      <c r="P9" s="11">
        <v>20</v>
      </c>
      <c r="Q9" s="11">
        <v>20</v>
      </c>
      <c r="R9" s="11">
        <v>0</v>
      </c>
      <c r="S9" s="11">
        <v>35</v>
      </c>
      <c r="T9" s="11">
        <v>10</v>
      </c>
      <c r="U9" s="11">
        <v>75</v>
      </c>
      <c r="V9" s="15">
        <f t="shared" ref="V9:V16" si="1">SUM(O9:U9)/40</f>
        <v>4</v>
      </c>
      <c r="W9" s="12">
        <v>3</v>
      </c>
      <c r="Y9" s="36">
        <f t="shared" ref="Y9:Y17" si="2">J9</f>
        <v>6</v>
      </c>
      <c r="Z9" s="37">
        <f t="shared" ref="Z9:Z17" si="3">V9</f>
        <v>4</v>
      </c>
      <c r="AA9" s="38">
        <f t="shared" ref="AA9:AA17" si="4">Y9-Z9</f>
        <v>2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10</v>
      </c>
      <c r="E11" s="11">
        <v>10</v>
      </c>
      <c r="F11" s="11">
        <v>10</v>
      </c>
      <c r="G11" s="11">
        <v>93</v>
      </c>
      <c r="H11" s="11">
        <v>49</v>
      </c>
      <c r="I11" s="11">
        <v>152</v>
      </c>
      <c r="J11" s="15">
        <f t="shared" si="0"/>
        <v>8.1</v>
      </c>
      <c r="K11" s="12">
        <v>9</v>
      </c>
      <c r="L11" s="13"/>
      <c r="M11" s="16"/>
      <c r="N11" s="17" t="s">
        <v>29</v>
      </c>
      <c r="O11" s="11"/>
      <c r="P11" s="11">
        <v>10</v>
      </c>
      <c r="Q11" s="11">
        <v>10</v>
      </c>
      <c r="R11" s="11">
        <v>10</v>
      </c>
      <c r="S11" s="11">
        <v>89</v>
      </c>
      <c r="T11" s="11">
        <v>49</v>
      </c>
      <c r="U11" s="11">
        <v>64</v>
      </c>
      <c r="V11" s="15">
        <f t="shared" si="1"/>
        <v>5.8</v>
      </c>
      <c r="W11" s="12">
        <v>7</v>
      </c>
      <c r="Y11" s="36">
        <f t="shared" si="2"/>
        <v>8.1</v>
      </c>
      <c r="Z11" s="37">
        <f t="shared" si="3"/>
        <v>5.8</v>
      </c>
      <c r="AA11" s="38">
        <f t="shared" si="4"/>
        <v>2.2999999999999998</v>
      </c>
    </row>
    <row r="12" spans="1:27" x14ac:dyDescent="0.35">
      <c r="A12" s="16"/>
      <c r="B12" s="17" t="s">
        <v>28</v>
      </c>
      <c r="C12" s="11"/>
      <c r="D12" s="11">
        <v>48</v>
      </c>
      <c r="E12" s="11">
        <v>43</v>
      </c>
      <c r="F12" s="11">
        <v>106</v>
      </c>
      <c r="G12" s="11">
        <v>13</v>
      </c>
      <c r="H12" s="11">
        <v>3</v>
      </c>
      <c r="I12" s="11">
        <v>15</v>
      </c>
      <c r="J12" s="15">
        <f t="shared" si="0"/>
        <v>5.7</v>
      </c>
      <c r="K12" s="12">
        <v>6</v>
      </c>
      <c r="L12" s="13"/>
      <c r="M12" s="16"/>
      <c r="N12" s="17" t="s">
        <v>28</v>
      </c>
      <c r="O12" s="11"/>
      <c r="P12" s="11">
        <v>48</v>
      </c>
      <c r="Q12" s="11">
        <v>33</v>
      </c>
      <c r="R12" s="11">
        <v>76</v>
      </c>
      <c r="S12" s="11">
        <v>13</v>
      </c>
      <c r="T12" s="11">
        <v>3</v>
      </c>
      <c r="U12" s="11">
        <v>15</v>
      </c>
      <c r="V12" s="15">
        <f t="shared" si="1"/>
        <v>4.7</v>
      </c>
      <c r="W12" s="12">
        <v>5</v>
      </c>
      <c r="Y12" s="36">
        <f t="shared" si="2"/>
        <v>5.7</v>
      </c>
      <c r="Z12" s="37">
        <f t="shared" si="3"/>
        <v>4.7</v>
      </c>
      <c r="AA12" s="38">
        <f t="shared" si="4"/>
        <v>1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>
        <v>400</v>
      </c>
      <c r="E14" s="11">
        <v>480</v>
      </c>
      <c r="F14" s="11">
        <v>440</v>
      </c>
      <c r="G14" s="11">
        <v>440</v>
      </c>
      <c r="H14" s="11">
        <v>480</v>
      </c>
      <c r="I14" s="11">
        <v>400</v>
      </c>
      <c r="J14" s="15">
        <f t="shared" si="0"/>
        <v>66</v>
      </c>
      <c r="K14" s="12">
        <v>3</v>
      </c>
      <c r="L14" s="13"/>
      <c r="M14" s="16"/>
      <c r="N14" s="17" t="s">
        <v>17</v>
      </c>
      <c r="O14" s="11"/>
      <c r="P14" s="11">
        <v>400</v>
      </c>
      <c r="Q14" s="11">
        <v>478</v>
      </c>
      <c r="R14" s="11">
        <v>440</v>
      </c>
      <c r="S14" s="11">
        <v>440</v>
      </c>
      <c r="T14" s="11">
        <v>480</v>
      </c>
      <c r="U14" s="11">
        <v>400</v>
      </c>
      <c r="V14" s="15">
        <f t="shared" si="1"/>
        <v>65.95</v>
      </c>
      <c r="W14" s="12">
        <v>3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533</v>
      </c>
      <c r="E18" s="25">
        <f t="shared" si="5"/>
        <v>633</v>
      </c>
      <c r="F18" s="25">
        <f t="shared" si="5"/>
        <v>661</v>
      </c>
      <c r="G18" s="25">
        <f t="shared" si="5"/>
        <v>671</v>
      </c>
      <c r="H18" s="25">
        <f t="shared" si="5"/>
        <v>552</v>
      </c>
      <c r="I18" s="25">
        <f t="shared" si="5"/>
        <v>742</v>
      </c>
      <c r="J18" s="26">
        <f>SUM(C18:I18)</f>
        <v>3792</v>
      </c>
      <c r="K18" s="28"/>
      <c r="M18" s="1"/>
      <c r="N18" s="7"/>
      <c r="O18" s="25">
        <f t="shared" ref="O18:U18" si="6">SUM(O8:O17)</f>
        <v>0</v>
      </c>
      <c r="P18" s="25">
        <f t="shared" si="6"/>
        <v>518</v>
      </c>
      <c r="Q18" s="25">
        <f t="shared" si="6"/>
        <v>611</v>
      </c>
      <c r="R18" s="25">
        <f t="shared" si="6"/>
        <v>616</v>
      </c>
      <c r="S18" s="25">
        <f t="shared" si="6"/>
        <v>657</v>
      </c>
      <c r="T18" s="25">
        <f t="shared" si="6"/>
        <v>542</v>
      </c>
      <c r="U18" s="25">
        <f t="shared" si="6"/>
        <v>634</v>
      </c>
      <c r="V18" s="26">
        <f>SUM(O18:U18)</f>
        <v>3578</v>
      </c>
      <c r="W18" s="28"/>
      <c r="Y18" s="33">
        <f>SUM(Y8:Y17)</f>
        <v>28.8</v>
      </c>
      <c r="Z18" s="34">
        <f>SUM(Z8:Z17)</f>
        <v>23.5</v>
      </c>
      <c r="AA18" s="35">
        <f>SUM(AA8:AA17)</f>
        <v>5.3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13.324999999999999</v>
      </c>
      <c r="E19" s="21">
        <f t="shared" si="7"/>
        <v>15.824999999999999</v>
      </c>
      <c r="F19" s="21">
        <f t="shared" si="7"/>
        <v>16.524999999999999</v>
      </c>
      <c r="G19" s="21">
        <f t="shared" si="7"/>
        <v>16.774999999999999</v>
      </c>
      <c r="H19" s="21">
        <f t="shared" si="7"/>
        <v>13.8</v>
      </c>
      <c r="I19" s="21">
        <f t="shared" si="7"/>
        <v>18.55</v>
      </c>
      <c r="J19" s="22">
        <f t="shared" si="7"/>
        <v>94.8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12.95</v>
      </c>
      <c r="Q19" s="21">
        <f t="shared" si="8"/>
        <v>15.275</v>
      </c>
      <c r="R19" s="21">
        <f t="shared" si="8"/>
        <v>15.4</v>
      </c>
      <c r="S19" s="21">
        <f t="shared" si="8"/>
        <v>16.425000000000001</v>
      </c>
      <c r="T19" s="21">
        <f t="shared" si="8"/>
        <v>13.55</v>
      </c>
      <c r="U19" s="21">
        <f t="shared" si="8"/>
        <v>15.85</v>
      </c>
      <c r="V19" s="22">
        <f t="shared" si="8"/>
        <v>89.45</v>
      </c>
      <c r="W19" s="23"/>
      <c r="Y19" s="39">
        <f>Y18/40</f>
        <v>0.72</v>
      </c>
      <c r="Z19" s="40">
        <f>Z18/40</f>
        <v>0.58750000000000002</v>
      </c>
      <c r="AA19" s="41">
        <f>AA18/40</f>
        <v>0.13250000000000001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B511-BA97-45BD-9562-F3C78F09ECB1}">
  <dimension ref="A1:AA19"/>
  <sheetViews>
    <sheetView topLeftCell="A2" workbookViewId="0">
      <selection activeCell="N8" sqref="N8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2" si="0">SUM(C9:I9)/40</f>
        <v>0</v>
      </c>
      <c r="K9" s="12"/>
      <c r="L9" s="13"/>
      <c r="M9" s="14"/>
      <c r="N9" s="7" t="s">
        <v>14</v>
      </c>
      <c r="O9" s="11"/>
      <c r="P9" s="11"/>
      <c r="Q9" s="11"/>
      <c r="R9" s="11"/>
      <c r="S9" s="11"/>
      <c r="T9" s="11"/>
      <c r="U9" s="11"/>
      <c r="V9" s="15">
        <f t="shared" ref="V9:V17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ht="15.5" x14ac:dyDescent="0.35">
      <c r="A10" s="14"/>
      <c r="B10" s="7" t="s">
        <v>15</v>
      </c>
      <c r="C10" s="90"/>
      <c r="D10" s="91"/>
      <c r="E10" s="91"/>
      <c r="F10" s="91"/>
      <c r="G10" s="91"/>
      <c r="H10" s="91"/>
      <c r="I10" s="92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v>90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v>16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v>9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v>6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v>6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/>
      <c r="Y17" s="36">
        <f t="shared" si="2"/>
        <v>6</v>
      </c>
      <c r="Z17" s="37">
        <f t="shared" si="3"/>
        <v>0</v>
      </c>
      <c r="AA17" s="38">
        <f t="shared" si="4"/>
        <v>6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6">
        <f>SUM(C18:I18)</f>
        <v>0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6</v>
      </c>
      <c r="Z18" s="34">
        <f>SUM(Z8:Z17)</f>
        <v>0</v>
      </c>
      <c r="AA18" s="35">
        <f>SUM(AA8:AA17)</f>
        <v>6</v>
      </c>
    </row>
    <row r="19" spans="1:27" ht="15" thickBot="1" x14ac:dyDescent="0.4">
      <c r="A19" s="1"/>
      <c r="B19" s="20" t="s">
        <v>18</v>
      </c>
      <c r="C19" s="21">
        <f t="shared" ref="C19:I19" si="7">C18/40</f>
        <v>0</v>
      </c>
      <c r="D19" s="21">
        <f t="shared" si="7"/>
        <v>0</v>
      </c>
      <c r="E19" s="21">
        <f t="shared" si="7"/>
        <v>0</v>
      </c>
      <c r="F19" s="21">
        <f t="shared" si="7"/>
        <v>0</v>
      </c>
      <c r="G19" s="21">
        <f t="shared" si="7"/>
        <v>0</v>
      </c>
      <c r="H19" s="21">
        <f t="shared" si="7"/>
        <v>0</v>
      </c>
      <c r="I19" s="21">
        <f t="shared" si="7"/>
        <v>0</v>
      </c>
      <c r="J19" s="22">
        <f>SUM(J8:J16)</f>
        <v>121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</v>
      </c>
      <c r="W19" s="23"/>
      <c r="Y19" s="39">
        <f>Y18/40</f>
        <v>0.15</v>
      </c>
      <c r="Z19" s="40">
        <f>Z18/40</f>
        <v>0</v>
      </c>
      <c r="AA19" s="41">
        <f>AA18/40</f>
        <v>0.15</v>
      </c>
    </row>
  </sheetData>
  <mergeCells count="8">
    <mergeCell ref="C10:I10"/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B926-7A0E-4186-8371-73B2B7C1B1B1}">
  <dimension ref="A1:AA19"/>
  <sheetViews>
    <sheetView workbookViewId="0">
      <selection activeCell="M11" sqref="M11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10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  <c r="W1" t="s">
        <v>49</v>
      </c>
      <c r="X1" t="s">
        <v>50</v>
      </c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85</v>
      </c>
      <c r="E8" s="11">
        <v>70</v>
      </c>
      <c r="F8" s="11">
        <v>85</v>
      </c>
      <c r="G8" s="11">
        <v>75</v>
      </c>
      <c r="H8" s="11">
        <v>80</v>
      </c>
      <c r="I8" s="11">
        <v>85</v>
      </c>
      <c r="J8" s="15">
        <f>SUM(C8:I8)/40</f>
        <v>12</v>
      </c>
      <c r="K8" s="12">
        <v>9</v>
      </c>
      <c r="L8" s="13"/>
      <c r="M8" s="14"/>
      <c r="N8" s="7" t="s">
        <v>13</v>
      </c>
      <c r="O8" s="11"/>
      <c r="P8" s="11">
        <v>60</v>
      </c>
      <c r="Q8" s="11">
        <v>60</v>
      </c>
      <c r="R8" s="11">
        <v>60</v>
      </c>
      <c r="S8" s="11">
        <v>60</v>
      </c>
      <c r="T8" s="11">
        <v>60</v>
      </c>
      <c r="U8" s="11">
        <v>60</v>
      </c>
      <c r="V8" s="15">
        <f>SUM(O8:U8)/40</f>
        <v>9</v>
      </c>
      <c r="W8" s="12">
        <v>8</v>
      </c>
      <c r="Y8" s="36">
        <f>J8</f>
        <v>12</v>
      </c>
      <c r="Z8" s="37">
        <f>V8</f>
        <v>9</v>
      </c>
      <c r="AA8" s="38">
        <f>Y8-Z8</f>
        <v>3</v>
      </c>
    </row>
    <row r="9" spans="1:27" x14ac:dyDescent="0.35">
      <c r="A9" s="14"/>
      <c r="B9" s="7" t="s">
        <v>14</v>
      </c>
      <c r="C9" s="11"/>
      <c r="D9" s="11">
        <v>172</v>
      </c>
      <c r="E9" s="11">
        <v>122</v>
      </c>
      <c r="F9" s="11">
        <v>222</v>
      </c>
      <c r="G9" s="11">
        <v>125</v>
      </c>
      <c r="H9" s="11">
        <v>105</v>
      </c>
      <c r="I9" s="11">
        <v>130</v>
      </c>
      <c r="J9" s="15">
        <f t="shared" ref="J9:J17" si="0">SUM(C9:I9)/40</f>
        <v>21.9</v>
      </c>
      <c r="K9" s="12">
        <v>9</v>
      </c>
      <c r="L9" s="13"/>
      <c r="M9" s="14"/>
      <c r="N9" s="7" t="s">
        <v>14</v>
      </c>
      <c r="O9" s="11"/>
      <c r="P9" s="11">
        <v>122</v>
      </c>
      <c r="Q9" s="11">
        <v>72</v>
      </c>
      <c r="R9" s="11">
        <v>202</v>
      </c>
      <c r="S9" s="11">
        <v>110</v>
      </c>
      <c r="T9" s="11">
        <v>60</v>
      </c>
      <c r="U9" s="11">
        <v>70</v>
      </c>
      <c r="V9" s="15">
        <f t="shared" ref="V9:V17" si="1">SUM(O9:U9)/40</f>
        <v>15.9</v>
      </c>
      <c r="W9" s="12">
        <v>8</v>
      </c>
      <c r="Y9" s="36">
        <f t="shared" ref="Y9:Y17" si="2">J9</f>
        <v>21.9</v>
      </c>
      <c r="Z9" s="37">
        <f t="shared" ref="Z9:Z17" si="3">V9</f>
        <v>15.9</v>
      </c>
      <c r="AA9" s="38">
        <f t="shared" ref="AA9:AA17" si="4">Y9-Z9</f>
        <v>5.9999999999999982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12</v>
      </c>
      <c r="E11" s="11">
        <v>0</v>
      </c>
      <c r="F11" s="11">
        <v>6</v>
      </c>
      <c r="G11" s="11">
        <v>53</v>
      </c>
      <c r="H11" s="11">
        <v>53</v>
      </c>
      <c r="I11" s="11">
        <v>106</v>
      </c>
      <c r="J11" s="15">
        <f t="shared" si="0"/>
        <v>5.75</v>
      </c>
      <c r="K11" s="12">
        <v>9</v>
      </c>
      <c r="L11" s="13"/>
      <c r="M11" s="16"/>
      <c r="N11" s="17" t="s">
        <v>29</v>
      </c>
      <c r="O11" s="11"/>
      <c r="P11" s="11">
        <v>12</v>
      </c>
      <c r="Q11" s="11">
        <v>0</v>
      </c>
      <c r="R11" s="11">
        <v>6</v>
      </c>
      <c r="S11" s="11">
        <v>53</v>
      </c>
      <c r="T11" s="11">
        <v>53</v>
      </c>
      <c r="U11" s="11">
        <v>106</v>
      </c>
      <c r="V11" s="15">
        <f t="shared" si="1"/>
        <v>5.75</v>
      </c>
      <c r="W11" s="12">
        <v>9</v>
      </c>
      <c r="Y11" s="36">
        <f t="shared" si="2"/>
        <v>5.75</v>
      </c>
      <c r="Z11" s="37">
        <f t="shared" si="3"/>
        <v>5.75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>
        <v>48</v>
      </c>
      <c r="E12" s="11">
        <v>133</v>
      </c>
      <c r="F12" s="11">
        <v>145</v>
      </c>
      <c r="G12" s="11">
        <v>146</v>
      </c>
      <c r="H12" s="11">
        <v>122</v>
      </c>
      <c r="I12" s="11">
        <v>74</v>
      </c>
      <c r="J12" s="15">
        <f t="shared" si="0"/>
        <v>16.7</v>
      </c>
      <c r="K12" s="12">
        <v>11</v>
      </c>
      <c r="L12" s="13"/>
      <c r="M12" s="16"/>
      <c r="N12" s="17" t="s">
        <v>28</v>
      </c>
      <c r="O12" s="11"/>
      <c r="P12" s="11">
        <v>36</v>
      </c>
      <c r="Q12" s="11">
        <v>121</v>
      </c>
      <c r="R12" s="11">
        <v>127</v>
      </c>
      <c r="S12" s="11">
        <v>126</v>
      </c>
      <c r="T12" s="11">
        <v>110</v>
      </c>
      <c r="U12" s="11">
        <v>56</v>
      </c>
      <c r="V12" s="15">
        <f t="shared" si="1"/>
        <v>14.4</v>
      </c>
      <c r="W12" s="12">
        <v>7</v>
      </c>
      <c r="Y12" s="36">
        <f t="shared" si="2"/>
        <v>16.7</v>
      </c>
      <c r="Z12" s="37">
        <f t="shared" si="3"/>
        <v>14.4</v>
      </c>
      <c r="AA12" s="38">
        <f t="shared" si="4"/>
        <v>2.2999999999999989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51</v>
      </c>
      <c r="O13" s="11"/>
      <c r="P13" s="11">
        <v>600</v>
      </c>
      <c r="Q13" s="11"/>
      <c r="R13" s="11"/>
      <c r="S13" s="11"/>
      <c r="T13" s="11"/>
      <c r="U13" s="11"/>
      <c r="V13" s="15">
        <f t="shared" si="1"/>
        <v>15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>
        <v>440</v>
      </c>
      <c r="Q14" s="11">
        <v>440</v>
      </c>
      <c r="R14" s="11">
        <v>480</v>
      </c>
      <c r="S14" s="11">
        <v>680</v>
      </c>
      <c r="T14" s="11">
        <v>720</v>
      </c>
      <c r="U14" s="11">
        <v>920</v>
      </c>
      <c r="V14" s="15">
        <f t="shared" si="1"/>
        <v>92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2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317</v>
      </c>
      <c r="E18" s="25">
        <f t="shared" si="5"/>
        <v>325</v>
      </c>
      <c r="F18" s="25">
        <f t="shared" si="5"/>
        <v>458</v>
      </c>
      <c r="G18" s="25">
        <f t="shared" si="5"/>
        <v>399</v>
      </c>
      <c r="H18" s="25">
        <f t="shared" si="5"/>
        <v>360</v>
      </c>
      <c r="I18" s="25">
        <f t="shared" si="5"/>
        <v>395</v>
      </c>
      <c r="J18" s="26">
        <f>SUM(C18:I18)</f>
        <v>2254</v>
      </c>
      <c r="K18" s="28"/>
      <c r="M18" s="1"/>
      <c r="N18" s="7"/>
      <c r="O18" s="25">
        <f t="shared" ref="O18:U18" si="6">SUM(O8:O17)</f>
        <v>0</v>
      </c>
      <c r="P18" s="25">
        <f t="shared" si="6"/>
        <v>1270</v>
      </c>
      <c r="Q18" s="25">
        <f t="shared" si="6"/>
        <v>693</v>
      </c>
      <c r="R18" s="25">
        <f t="shared" si="6"/>
        <v>875</v>
      </c>
      <c r="S18" s="25">
        <f t="shared" si="6"/>
        <v>1029</v>
      </c>
      <c r="T18" s="25">
        <f t="shared" si="6"/>
        <v>1003</v>
      </c>
      <c r="U18" s="25">
        <f t="shared" si="6"/>
        <v>1212</v>
      </c>
      <c r="V18" s="26">
        <f>SUM(O18:U18)</f>
        <v>6082</v>
      </c>
      <c r="W18" s="28"/>
      <c r="Y18" s="33">
        <f>SUM(Y8:Y17)</f>
        <v>56.349999999999994</v>
      </c>
      <c r="Z18" s="34">
        <f>SUM(Z8:Z17)</f>
        <v>45.05</v>
      </c>
      <c r="AA18" s="35">
        <f>SUM(AA8:AA17)</f>
        <v>11.299999999999997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7.9249999999999998</v>
      </c>
      <c r="E19" s="21">
        <f t="shared" si="7"/>
        <v>8.125</v>
      </c>
      <c r="F19" s="21">
        <f t="shared" si="7"/>
        <v>11.45</v>
      </c>
      <c r="G19" s="21">
        <f t="shared" si="7"/>
        <v>9.9749999999999996</v>
      </c>
      <c r="H19" s="21">
        <f t="shared" si="7"/>
        <v>9</v>
      </c>
      <c r="I19" s="21">
        <f t="shared" si="7"/>
        <v>9.875</v>
      </c>
      <c r="J19" s="22">
        <f t="shared" si="7"/>
        <v>56.35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31.75</v>
      </c>
      <c r="Q19" s="21">
        <f t="shared" si="8"/>
        <v>17.324999999999999</v>
      </c>
      <c r="R19" s="21">
        <f t="shared" si="8"/>
        <v>21.875</v>
      </c>
      <c r="S19" s="21">
        <f t="shared" si="8"/>
        <v>25.725000000000001</v>
      </c>
      <c r="T19" s="21">
        <f t="shared" si="8"/>
        <v>25.074999999999999</v>
      </c>
      <c r="U19" s="21">
        <f t="shared" si="8"/>
        <v>30.3</v>
      </c>
      <c r="V19" s="22">
        <f t="shared" si="8"/>
        <v>152.05000000000001</v>
      </c>
      <c r="W19" s="23"/>
      <c r="Y19" s="39">
        <f>Y18/40</f>
        <v>1.4087499999999999</v>
      </c>
      <c r="Z19" s="40">
        <f>Z18/40</f>
        <v>1.12625</v>
      </c>
      <c r="AA19" s="41">
        <f>AA18/40</f>
        <v>0.28249999999999992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7685-68CE-4230-832D-5008B05982CE}">
  <dimension ref="A1:AA19"/>
  <sheetViews>
    <sheetView workbookViewId="0">
      <selection activeCell="M9" sqref="M9"/>
    </sheetView>
  </sheetViews>
  <sheetFormatPr defaultRowHeight="14.5" x14ac:dyDescent="0.35"/>
  <cols>
    <col min="1" max="1" width="5.6328125" customWidth="1"/>
    <col min="2" max="2" width="8.179687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145</v>
      </c>
      <c r="E8" s="11">
        <v>60</v>
      </c>
      <c r="F8" s="11">
        <v>105</v>
      </c>
      <c r="G8" s="11">
        <v>150</v>
      </c>
      <c r="H8" s="11">
        <v>134</v>
      </c>
      <c r="I8" s="11">
        <v>120</v>
      </c>
      <c r="J8" s="15">
        <f>SUM(C8:I8)/40</f>
        <v>17.850000000000001</v>
      </c>
      <c r="K8" s="12">
        <v>13</v>
      </c>
      <c r="L8" s="13"/>
      <c r="M8" s="14"/>
      <c r="N8" s="7" t="s">
        <v>13</v>
      </c>
      <c r="O8" s="11"/>
      <c r="P8" s="11">
        <v>55</v>
      </c>
      <c r="Q8" s="11">
        <v>50</v>
      </c>
      <c r="R8" s="11">
        <v>95</v>
      </c>
      <c r="S8" s="11">
        <v>190</v>
      </c>
      <c r="T8" s="11">
        <v>134</v>
      </c>
      <c r="U8" s="11">
        <v>120</v>
      </c>
      <c r="V8" s="15">
        <f>SUM(O8:U8)/40</f>
        <v>16.100000000000001</v>
      </c>
      <c r="W8" s="12">
        <v>12</v>
      </c>
      <c r="Y8" s="36">
        <f>J8</f>
        <v>17.850000000000001</v>
      </c>
      <c r="Z8" s="37">
        <f>V8</f>
        <v>16.100000000000001</v>
      </c>
      <c r="AA8" s="38">
        <f>Y8-Z8</f>
        <v>1.75</v>
      </c>
    </row>
    <row r="9" spans="1:27" x14ac:dyDescent="0.35">
      <c r="A9" s="14"/>
      <c r="B9" s="7" t="s">
        <v>14</v>
      </c>
      <c r="C9" s="11"/>
      <c r="D9" s="11">
        <v>100</v>
      </c>
      <c r="E9" s="11">
        <v>30</v>
      </c>
      <c r="F9" s="11">
        <v>92</v>
      </c>
      <c r="G9" s="11">
        <v>92</v>
      </c>
      <c r="H9" s="11">
        <v>46</v>
      </c>
      <c r="I9" s="11">
        <v>61</v>
      </c>
      <c r="J9" s="15">
        <f t="shared" ref="J9:J17" si="0">SUM(C9:I9)/40</f>
        <v>10.525</v>
      </c>
      <c r="K9" s="12">
        <v>7</v>
      </c>
      <c r="L9" s="13"/>
      <c r="M9" s="14"/>
      <c r="N9" s="7" t="s">
        <v>14</v>
      </c>
      <c r="O9" s="11"/>
      <c r="P9" s="11">
        <v>65</v>
      </c>
      <c r="Q9" s="11">
        <v>20</v>
      </c>
      <c r="R9" s="11">
        <v>77</v>
      </c>
      <c r="S9" s="11">
        <v>92</v>
      </c>
      <c r="T9" s="11">
        <v>46</v>
      </c>
      <c r="U9" s="11">
        <v>61</v>
      </c>
      <c r="V9" s="15">
        <f t="shared" ref="V9:V17" si="1">SUM(O9:U9)/40</f>
        <v>9.0250000000000004</v>
      </c>
      <c r="W9" s="12">
        <v>5</v>
      </c>
      <c r="Y9" s="36">
        <f t="shared" ref="Y9:Y17" si="2">J9</f>
        <v>10.525</v>
      </c>
      <c r="Z9" s="37">
        <f t="shared" ref="Z9:Z17" si="3">V9</f>
        <v>9.0250000000000004</v>
      </c>
      <c r="AA9" s="38">
        <f t="shared" ref="AA9:AA17" si="4">Y9-Z9</f>
        <v>1.5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23</v>
      </c>
      <c r="E11" s="11">
        <v>17</v>
      </c>
      <c r="F11" s="11">
        <v>33</v>
      </c>
      <c r="G11" s="11">
        <v>154</v>
      </c>
      <c r="H11" s="11">
        <v>86</v>
      </c>
      <c r="I11" s="11">
        <v>113</v>
      </c>
      <c r="J11" s="15">
        <f t="shared" si="0"/>
        <v>10.65</v>
      </c>
      <c r="K11" s="12">
        <v>10</v>
      </c>
      <c r="L11" s="13"/>
      <c r="M11" s="16"/>
      <c r="N11" s="17" t="s">
        <v>29</v>
      </c>
      <c r="O11" s="11"/>
      <c r="P11" s="11">
        <v>23</v>
      </c>
      <c r="Q11" s="11">
        <v>17</v>
      </c>
      <c r="R11" s="11">
        <v>33</v>
      </c>
      <c r="S11" s="11">
        <v>123</v>
      </c>
      <c r="T11" s="11">
        <v>75</v>
      </c>
      <c r="U11" s="11">
        <v>108</v>
      </c>
      <c r="V11" s="15">
        <f t="shared" si="1"/>
        <v>9.4749999999999996</v>
      </c>
      <c r="W11" s="12">
        <v>8</v>
      </c>
      <c r="Y11" s="36">
        <f t="shared" si="2"/>
        <v>10.65</v>
      </c>
      <c r="Z11" s="37">
        <f t="shared" si="3"/>
        <v>9.4749999999999996</v>
      </c>
      <c r="AA11" s="38">
        <f t="shared" si="4"/>
        <v>1.1750000000000007</v>
      </c>
    </row>
    <row r="12" spans="1:27" x14ac:dyDescent="0.35">
      <c r="A12" s="16"/>
      <c r="B12" s="17" t="s">
        <v>28</v>
      </c>
      <c r="C12" s="11"/>
      <c r="D12" s="11">
        <v>40</v>
      </c>
      <c r="E12" s="11">
        <v>39</v>
      </c>
      <c r="F12" s="11">
        <v>101</v>
      </c>
      <c r="G12" s="11">
        <v>101</v>
      </c>
      <c r="H12" s="11">
        <v>67</v>
      </c>
      <c r="I12" s="11">
        <v>97</v>
      </c>
      <c r="J12" s="15">
        <f t="shared" si="0"/>
        <v>11.125</v>
      </c>
      <c r="K12" s="12">
        <v>11</v>
      </c>
      <c r="L12" s="13"/>
      <c r="M12" s="16"/>
      <c r="N12" s="17" t="s">
        <v>28</v>
      </c>
      <c r="O12" s="11"/>
      <c r="P12" s="11">
        <v>32</v>
      </c>
      <c r="Q12" s="11">
        <v>31</v>
      </c>
      <c r="R12" s="11">
        <v>93</v>
      </c>
      <c r="S12" s="11">
        <v>60</v>
      </c>
      <c r="T12" s="11">
        <v>36</v>
      </c>
      <c r="U12" s="11">
        <v>51</v>
      </c>
      <c r="V12" s="15">
        <f t="shared" si="1"/>
        <v>7.5750000000000002</v>
      </c>
      <c r="W12" s="12">
        <v>8</v>
      </c>
      <c r="Y12" s="36">
        <f t="shared" si="2"/>
        <v>11.125</v>
      </c>
      <c r="Z12" s="37">
        <f t="shared" si="3"/>
        <v>7.5750000000000002</v>
      </c>
      <c r="AA12" s="38">
        <f t="shared" si="4"/>
        <v>3.55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2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308</v>
      </c>
      <c r="E18" s="25">
        <f t="shared" si="5"/>
        <v>146</v>
      </c>
      <c r="F18" s="25">
        <f t="shared" si="5"/>
        <v>331</v>
      </c>
      <c r="G18" s="25">
        <f t="shared" si="5"/>
        <v>497</v>
      </c>
      <c r="H18" s="25">
        <f t="shared" si="5"/>
        <v>333</v>
      </c>
      <c r="I18" s="25">
        <f t="shared" si="5"/>
        <v>391</v>
      </c>
      <c r="J18" s="26">
        <f>SUM(C18:I18)</f>
        <v>2006</v>
      </c>
      <c r="K18" s="28"/>
      <c r="M18" s="1"/>
      <c r="N18" s="7"/>
      <c r="O18" s="25">
        <f t="shared" ref="O18:U18" si="6">SUM(O8:O17)</f>
        <v>0</v>
      </c>
      <c r="P18" s="25">
        <f t="shared" si="6"/>
        <v>175</v>
      </c>
      <c r="Q18" s="25">
        <f t="shared" si="6"/>
        <v>118</v>
      </c>
      <c r="R18" s="25">
        <f t="shared" si="6"/>
        <v>298</v>
      </c>
      <c r="S18" s="25">
        <f t="shared" si="6"/>
        <v>465</v>
      </c>
      <c r="T18" s="25">
        <f t="shared" si="6"/>
        <v>291</v>
      </c>
      <c r="U18" s="25">
        <f t="shared" si="6"/>
        <v>340</v>
      </c>
      <c r="V18" s="26">
        <f>SUM(O18:U18)</f>
        <v>1687</v>
      </c>
      <c r="W18" s="28"/>
      <c r="Y18" s="33">
        <f>SUM(Y8:Y17)</f>
        <v>50.15</v>
      </c>
      <c r="Z18" s="34">
        <f>SUM(Z8:Z17)</f>
        <v>42.175000000000004</v>
      </c>
      <c r="AA18" s="35">
        <f>SUM(AA8:AA17)</f>
        <v>7.9750000000000005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7.7</v>
      </c>
      <c r="E19" s="21">
        <f t="shared" si="7"/>
        <v>3.65</v>
      </c>
      <c r="F19" s="21">
        <f t="shared" si="7"/>
        <v>8.2750000000000004</v>
      </c>
      <c r="G19" s="21">
        <f t="shared" si="7"/>
        <v>12.425000000000001</v>
      </c>
      <c r="H19" s="21">
        <f t="shared" si="7"/>
        <v>8.3249999999999993</v>
      </c>
      <c r="I19" s="21">
        <f t="shared" si="7"/>
        <v>9.7750000000000004</v>
      </c>
      <c r="J19" s="22">
        <f t="shared" si="7"/>
        <v>50.15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4.375</v>
      </c>
      <c r="Q19" s="21">
        <f t="shared" si="8"/>
        <v>2.95</v>
      </c>
      <c r="R19" s="21">
        <f t="shared" si="8"/>
        <v>7.45</v>
      </c>
      <c r="S19" s="21">
        <f t="shared" si="8"/>
        <v>11.625</v>
      </c>
      <c r="T19" s="21">
        <f t="shared" si="8"/>
        <v>7.2750000000000004</v>
      </c>
      <c r="U19" s="21">
        <f t="shared" si="8"/>
        <v>8.5</v>
      </c>
      <c r="V19" s="22">
        <f t="shared" si="8"/>
        <v>42.174999999999997</v>
      </c>
      <c r="W19" s="23"/>
      <c r="Y19" s="39">
        <f>Y18/40</f>
        <v>1.2537499999999999</v>
      </c>
      <c r="Z19" s="40">
        <f>Z18/40</f>
        <v>1.0543750000000001</v>
      </c>
      <c r="AA19" s="41">
        <f>AA18/40</f>
        <v>0.19937500000000002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8549-5414-4AF3-BA9C-2F8578E10521}">
  <dimension ref="A1:AA19"/>
  <sheetViews>
    <sheetView topLeftCell="A3" workbookViewId="0">
      <selection activeCell="U12" sqref="U12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 t="s">
        <v>41</v>
      </c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v>12</v>
      </c>
      <c r="K8" s="12">
        <v>12</v>
      </c>
      <c r="L8" s="13"/>
      <c r="M8" s="14"/>
      <c r="N8" s="7" t="s">
        <v>13</v>
      </c>
      <c r="O8" s="11"/>
      <c r="P8" s="11">
        <v>50</v>
      </c>
      <c r="Q8" s="11">
        <v>50</v>
      </c>
      <c r="R8" s="11">
        <v>60</v>
      </c>
      <c r="S8" s="11">
        <v>80</v>
      </c>
      <c r="T8" s="11">
        <v>40</v>
      </c>
      <c r="U8" s="11">
        <v>80</v>
      </c>
      <c r="V8" s="15">
        <f>SUM(O8:U8)/40</f>
        <v>9</v>
      </c>
      <c r="W8" s="12">
        <v>9</v>
      </c>
      <c r="Y8" s="36">
        <f>J8</f>
        <v>12</v>
      </c>
      <c r="Z8" s="37">
        <f>V8</f>
        <v>9</v>
      </c>
      <c r="AA8" s="38">
        <f>Y8-Z8</f>
        <v>3</v>
      </c>
    </row>
    <row r="9" spans="1:27" x14ac:dyDescent="0.35">
      <c r="A9" s="14"/>
      <c r="B9" s="7" t="s">
        <v>14</v>
      </c>
      <c r="C9" s="11"/>
      <c r="D9" s="11">
        <v>40</v>
      </c>
      <c r="E9" s="11">
        <v>29</v>
      </c>
      <c r="F9" s="11">
        <v>50</v>
      </c>
      <c r="G9" s="11">
        <v>155</v>
      </c>
      <c r="H9" s="11">
        <v>98</v>
      </c>
      <c r="I9" s="11">
        <v>170</v>
      </c>
      <c r="J9" s="15">
        <f t="shared" ref="J9:J13" si="0">SUM(C9:I9)/40</f>
        <v>13.55</v>
      </c>
      <c r="K9" s="12">
        <v>20</v>
      </c>
      <c r="L9" s="13"/>
      <c r="M9" s="14"/>
      <c r="N9" s="7" t="s">
        <v>14</v>
      </c>
      <c r="O9" s="11"/>
      <c r="P9" s="11">
        <v>25</v>
      </c>
      <c r="Q9" s="11">
        <v>19</v>
      </c>
      <c r="R9" s="11">
        <v>35</v>
      </c>
      <c r="S9" s="11">
        <v>140</v>
      </c>
      <c r="T9" s="11">
        <v>88</v>
      </c>
      <c r="U9" s="11">
        <v>155</v>
      </c>
      <c r="V9" s="15">
        <f t="shared" ref="V9:V16" si="1">SUM(O9:U9)/40</f>
        <v>11.55</v>
      </c>
      <c r="W9" s="12">
        <v>19</v>
      </c>
      <c r="Y9" s="36">
        <f t="shared" ref="Y9:Y17" si="2">J9</f>
        <v>13.55</v>
      </c>
      <c r="Z9" s="37">
        <f t="shared" ref="Z9:Z17" si="3">V9</f>
        <v>11.55</v>
      </c>
      <c r="AA9" s="38">
        <f t="shared" ref="AA9:AA17" si="4">Y9-Z9</f>
        <v>2</v>
      </c>
    </row>
    <row r="10" spans="1:27" x14ac:dyDescent="0.35">
      <c r="A10" s="14"/>
      <c r="B10" s="7" t="s">
        <v>15</v>
      </c>
      <c r="C10" s="72"/>
      <c r="D10" s="72"/>
      <c r="E10" s="72"/>
      <c r="F10" s="72"/>
      <c r="G10" s="72"/>
      <c r="H10" s="72"/>
      <c r="I10" s="72"/>
      <c r="J10" s="73">
        <f t="shared" si="0"/>
        <v>0</v>
      </c>
      <c r="K10" s="12"/>
      <c r="L10" s="13"/>
      <c r="M10" s="14"/>
      <c r="N10" s="7" t="s">
        <v>15</v>
      </c>
      <c r="O10" s="9"/>
      <c r="P10" s="9"/>
      <c r="Q10" s="9"/>
      <c r="R10" s="9"/>
      <c r="S10" s="9"/>
      <c r="T10" s="9"/>
      <c r="U10" s="9"/>
      <c r="V10" s="76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45</v>
      </c>
      <c r="E11" s="11">
        <v>30</v>
      </c>
      <c r="F11" s="11">
        <v>45</v>
      </c>
      <c r="G11" s="11">
        <v>45</v>
      </c>
      <c r="H11" s="11">
        <v>30</v>
      </c>
      <c r="I11" s="11">
        <v>45</v>
      </c>
      <c r="J11" s="15">
        <f t="shared" si="0"/>
        <v>6</v>
      </c>
      <c r="K11" s="12">
        <v>4</v>
      </c>
      <c r="L11" s="13"/>
      <c r="M11" s="16"/>
      <c r="N11" s="17" t="s">
        <v>29</v>
      </c>
      <c r="O11" s="9"/>
      <c r="P11" s="9"/>
      <c r="Q11" s="9"/>
      <c r="R11" s="9"/>
      <c r="S11" s="9"/>
      <c r="T11" s="9"/>
      <c r="U11" s="9"/>
      <c r="V11" s="76">
        <f t="shared" si="1"/>
        <v>0</v>
      </c>
      <c r="W11" s="12"/>
      <c r="Y11" s="36">
        <f t="shared" si="2"/>
        <v>6</v>
      </c>
      <c r="Z11" s="37">
        <f t="shared" si="3"/>
        <v>0</v>
      </c>
      <c r="AA11" s="38">
        <f t="shared" si="4"/>
        <v>6</v>
      </c>
    </row>
    <row r="12" spans="1:27" x14ac:dyDescent="0.35">
      <c r="A12" s="16"/>
      <c r="B12" s="17" t="s">
        <v>28</v>
      </c>
      <c r="C12" s="11"/>
      <c r="D12" s="11">
        <v>92</v>
      </c>
      <c r="E12" s="11">
        <v>9</v>
      </c>
      <c r="F12" s="11">
        <v>15</v>
      </c>
      <c r="G12" s="11">
        <v>117</v>
      </c>
      <c r="H12" s="11">
        <v>20</v>
      </c>
      <c r="I12" s="11">
        <v>56</v>
      </c>
      <c r="J12" s="15">
        <f t="shared" si="0"/>
        <v>7.7249999999999996</v>
      </c>
      <c r="K12" s="12">
        <v>7</v>
      </c>
      <c r="L12" s="13"/>
      <c r="M12" s="16"/>
      <c r="N12" s="17" t="s">
        <v>28</v>
      </c>
      <c r="O12" s="11"/>
      <c r="P12" s="11">
        <v>52</v>
      </c>
      <c r="Q12" s="11">
        <v>0</v>
      </c>
      <c r="R12" s="11">
        <v>0</v>
      </c>
      <c r="S12" s="11">
        <v>68</v>
      </c>
      <c r="T12" s="11">
        <v>20</v>
      </c>
      <c r="U12" s="11">
        <v>56</v>
      </c>
      <c r="V12" s="15">
        <f t="shared" si="1"/>
        <v>4.9000000000000004</v>
      </c>
      <c r="W12" s="12">
        <v>5</v>
      </c>
      <c r="Y12" s="36">
        <f t="shared" si="2"/>
        <v>7.7249999999999996</v>
      </c>
      <c r="Z12" s="37">
        <f t="shared" si="3"/>
        <v>4.9000000000000004</v>
      </c>
      <c r="AA12" s="38">
        <f t="shared" si="4"/>
        <v>2.8249999999999993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v>166</v>
      </c>
      <c r="K14" s="12">
        <v>5</v>
      </c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v>16</v>
      </c>
      <c r="K15" s="12">
        <v>26</v>
      </c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v>10</v>
      </c>
      <c r="K16" s="12">
        <v>14</v>
      </c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v>8</v>
      </c>
      <c r="K17" s="18">
        <v>10</v>
      </c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8</v>
      </c>
      <c r="Z17" s="37">
        <f t="shared" si="3"/>
        <v>0</v>
      </c>
      <c r="AA17" s="38">
        <f t="shared" si="4"/>
        <v>8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177</v>
      </c>
      <c r="E18" s="25">
        <f t="shared" si="5"/>
        <v>68</v>
      </c>
      <c r="F18" s="25">
        <f t="shared" si="5"/>
        <v>110</v>
      </c>
      <c r="G18" s="25">
        <f t="shared" si="5"/>
        <v>317</v>
      </c>
      <c r="H18" s="25">
        <f t="shared" si="5"/>
        <v>148</v>
      </c>
      <c r="I18" s="25">
        <f t="shared" si="5"/>
        <v>271</v>
      </c>
      <c r="J18" s="26">
        <f>SUM(C18:I18)</f>
        <v>1091</v>
      </c>
      <c r="K18" s="28"/>
      <c r="M18" s="1"/>
      <c r="N18" s="7"/>
      <c r="O18" s="25">
        <f t="shared" ref="O18:U18" si="6">SUM(O8:O17)</f>
        <v>0</v>
      </c>
      <c r="P18" s="25">
        <f t="shared" si="6"/>
        <v>127</v>
      </c>
      <c r="Q18" s="25">
        <f t="shared" si="6"/>
        <v>69</v>
      </c>
      <c r="R18" s="25">
        <f t="shared" si="6"/>
        <v>95</v>
      </c>
      <c r="S18" s="25">
        <f t="shared" si="6"/>
        <v>288</v>
      </c>
      <c r="T18" s="25">
        <f t="shared" si="6"/>
        <v>148</v>
      </c>
      <c r="U18" s="25">
        <f t="shared" si="6"/>
        <v>291</v>
      </c>
      <c r="V18" s="26">
        <f>SUM(O18:U18)</f>
        <v>1018</v>
      </c>
      <c r="W18" s="28"/>
      <c r="Y18" s="33">
        <f>SUM(Y8:Y17)</f>
        <v>47.274999999999999</v>
      </c>
      <c r="Z18" s="34">
        <f>SUM(Z8:Z17)</f>
        <v>25.450000000000003</v>
      </c>
      <c r="AA18" s="35">
        <f>SUM(AA8:AA17)</f>
        <v>21.824999999999999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4.4249999999999998</v>
      </c>
      <c r="E19" s="21">
        <f t="shared" si="7"/>
        <v>1.7</v>
      </c>
      <c r="F19" s="21">
        <f t="shared" si="7"/>
        <v>2.75</v>
      </c>
      <c r="G19" s="21">
        <f t="shared" si="7"/>
        <v>7.9249999999999998</v>
      </c>
      <c r="H19" s="21">
        <f t="shared" si="7"/>
        <v>3.7</v>
      </c>
      <c r="I19" s="21">
        <f t="shared" si="7"/>
        <v>6.7750000000000004</v>
      </c>
      <c r="J19" s="22">
        <f t="shared" si="7"/>
        <v>27.274999999999999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3.1749999999999998</v>
      </c>
      <c r="Q19" s="21">
        <f t="shared" si="8"/>
        <v>1.7250000000000001</v>
      </c>
      <c r="R19" s="21">
        <f t="shared" si="8"/>
        <v>2.375</v>
      </c>
      <c r="S19" s="21">
        <f t="shared" si="8"/>
        <v>7.2</v>
      </c>
      <c r="T19" s="21">
        <f t="shared" si="8"/>
        <v>3.7</v>
      </c>
      <c r="U19" s="21">
        <f t="shared" si="8"/>
        <v>7.2750000000000004</v>
      </c>
      <c r="V19" s="22">
        <f t="shared" si="8"/>
        <v>25.45</v>
      </c>
      <c r="W19" s="23"/>
      <c r="Y19" s="39">
        <f>Y18/40</f>
        <v>1.181875</v>
      </c>
      <c r="Z19" s="40">
        <f>Z18/40</f>
        <v>0.63625000000000009</v>
      </c>
      <c r="AA19" s="41">
        <f>AA18/40</f>
        <v>0.54562500000000003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09FB-57DF-48A4-8BA9-78EADEE000FC}">
  <dimension ref="A1:AA19"/>
  <sheetViews>
    <sheetView workbookViewId="0">
      <selection activeCell="X21" sqref="X21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21</v>
      </c>
      <c r="E8" s="11">
        <v>16</v>
      </c>
      <c r="F8" s="11">
        <v>31</v>
      </c>
      <c r="G8" s="11">
        <v>90</v>
      </c>
      <c r="H8" s="11">
        <v>70</v>
      </c>
      <c r="I8" s="11">
        <v>70</v>
      </c>
      <c r="J8" s="15">
        <f>SUM(C8:I8)/40</f>
        <v>7.45</v>
      </c>
      <c r="K8" s="12">
        <v>5</v>
      </c>
      <c r="L8" s="13"/>
      <c r="M8" s="14"/>
      <c r="N8" s="7" t="s">
        <v>13</v>
      </c>
      <c r="O8" s="11"/>
      <c r="P8" s="11">
        <v>6</v>
      </c>
      <c r="Q8" s="11">
        <v>6</v>
      </c>
      <c r="R8" s="11">
        <v>16</v>
      </c>
      <c r="S8" s="11">
        <v>55</v>
      </c>
      <c r="T8" s="11">
        <v>40</v>
      </c>
      <c r="U8" s="11">
        <v>55</v>
      </c>
      <c r="V8" s="15">
        <f>SUM(O8:U8)/40</f>
        <v>4.45</v>
      </c>
      <c r="W8" s="12">
        <v>5</v>
      </c>
      <c r="Y8" s="36">
        <f>J8</f>
        <v>7.45</v>
      </c>
      <c r="Z8" s="37">
        <f>V8</f>
        <v>4.45</v>
      </c>
      <c r="AA8" s="38">
        <f>Y8-Z8</f>
        <v>3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v>7</v>
      </c>
      <c r="K9" s="12">
        <v>5</v>
      </c>
      <c r="L9" s="13"/>
      <c r="M9" s="14"/>
      <c r="N9" s="7" t="s">
        <v>14</v>
      </c>
      <c r="O9" s="11"/>
      <c r="P9" s="11"/>
      <c r="Q9" s="11"/>
      <c r="R9" s="11"/>
      <c r="S9" s="11"/>
      <c r="T9" s="11"/>
      <c r="U9" s="11"/>
      <c r="V9" s="15">
        <f t="shared" ref="V9:V16" si="0">SUM(O9:U9)/40</f>
        <v>0</v>
      </c>
      <c r="W9" s="12"/>
      <c r="Y9" s="36">
        <f t="shared" ref="Y9:Y17" si="1">J9</f>
        <v>7</v>
      </c>
      <c r="Z9" s="37">
        <f t="shared" ref="Z9:Z17" si="2">V9</f>
        <v>0</v>
      </c>
      <c r="AA9" s="38">
        <f t="shared" ref="AA9:AA17" si="3">Y9-Z9</f>
        <v>7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ref="J10:J13" si="4">SUM(C10:I10)/40</f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0"/>
        <v>0</v>
      </c>
      <c r="W10" s="12"/>
      <c r="Y10" s="36">
        <f t="shared" si="1"/>
        <v>0</v>
      </c>
      <c r="Z10" s="37">
        <f t="shared" si="2"/>
        <v>0</v>
      </c>
      <c r="AA10" s="38">
        <f t="shared" si="3"/>
        <v>0</v>
      </c>
    </row>
    <row r="11" spans="1:27" x14ac:dyDescent="0.35">
      <c r="A11" s="16"/>
      <c r="B11" s="17" t="s">
        <v>29</v>
      </c>
      <c r="C11" s="11"/>
      <c r="D11" s="11">
        <v>0</v>
      </c>
      <c r="E11" s="11">
        <v>0</v>
      </c>
      <c r="F11" s="11">
        <v>6</v>
      </c>
      <c r="G11" s="11">
        <v>60</v>
      </c>
      <c r="H11" s="11">
        <v>20</v>
      </c>
      <c r="I11" s="11">
        <v>36</v>
      </c>
      <c r="J11" s="15">
        <f t="shared" si="4"/>
        <v>3.05</v>
      </c>
      <c r="K11" s="12">
        <v>7</v>
      </c>
      <c r="L11" s="13"/>
      <c r="M11" s="16"/>
      <c r="N11" s="17" t="s">
        <v>29</v>
      </c>
      <c r="O11" s="11"/>
      <c r="P11" s="11">
        <v>0</v>
      </c>
      <c r="Q11" s="11">
        <v>0</v>
      </c>
      <c r="R11" s="11">
        <v>0</v>
      </c>
      <c r="S11" s="11">
        <v>40</v>
      </c>
      <c r="T11" s="11">
        <v>0</v>
      </c>
      <c r="U11" s="11">
        <v>6</v>
      </c>
      <c r="V11" s="15">
        <f t="shared" si="0"/>
        <v>1.1499999999999999</v>
      </c>
      <c r="W11" s="12">
        <v>1</v>
      </c>
      <c r="Y11" s="36">
        <f t="shared" si="1"/>
        <v>3.05</v>
      </c>
      <c r="Z11" s="37">
        <f t="shared" si="2"/>
        <v>1.1499999999999999</v>
      </c>
      <c r="AA11" s="38">
        <f t="shared" si="3"/>
        <v>1.9</v>
      </c>
    </row>
    <row r="12" spans="1:27" x14ac:dyDescent="0.35">
      <c r="A12" s="16"/>
      <c r="B12" s="17" t="s">
        <v>28</v>
      </c>
      <c r="C12" s="11"/>
      <c r="D12" s="11">
        <v>12</v>
      </c>
      <c r="E12" s="11">
        <v>12</v>
      </c>
      <c r="F12" s="11">
        <v>24</v>
      </c>
      <c r="G12" s="11">
        <v>70</v>
      </c>
      <c r="H12" s="11">
        <v>19</v>
      </c>
      <c r="I12" s="11">
        <v>29</v>
      </c>
      <c r="J12" s="15">
        <f t="shared" si="4"/>
        <v>4.1500000000000004</v>
      </c>
      <c r="K12" s="12">
        <v>9</v>
      </c>
      <c r="L12" s="13"/>
      <c r="M12" s="16"/>
      <c r="N12" s="17" t="s">
        <v>28</v>
      </c>
      <c r="O12" s="11"/>
      <c r="P12" s="11">
        <v>12</v>
      </c>
      <c r="Q12" s="11">
        <v>0</v>
      </c>
      <c r="R12" s="11">
        <v>0</v>
      </c>
      <c r="S12" s="11">
        <v>6</v>
      </c>
      <c r="T12" s="11">
        <v>17</v>
      </c>
      <c r="U12" s="11">
        <v>17</v>
      </c>
      <c r="V12" s="15">
        <f t="shared" si="0"/>
        <v>1.3</v>
      </c>
      <c r="W12" s="12">
        <v>2</v>
      </c>
      <c r="Y12" s="36">
        <f t="shared" si="1"/>
        <v>4.1500000000000004</v>
      </c>
      <c r="Z12" s="37">
        <f t="shared" si="2"/>
        <v>1.3</v>
      </c>
      <c r="AA12" s="38">
        <f t="shared" si="3"/>
        <v>2.8500000000000005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4"/>
        <v>0</v>
      </c>
      <c r="K13" s="12"/>
      <c r="L13" s="13"/>
      <c r="M13" s="16"/>
      <c r="N13" s="17" t="s">
        <v>53</v>
      </c>
      <c r="O13" s="11"/>
      <c r="P13" s="11">
        <v>200</v>
      </c>
      <c r="Q13" s="11">
        <v>200</v>
      </c>
      <c r="R13" s="11">
        <v>200</v>
      </c>
      <c r="S13" s="11">
        <v>2800</v>
      </c>
      <c r="T13" s="11">
        <v>2400</v>
      </c>
      <c r="U13" s="11">
        <v>2800</v>
      </c>
      <c r="V13" s="15">
        <f t="shared" si="0"/>
        <v>215</v>
      </c>
      <c r="W13" s="12">
        <v>1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v>0</v>
      </c>
      <c r="K14" s="12"/>
      <c r="L14" s="13"/>
      <c r="M14" s="16"/>
      <c r="N14" s="17" t="s">
        <v>17</v>
      </c>
      <c r="O14" s="11"/>
      <c r="P14" s="11">
        <v>676</v>
      </c>
      <c r="Q14" s="11">
        <v>677</v>
      </c>
      <c r="R14" s="11">
        <v>1082</v>
      </c>
      <c r="S14" s="11">
        <v>1681</v>
      </c>
      <c r="T14" s="11">
        <v>1437</v>
      </c>
      <c r="U14" s="11">
        <v>2278</v>
      </c>
      <c r="V14" s="15">
        <f t="shared" si="0"/>
        <v>195.77500000000001</v>
      </c>
      <c r="W14" s="12">
        <v>7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v>38</v>
      </c>
      <c r="K15" s="12">
        <v>25</v>
      </c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0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v>6</v>
      </c>
      <c r="K16" s="12">
        <v>5</v>
      </c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0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v>4</v>
      </c>
      <c r="K17" s="18">
        <v>6</v>
      </c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1"/>
        <v>4</v>
      </c>
      <c r="Z17" s="37">
        <f t="shared" si="2"/>
        <v>0</v>
      </c>
      <c r="AA17" s="38">
        <f t="shared" si="3"/>
        <v>4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33</v>
      </c>
      <c r="E18" s="25">
        <f t="shared" si="5"/>
        <v>28</v>
      </c>
      <c r="F18" s="25">
        <f t="shared" si="5"/>
        <v>61</v>
      </c>
      <c r="G18" s="25">
        <f t="shared" si="5"/>
        <v>220</v>
      </c>
      <c r="H18" s="25">
        <f t="shared" si="5"/>
        <v>109</v>
      </c>
      <c r="I18" s="25">
        <f t="shared" si="5"/>
        <v>135</v>
      </c>
      <c r="J18" s="26">
        <f>SUM(C18:I18)</f>
        <v>586</v>
      </c>
      <c r="K18" s="28"/>
      <c r="M18" s="1"/>
      <c r="N18" s="7"/>
      <c r="O18" s="25">
        <f t="shared" ref="O18:U18" si="6">SUM(O8:O17)</f>
        <v>0</v>
      </c>
      <c r="P18" s="25">
        <f t="shared" si="6"/>
        <v>894</v>
      </c>
      <c r="Q18" s="25">
        <f t="shared" si="6"/>
        <v>883</v>
      </c>
      <c r="R18" s="25">
        <f t="shared" si="6"/>
        <v>1298</v>
      </c>
      <c r="S18" s="25">
        <f t="shared" si="6"/>
        <v>4582</v>
      </c>
      <c r="T18" s="25">
        <f t="shared" si="6"/>
        <v>3894</v>
      </c>
      <c r="U18" s="25">
        <f t="shared" si="6"/>
        <v>5156</v>
      </c>
      <c r="V18" s="26">
        <f>SUM(O18:U18)</f>
        <v>16707</v>
      </c>
      <c r="W18" s="28"/>
      <c r="Y18" s="33">
        <f>SUM(Y8:Y17)</f>
        <v>25.65</v>
      </c>
      <c r="Z18" s="34">
        <f>SUM(Z8:Z17)</f>
        <v>6.8999999999999995</v>
      </c>
      <c r="AA18" s="35">
        <f>SUM(AA8:AA17)</f>
        <v>18.75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0.82499999999999996</v>
      </c>
      <c r="E19" s="21">
        <f t="shared" si="7"/>
        <v>0.7</v>
      </c>
      <c r="F19" s="21">
        <f t="shared" si="7"/>
        <v>1.5249999999999999</v>
      </c>
      <c r="G19" s="21">
        <f t="shared" si="7"/>
        <v>5.5</v>
      </c>
      <c r="H19" s="21">
        <f t="shared" si="7"/>
        <v>2.7250000000000001</v>
      </c>
      <c r="I19" s="21">
        <f t="shared" si="7"/>
        <v>3.375</v>
      </c>
      <c r="J19" s="22">
        <f t="shared" si="7"/>
        <v>14.65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22.35</v>
      </c>
      <c r="Q19" s="21">
        <f t="shared" si="8"/>
        <v>22.074999999999999</v>
      </c>
      <c r="R19" s="21">
        <f t="shared" si="8"/>
        <v>32.450000000000003</v>
      </c>
      <c r="S19" s="21">
        <f t="shared" si="8"/>
        <v>114.55</v>
      </c>
      <c r="T19" s="21">
        <f t="shared" si="8"/>
        <v>97.35</v>
      </c>
      <c r="U19" s="21">
        <f t="shared" si="8"/>
        <v>128.9</v>
      </c>
      <c r="V19" s="22">
        <f t="shared" si="8"/>
        <v>417.67500000000001</v>
      </c>
      <c r="W19" s="23"/>
      <c r="Y19" s="39">
        <f>Y18/40</f>
        <v>0.64124999999999999</v>
      </c>
      <c r="Z19" s="40">
        <f>Z18/40</f>
        <v>0.17249999999999999</v>
      </c>
      <c r="AA19" s="41">
        <f>AA18/40</f>
        <v>0.46875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58E7-4F6C-46ED-9090-75BF8B81EBB6}">
  <dimension ref="A1:AA19"/>
  <sheetViews>
    <sheetView workbookViewId="0">
      <selection activeCell="E9" sqref="E9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43" t="s">
        <v>52</v>
      </c>
      <c r="D8" s="43" t="s">
        <v>52</v>
      </c>
      <c r="E8" s="43" t="s">
        <v>52</v>
      </c>
      <c r="F8" s="43" t="s">
        <v>52</v>
      </c>
      <c r="G8" s="43" t="s">
        <v>52</v>
      </c>
      <c r="H8" s="43" t="s">
        <v>52</v>
      </c>
      <c r="I8" s="43" t="s">
        <v>52</v>
      </c>
      <c r="J8" s="43" t="s">
        <v>52</v>
      </c>
      <c r="K8" s="43" t="s">
        <v>52</v>
      </c>
      <c r="L8" s="13"/>
      <c r="M8" s="14"/>
      <c r="N8" s="77" t="s">
        <v>13</v>
      </c>
      <c r="O8" s="43" t="s">
        <v>52</v>
      </c>
      <c r="P8" s="43" t="s">
        <v>52</v>
      </c>
      <c r="Q8" s="43" t="s">
        <v>52</v>
      </c>
      <c r="R8" s="43" t="s">
        <v>52</v>
      </c>
      <c r="S8" s="43" t="s">
        <v>52</v>
      </c>
      <c r="T8" s="43" t="s">
        <v>52</v>
      </c>
      <c r="U8" s="43" t="s">
        <v>52</v>
      </c>
      <c r="V8" s="43" t="s">
        <v>52</v>
      </c>
      <c r="W8" s="43" t="s">
        <v>52</v>
      </c>
      <c r="Y8" s="36" t="str">
        <f>J8</f>
        <v>Off</v>
      </c>
      <c r="Z8" s="37" t="str">
        <f>V8</f>
        <v>Off</v>
      </c>
      <c r="AA8" s="38" t="e">
        <f>Y8-Z8</f>
        <v>#VALUE!</v>
      </c>
    </row>
    <row r="9" spans="1:27" x14ac:dyDescent="0.35">
      <c r="A9" s="14"/>
      <c r="B9" s="7" t="s">
        <v>14</v>
      </c>
      <c r="C9" s="43" t="s">
        <v>52</v>
      </c>
      <c r="D9" s="43" t="s">
        <v>52</v>
      </c>
      <c r="E9" s="43" t="s">
        <v>52</v>
      </c>
      <c r="F9" s="43" t="s">
        <v>52</v>
      </c>
      <c r="G9" s="43" t="s">
        <v>52</v>
      </c>
      <c r="H9" s="43" t="s">
        <v>52</v>
      </c>
      <c r="I9" s="43" t="s">
        <v>52</v>
      </c>
      <c r="J9" s="43" t="s">
        <v>52</v>
      </c>
      <c r="K9" s="43" t="s">
        <v>52</v>
      </c>
      <c r="L9" s="13"/>
      <c r="M9" s="14"/>
      <c r="N9" s="77" t="s">
        <v>14</v>
      </c>
      <c r="O9" s="43" t="s">
        <v>52</v>
      </c>
      <c r="P9" s="43" t="s">
        <v>52</v>
      </c>
      <c r="Q9" s="43" t="s">
        <v>52</v>
      </c>
      <c r="R9" s="43" t="s">
        <v>52</v>
      </c>
      <c r="S9" s="43" t="s">
        <v>52</v>
      </c>
      <c r="T9" s="43" t="s">
        <v>52</v>
      </c>
      <c r="U9" s="43" t="s">
        <v>52</v>
      </c>
      <c r="V9" s="43" t="s">
        <v>52</v>
      </c>
      <c r="W9" s="43" t="s">
        <v>52</v>
      </c>
      <c r="Y9" s="36" t="str">
        <f t="shared" ref="Y9:Y17" si="0">J9</f>
        <v>Off</v>
      </c>
      <c r="Z9" s="37" t="str">
        <f t="shared" ref="Z9:Z17" si="1">V9</f>
        <v>Off</v>
      </c>
      <c r="AA9" s="38" t="e">
        <f t="shared" ref="AA9:AA17" si="2">Y9-Z9</f>
        <v>#VALUE!</v>
      </c>
    </row>
    <row r="10" spans="1:27" x14ac:dyDescent="0.35">
      <c r="A10" s="14"/>
      <c r="B10" s="7" t="s">
        <v>15</v>
      </c>
      <c r="C10" s="43" t="s">
        <v>52</v>
      </c>
      <c r="D10" s="43" t="s">
        <v>52</v>
      </c>
      <c r="E10" s="43" t="s">
        <v>52</v>
      </c>
      <c r="F10" s="43" t="s">
        <v>52</v>
      </c>
      <c r="G10" s="43" t="s">
        <v>52</v>
      </c>
      <c r="H10" s="43" t="s">
        <v>52</v>
      </c>
      <c r="I10" s="43" t="s">
        <v>52</v>
      </c>
      <c r="J10" s="43" t="s">
        <v>52</v>
      </c>
      <c r="K10" s="43" t="s">
        <v>52</v>
      </c>
      <c r="L10" s="13"/>
      <c r="M10" s="14"/>
      <c r="N10" s="77" t="s">
        <v>15</v>
      </c>
      <c r="O10" s="43" t="s">
        <v>52</v>
      </c>
      <c r="P10" s="43" t="s">
        <v>52</v>
      </c>
      <c r="Q10" s="43" t="s">
        <v>52</v>
      </c>
      <c r="R10" s="43" t="s">
        <v>52</v>
      </c>
      <c r="S10" s="43" t="s">
        <v>52</v>
      </c>
      <c r="T10" s="43" t="s">
        <v>52</v>
      </c>
      <c r="U10" s="43" t="s">
        <v>52</v>
      </c>
      <c r="V10" s="43" t="s">
        <v>52</v>
      </c>
      <c r="W10" s="43" t="s">
        <v>52</v>
      </c>
      <c r="Y10" s="36" t="str">
        <f t="shared" si="0"/>
        <v>Off</v>
      </c>
      <c r="Z10" s="37" t="str">
        <f t="shared" si="1"/>
        <v>Off</v>
      </c>
      <c r="AA10" s="38" t="e">
        <f t="shared" si="2"/>
        <v>#VALUE!</v>
      </c>
    </row>
    <row r="11" spans="1:27" x14ac:dyDescent="0.35">
      <c r="A11" s="16"/>
      <c r="B11" s="17" t="s">
        <v>29</v>
      </c>
      <c r="C11" s="43" t="s">
        <v>52</v>
      </c>
      <c r="D11" s="43" t="s">
        <v>52</v>
      </c>
      <c r="E11" s="43" t="s">
        <v>52</v>
      </c>
      <c r="F11" s="43" t="s">
        <v>52</v>
      </c>
      <c r="G11" s="43" t="s">
        <v>52</v>
      </c>
      <c r="H11" s="43" t="s">
        <v>52</v>
      </c>
      <c r="I11" s="43" t="s">
        <v>52</v>
      </c>
      <c r="J11" s="43" t="s">
        <v>52</v>
      </c>
      <c r="K11" s="43" t="s">
        <v>52</v>
      </c>
      <c r="L11" s="13"/>
      <c r="M11" s="16"/>
      <c r="N11" s="78" t="s">
        <v>29</v>
      </c>
      <c r="O11" s="43" t="s">
        <v>52</v>
      </c>
      <c r="P11" s="43" t="s">
        <v>52</v>
      </c>
      <c r="Q11" s="43" t="s">
        <v>52</v>
      </c>
      <c r="R11" s="43" t="s">
        <v>52</v>
      </c>
      <c r="S11" s="43" t="s">
        <v>52</v>
      </c>
      <c r="T11" s="43" t="s">
        <v>52</v>
      </c>
      <c r="U11" s="43" t="s">
        <v>52</v>
      </c>
      <c r="V11" s="43" t="s">
        <v>52</v>
      </c>
      <c r="W11" s="43" t="s">
        <v>52</v>
      </c>
      <c r="Y11" s="36" t="str">
        <f t="shared" si="0"/>
        <v>Off</v>
      </c>
      <c r="Z11" s="37" t="str">
        <f t="shared" si="1"/>
        <v>Off</v>
      </c>
      <c r="AA11" s="38" t="e">
        <f t="shared" si="2"/>
        <v>#VALUE!</v>
      </c>
    </row>
    <row r="12" spans="1:27" x14ac:dyDescent="0.35">
      <c r="A12" s="16"/>
      <c r="B12" s="17" t="s">
        <v>28</v>
      </c>
      <c r="C12" s="43" t="s">
        <v>52</v>
      </c>
      <c r="D12" s="43" t="s">
        <v>52</v>
      </c>
      <c r="E12" s="43" t="s">
        <v>52</v>
      </c>
      <c r="F12" s="43" t="s">
        <v>52</v>
      </c>
      <c r="G12" s="43" t="s">
        <v>52</v>
      </c>
      <c r="H12" s="43" t="s">
        <v>52</v>
      </c>
      <c r="I12" s="43" t="s">
        <v>52</v>
      </c>
      <c r="J12" s="43" t="s">
        <v>52</v>
      </c>
      <c r="K12" s="43" t="s">
        <v>52</v>
      </c>
      <c r="L12" s="13"/>
      <c r="M12" s="16"/>
      <c r="N12" s="78" t="s">
        <v>28</v>
      </c>
      <c r="O12" s="43" t="s">
        <v>52</v>
      </c>
      <c r="P12" s="43" t="s">
        <v>52</v>
      </c>
      <c r="Q12" s="43" t="s">
        <v>52</v>
      </c>
      <c r="R12" s="43" t="s">
        <v>52</v>
      </c>
      <c r="S12" s="43" t="s">
        <v>52</v>
      </c>
      <c r="T12" s="43" t="s">
        <v>52</v>
      </c>
      <c r="U12" s="43" t="s">
        <v>52</v>
      </c>
      <c r="V12" s="43" t="s">
        <v>52</v>
      </c>
      <c r="W12" s="43" t="s">
        <v>52</v>
      </c>
      <c r="Y12" s="36" t="str">
        <f t="shared" si="0"/>
        <v>Off</v>
      </c>
      <c r="Z12" s="37" t="str">
        <f t="shared" si="1"/>
        <v>Off</v>
      </c>
      <c r="AA12" s="38" t="e">
        <f t="shared" si="2"/>
        <v>#VALUE!</v>
      </c>
    </row>
    <row r="13" spans="1:27" x14ac:dyDescent="0.35">
      <c r="A13" s="16"/>
      <c r="B13" s="17" t="s">
        <v>43</v>
      </c>
      <c r="C13" s="43" t="s">
        <v>52</v>
      </c>
      <c r="D13" s="43" t="s">
        <v>52</v>
      </c>
      <c r="E13" s="43" t="s">
        <v>52</v>
      </c>
      <c r="F13" s="43" t="s">
        <v>52</v>
      </c>
      <c r="G13" s="43" t="s">
        <v>52</v>
      </c>
      <c r="H13" s="43" t="s">
        <v>52</v>
      </c>
      <c r="I13" s="43" t="s">
        <v>52</v>
      </c>
      <c r="J13" s="43" t="s">
        <v>52</v>
      </c>
      <c r="K13" s="43" t="s">
        <v>52</v>
      </c>
      <c r="L13" s="13"/>
      <c r="M13" s="16"/>
      <c r="N13" s="78" t="s">
        <v>43</v>
      </c>
      <c r="O13" s="43" t="s">
        <v>52</v>
      </c>
      <c r="P13" s="43" t="s">
        <v>52</v>
      </c>
      <c r="Q13" s="43" t="s">
        <v>52</v>
      </c>
      <c r="R13" s="43" t="s">
        <v>52</v>
      </c>
      <c r="S13" s="43" t="s">
        <v>52</v>
      </c>
      <c r="T13" s="43" t="s">
        <v>52</v>
      </c>
      <c r="U13" s="43" t="s">
        <v>52</v>
      </c>
      <c r="V13" s="43" t="s">
        <v>52</v>
      </c>
      <c r="W13" s="43" t="s">
        <v>52</v>
      </c>
      <c r="Y13" s="36"/>
      <c r="Z13" s="37"/>
      <c r="AA13" s="38"/>
    </row>
    <row r="14" spans="1:27" x14ac:dyDescent="0.35">
      <c r="A14" s="16"/>
      <c r="B14" s="17" t="s">
        <v>17</v>
      </c>
      <c r="C14" s="43" t="s">
        <v>52</v>
      </c>
      <c r="D14" s="43" t="s">
        <v>52</v>
      </c>
      <c r="E14" s="43" t="s">
        <v>52</v>
      </c>
      <c r="F14" s="43" t="s">
        <v>52</v>
      </c>
      <c r="G14" s="43" t="s">
        <v>52</v>
      </c>
      <c r="H14" s="43" t="s">
        <v>52</v>
      </c>
      <c r="I14" s="43" t="s">
        <v>52</v>
      </c>
      <c r="J14" s="43" t="s">
        <v>52</v>
      </c>
      <c r="K14" s="43" t="s">
        <v>52</v>
      </c>
      <c r="L14" s="13"/>
      <c r="M14" s="16"/>
      <c r="N14" s="78" t="s">
        <v>17</v>
      </c>
      <c r="O14" s="43" t="s">
        <v>52</v>
      </c>
      <c r="P14" s="43" t="s">
        <v>52</v>
      </c>
      <c r="Q14" s="43" t="s">
        <v>52</v>
      </c>
      <c r="R14" s="43" t="s">
        <v>52</v>
      </c>
      <c r="S14" s="43" t="s">
        <v>52</v>
      </c>
      <c r="T14" s="43" t="s">
        <v>52</v>
      </c>
      <c r="U14" s="43" t="s">
        <v>52</v>
      </c>
      <c r="V14" s="43" t="s">
        <v>52</v>
      </c>
      <c r="W14" s="43" t="s">
        <v>52</v>
      </c>
      <c r="Y14" s="36"/>
      <c r="Z14" s="37"/>
      <c r="AA14" s="38"/>
    </row>
    <row r="15" spans="1:27" x14ac:dyDescent="0.35">
      <c r="A15" s="16"/>
      <c r="B15" s="17" t="s">
        <v>35</v>
      </c>
      <c r="C15" s="43" t="s">
        <v>52</v>
      </c>
      <c r="D15" s="43" t="s">
        <v>52</v>
      </c>
      <c r="E15" s="43" t="s">
        <v>52</v>
      </c>
      <c r="F15" s="43" t="s">
        <v>52</v>
      </c>
      <c r="G15" s="43" t="s">
        <v>52</v>
      </c>
      <c r="H15" s="43" t="s">
        <v>52</v>
      </c>
      <c r="I15" s="43" t="s">
        <v>52</v>
      </c>
      <c r="J15" s="43" t="s">
        <v>52</v>
      </c>
      <c r="K15" s="43" t="s">
        <v>52</v>
      </c>
      <c r="L15" s="13"/>
      <c r="M15" s="16"/>
      <c r="N15" s="78" t="s">
        <v>35</v>
      </c>
      <c r="O15" s="43" t="s">
        <v>52</v>
      </c>
      <c r="P15" s="43" t="s">
        <v>52</v>
      </c>
      <c r="Q15" s="43" t="s">
        <v>52</v>
      </c>
      <c r="R15" s="43" t="s">
        <v>52</v>
      </c>
      <c r="S15" s="43" t="s">
        <v>52</v>
      </c>
      <c r="T15" s="43" t="s">
        <v>52</v>
      </c>
      <c r="U15" s="43" t="s">
        <v>52</v>
      </c>
      <c r="V15" s="43" t="s">
        <v>52</v>
      </c>
      <c r="W15" s="43" t="s">
        <v>52</v>
      </c>
      <c r="Y15" s="36"/>
      <c r="Z15" s="37"/>
      <c r="AA15" s="38"/>
    </row>
    <row r="16" spans="1:27" x14ac:dyDescent="0.35">
      <c r="A16" s="16"/>
      <c r="B16" s="17" t="s">
        <v>36</v>
      </c>
      <c r="C16" s="43" t="s">
        <v>52</v>
      </c>
      <c r="D16" s="43" t="s">
        <v>52</v>
      </c>
      <c r="E16" s="43" t="s">
        <v>52</v>
      </c>
      <c r="F16" s="43" t="s">
        <v>52</v>
      </c>
      <c r="G16" s="43" t="s">
        <v>52</v>
      </c>
      <c r="H16" s="43" t="s">
        <v>52</v>
      </c>
      <c r="I16" s="43" t="s">
        <v>52</v>
      </c>
      <c r="J16" s="43" t="s">
        <v>52</v>
      </c>
      <c r="K16" s="43" t="s">
        <v>52</v>
      </c>
      <c r="L16" s="13"/>
      <c r="M16" s="16"/>
      <c r="N16" s="78" t="s">
        <v>36</v>
      </c>
      <c r="O16" s="43" t="s">
        <v>52</v>
      </c>
      <c r="P16" s="43" t="s">
        <v>52</v>
      </c>
      <c r="Q16" s="43" t="s">
        <v>52</v>
      </c>
      <c r="R16" s="43" t="s">
        <v>52</v>
      </c>
      <c r="S16" s="43" t="s">
        <v>52</v>
      </c>
      <c r="T16" s="43" t="s">
        <v>52</v>
      </c>
      <c r="U16" s="43" t="s">
        <v>52</v>
      </c>
      <c r="V16" s="43" t="s">
        <v>52</v>
      </c>
      <c r="W16" s="43" t="s">
        <v>52</v>
      </c>
      <c r="Y16" s="36"/>
      <c r="Z16" s="37"/>
      <c r="AA16" s="38"/>
    </row>
    <row r="17" spans="1:27" x14ac:dyDescent="0.35">
      <c r="A17" s="16"/>
      <c r="B17" s="17" t="s">
        <v>38</v>
      </c>
      <c r="C17" s="43" t="s">
        <v>52</v>
      </c>
      <c r="D17" s="43" t="s">
        <v>52</v>
      </c>
      <c r="E17" s="43" t="s">
        <v>52</v>
      </c>
      <c r="F17" s="43" t="s">
        <v>52</v>
      </c>
      <c r="G17" s="43" t="s">
        <v>52</v>
      </c>
      <c r="H17" s="43" t="s">
        <v>52</v>
      </c>
      <c r="I17" s="43" t="s">
        <v>52</v>
      </c>
      <c r="J17" s="43" t="s">
        <v>52</v>
      </c>
      <c r="K17" s="43" t="s">
        <v>52</v>
      </c>
      <c r="M17" s="16"/>
      <c r="N17" s="78" t="s">
        <v>38</v>
      </c>
      <c r="O17" s="43" t="s">
        <v>52</v>
      </c>
      <c r="P17" s="43" t="s">
        <v>52</v>
      </c>
      <c r="Q17" s="43" t="s">
        <v>52</v>
      </c>
      <c r="R17" s="43" t="s">
        <v>52</v>
      </c>
      <c r="S17" s="43" t="s">
        <v>52</v>
      </c>
      <c r="T17" s="43" t="s">
        <v>52</v>
      </c>
      <c r="U17" s="43" t="s">
        <v>52</v>
      </c>
      <c r="V17" s="43" t="s">
        <v>52</v>
      </c>
      <c r="W17" s="43" t="s">
        <v>52</v>
      </c>
      <c r="Y17" s="36" t="str">
        <f t="shared" si="0"/>
        <v>Off</v>
      </c>
      <c r="Z17" s="37" t="str">
        <f t="shared" si="1"/>
        <v>Off</v>
      </c>
      <c r="AA17" s="38" t="e">
        <f t="shared" si="2"/>
        <v>#VALUE!</v>
      </c>
    </row>
    <row r="18" spans="1:27" x14ac:dyDescent="0.35">
      <c r="A18" s="1"/>
      <c r="B18" s="7"/>
      <c r="C18" s="79">
        <f t="shared" ref="C18:I18" si="3">SUM(C8:C17)</f>
        <v>0</v>
      </c>
      <c r="D18" s="79">
        <f t="shared" si="3"/>
        <v>0</v>
      </c>
      <c r="E18" s="79">
        <f t="shared" si="3"/>
        <v>0</v>
      </c>
      <c r="F18" s="79">
        <f t="shared" si="3"/>
        <v>0</v>
      </c>
      <c r="G18" s="79">
        <f t="shared" si="3"/>
        <v>0</v>
      </c>
      <c r="H18" s="79">
        <f t="shared" si="3"/>
        <v>0</v>
      </c>
      <c r="I18" s="79">
        <f t="shared" si="3"/>
        <v>0</v>
      </c>
      <c r="J18" s="80">
        <f>SUM(C18:I18)</f>
        <v>0</v>
      </c>
      <c r="K18" s="81"/>
      <c r="M18" s="1"/>
      <c r="N18" s="77"/>
      <c r="O18" s="79">
        <f t="shared" ref="O18:U18" si="4">SUM(O8:O17)</f>
        <v>0</v>
      </c>
      <c r="P18" s="79">
        <f t="shared" si="4"/>
        <v>0</v>
      </c>
      <c r="Q18" s="79">
        <f t="shared" si="4"/>
        <v>0</v>
      </c>
      <c r="R18" s="79">
        <f t="shared" si="4"/>
        <v>0</v>
      </c>
      <c r="S18" s="79">
        <f t="shared" si="4"/>
        <v>0</v>
      </c>
      <c r="T18" s="79">
        <f t="shared" si="4"/>
        <v>0</v>
      </c>
      <c r="U18" s="79">
        <f t="shared" si="4"/>
        <v>0</v>
      </c>
      <c r="V18" s="80">
        <f>SUM(O18:U18)</f>
        <v>0</v>
      </c>
      <c r="W18" s="81"/>
      <c r="Y18" s="33">
        <f>SUM(Y8:Y17)</f>
        <v>0</v>
      </c>
      <c r="Z18" s="34">
        <f>SUM(Z8:Z17)</f>
        <v>0</v>
      </c>
      <c r="AA18" s="35" t="e">
        <f>SUM(AA8:AA17)</f>
        <v>#VALUE!</v>
      </c>
    </row>
    <row r="19" spans="1:27" ht="15" thickBot="1" x14ac:dyDescent="0.4">
      <c r="A19" s="1"/>
      <c r="B19" s="20" t="s">
        <v>18</v>
      </c>
      <c r="C19" s="21">
        <f t="shared" ref="C19:J19" si="5">C18/40</f>
        <v>0</v>
      </c>
      <c r="D19" s="21">
        <f t="shared" si="5"/>
        <v>0</v>
      </c>
      <c r="E19" s="21">
        <f t="shared" si="5"/>
        <v>0</v>
      </c>
      <c r="F19" s="21">
        <f t="shared" si="5"/>
        <v>0</v>
      </c>
      <c r="G19" s="21">
        <f t="shared" si="5"/>
        <v>0</v>
      </c>
      <c r="H19" s="21">
        <f t="shared" si="5"/>
        <v>0</v>
      </c>
      <c r="I19" s="21">
        <f t="shared" si="5"/>
        <v>0</v>
      </c>
      <c r="J19" s="22">
        <f t="shared" si="5"/>
        <v>0</v>
      </c>
      <c r="K19" s="23"/>
      <c r="M19" s="1"/>
      <c r="N19" s="20" t="s">
        <v>18</v>
      </c>
      <c r="O19" s="21">
        <f t="shared" ref="O19:V19" si="6">O18/40</f>
        <v>0</v>
      </c>
      <c r="P19" s="21">
        <f t="shared" si="6"/>
        <v>0</v>
      </c>
      <c r="Q19" s="21">
        <f t="shared" si="6"/>
        <v>0</v>
      </c>
      <c r="R19" s="21">
        <f t="shared" si="6"/>
        <v>0</v>
      </c>
      <c r="S19" s="21">
        <f t="shared" si="6"/>
        <v>0</v>
      </c>
      <c r="T19" s="21">
        <f t="shared" si="6"/>
        <v>0</v>
      </c>
      <c r="U19" s="21">
        <f t="shared" si="6"/>
        <v>0</v>
      </c>
      <c r="V19" s="22">
        <f t="shared" si="6"/>
        <v>0</v>
      </c>
      <c r="W19" s="23"/>
      <c r="Y19" s="39">
        <f>Y18/40</f>
        <v>0</v>
      </c>
      <c r="Z19" s="40">
        <f>Z18/40</f>
        <v>0</v>
      </c>
      <c r="AA19" s="41" t="e">
        <f>AA18/40</f>
        <v>#VALUE!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237B-B436-499A-99A1-CE21BCFCEC29}">
  <dimension ref="A1:AA19"/>
  <sheetViews>
    <sheetView workbookViewId="0">
      <selection activeCell="V9" sqref="V9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90</v>
      </c>
      <c r="E8" s="11">
        <v>80</v>
      </c>
      <c r="F8" s="11">
        <v>70</v>
      </c>
      <c r="G8" s="11">
        <v>85</v>
      </c>
      <c r="H8" s="11">
        <v>50</v>
      </c>
      <c r="I8" s="11">
        <v>85</v>
      </c>
      <c r="J8" s="15">
        <f>SUM(C8:I8)/40</f>
        <v>11.5</v>
      </c>
      <c r="K8" s="12">
        <v>10</v>
      </c>
      <c r="L8" s="13"/>
      <c r="M8" s="14"/>
      <c r="N8" s="7" t="s">
        <v>13</v>
      </c>
      <c r="O8" s="11"/>
      <c r="P8" s="11">
        <v>50</v>
      </c>
      <c r="Q8" s="11">
        <v>40</v>
      </c>
      <c r="R8" s="11">
        <v>30</v>
      </c>
      <c r="S8" s="11">
        <v>85</v>
      </c>
      <c r="T8" s="11">
        <v>30</v>
      </c>
      <c r="U8" s="11">
        <v>85</v>
      </c>
      <c r="V8" s="15">
        <f>SUM(O8:U8)/40</f>
        <v>8</v>
      </c>
      <c r="W8" s="12">
        <v>8</v>
      </c>
      <c r="Y8" s="36">
        <f>J8</f>
        <v>11.5</v>
      </c>
      <c r="Z8" s="37">
        <f>V8</f>
        <v>8</v>
      </c>
      <c r="AA8" s="38">
        <f>Y8-Z8</f>
        <v>3.5</v>
      </c>
    </row>
    <row r="9" spans="1:27" x14ac:dyDescent="0.35">
      <c r="A9" s="14"/>
      <c r="B9" s="7" t="s">
        <v>14</v>
      </c>
      <c r="C9" s="11"/>
      <c r="D9" s="11">
        <v>120</v>
      </c>
      <c r="E9" s="11">
        <v>80</v>
      </c>
      <c r="F9" s="11">
        <v>1</v>
      </c>
      <c r="G9" s="11">
        <v>100</v>
      </c>
      <c r="H9" s="11">
        <v>100</v>
      </c>
      <c r="I9" s="11">
        <v>80</v>
      </c>
      <c r="J9" s="15">
        <f t="shared" ref="J9:J17" si="0">SUM(C9:I9)/40</f>
        <v>12.025</v>
      </c>
      <c r="K9" s="12">
        <v>20</v>
      </c>
      <c r="L9" s="13"/>
      <c r="M9" s="14"/>
      <c r="N9" s="7" t="s">
        <v>14</v>
      </c>
      <c r="O9" s="11"/>
      <c r="P9" s="11">
        <v>120</v>
      </c>
      <c r="Q9" s="11">
        <v>80</v>
      </c>
      <c r="R9" s="11">
        <v>1</v>
      </c>
      <c r="S9" s="11">
        <v>100</v>
      </c>
      <c r="T9" s="11">
        <v>100</v>
      </c>
      <c r="U9" s="11">
        <v>80</v>
      </c>
      <c r="V9" s="15">
        <f t="shared" ref="V9:V17" si="1">SUM(O9:U9)/40</f>
        <v>12.025</v>
      </c>
      <c r="W9" s="12">
        <v>20</v>
      </c>
      <c r="Y9" s="36">
        <f t="shared" ref="Y9:Y17" si="2">J9</f>
        <v>12.025</v>
      </c>
      <c r="Z9" s="37">
        <f t="shared" ref="Z9:Z17" si="3">V9</f>
        <v>12.025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99</v>
      </c>
      <c r="E11" s="11">
        <v>24</v>
      </c>
      <c r="F11" s="11">
        <v>64</v>
      </c>
      <c r="G11" s="11">
        <v>53</v>
      </c>
      <c r="H11" s="11">
        <v>13</v>
      </c>
      <c r="I11" s="11">
        <v>94</v>
      </c>
      <c r="J11" s="15">
        <f t="shared" si="0"/>
        <v>8.6750000000000007</v>
      </c>
      <c r="K11" s="12">
        <v>7</v>
      </c>
      <c r="L11" s="13"/>
      <c r="M11" s="16"/>
      <c r="N11" s="17" t="s">
        <v>29</v>
      </c>
      <c r="O11" s="11"/>
      <c r="P11" s="11">
        <v>99</v>
      </c>
      <c r="Q11" s="11">
        <v>24</v>
      </c>
      <c r="R11" s="11">
        <v>64</v>
      </c>
      <c r="S11" s="11">
        <v>40</v>
      </c>
      <c r="T11" s="11">
        <v>0</v>
      </c>
      <c r="U11" s="11">
        <v>80</v>
      </c>
      <c r="V11" s="15">
        <f t="shared" si="1"/>
        <v>7.6749999999999998</v>
      </c>
      <c r="W11" s="12">
        <v>6</v>
      </c>
      <c r="Y11" s="36">
        <f t="shared" si="2"/>
        <v>8.6750000000000007</v>
      </c>
      <c r="Z11" s="37">
        <f t="shared" si="3"/>
        <v>7.6749999999999998</v>
      </c>
      <c r="AA11" s="38">
        <f t="shared" si="4"/>
        <v>1.0000000000000009</v>
      </c>
    </row>
    <row r="12" spans="1:27" x14ac:dyDescent="0.35">
      <c r="A12" s="16"/>
      <c r="B12" s="17" t="s">
        <v>28</v>
      </c>
      <c r="C12" s="11"/>
      <c r="D12" s="11">
        <v>96</v>
      </c>
      <c r="E12" s="11">
        <v>96</v>
      </c>
      <c r="F12" s="11">
        <v>106</v>
      </c>
      <c r="G12" s="11">
        <v>200</v>
      </c>
      <c r="H12" s="11">
        <v>200</v>
      </c>
      <c r="I12" s="11">
        <v>200</v>
      </c>
      <c r="J12" s="15">
        <f t="shared" si="0"/>
        <v>22.45</v>
      </c>
      <c r="K12" s="12">
        <v>6</v>
      </c>
      <c r="L12" s="13"/>
      <c r="M12" s="16"/>
      <c r="N12" s="17" t="s">
        <v>28</v>
      </c>
      <c r="O12" s="11"/>
      <c r="P12" s="11">
        <v>50</v>
      </c>
      <c r="Q12" s="11">
        <v>50</v>
      </c>
      <c r="R12" s="11">
        <v>60</v>
      </c>
      <c r="S12" s="11">
        <v>120</v>
      </c>
      <c r="T12" s="11">
        <v>160</v>
      </c>
      <c r="U12" s="11">
        <v>160</v>
      </c>
      <c r="V12" s="15">
        <f t="shared" si="1"/>
        <v>15</v>
      </c>
      <c r="W12" s="12">
        <v>4</v>
      </c>
      <c r="Y12" s="36">
        <f t="shared" si="2"/>
        <v>22.45</v>
      </c>
      <c r="Z12" s="37">
        <f t="shared" si="3"/>
        <v>15</v>
      </c>
      <c r="AA12" s="38">
        <f t="shared" si="4"/>
        <v>7.4499999999999993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>
        <v>360</v>
      </c>
      <c r="E14" s="11">
        <v>600</v>
      </c>
      <c r="F14" s="11">
        <v>800</v>
      </c>
      <c r="G14" s="11">
        <v>760</v>
      </c>
      <c r="H14" s="11">
        <v>760</v>
      </c>
      <c r="I14" s="11">
        <v>1120</v>
      </c>
      <c r="J14" s="15">
        <f t="shared" si="0"/>
        <v>110</v>
      </c>
      <c r="K14" s="12">
        <v>7</v>
      </c>
      <c r="L14" s="13"/>
      <c r="M14" s="16"/>
      <c r="N14" s="17" t="s">
        <v>17</v>
      </c>
      <c r="O14" s="11"/>
      <c r="P14" s="11">
        <v>360</v>
      </c>
      <c r="Q14" s="11">
        <v>600</v>
      </c>
      <c r="R14" s="11">
        <v>800</v>
      </c>
      <c r="S14" s="11">
        <v>1560</v>
      </c>
      <c r="T14" s="11">
        <v>1638</v>
      </c>
      <c r="U14" s="11">
        <v>2000</v>
      </c>
      <c r="V14" s="15">
        <f t="shared" si="1"/>
        <v>173.95</v>
      </c>
      <c r="W14" s="12">
        <v>9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765</v>
      </c>
      <c r="E18" s="25">
        <f t="shared" si="5"/>
        <v>880</v>
      </c>
      <c r="F18" s="25">
        <f t="shared" si="5"/>
        <v>1041</v>
      </c>
      <c r="G18" s="25">
        <f t="shared" si="5"/>
        <v>1198</v>
      </c>
      <c r="H18" s="25">
        <f t="shared" si="5"/>
        <v>1123</v>
      </c>
      <c r="I18" s="25">
        <f t="shared" si="5"/>
        <v>1579</v>
      </c>
      <c r="J18" s="26">
        <f>SUM(C18:I18)</f>
        <v>6586</v>
      </c>
      <c r="K18" s="28"/>
      <c r="M18" s="1"/>
      <c r="N18" s="7"/>
      <c r="O18" s="25">
        <f t="shared" ref="O18:U18" si="6">SUM(O8:O17)</f>
        <v>0</v>
      </c>
      <c r="P18" s="25">
        <f t="shared" si="6"/>
        <v>679</v>
      </c>
      <c r="Q18" s="25">
        <f t="shared" si="6"/>
        <v>794</v>
      </c>
      <c r="R18" s="25">
        <f t="shared" si="6"/>
        <v>955</v>
      </c>
      <c r="S18" s="25">
        <f t="shared" si="6"/>
        <v>1905</v>
      </c>
      <c r="T18" s="25">
        <f t="shared" si="6"/>
        <v>1928</v>
      </c>
      <c r="U18" s="25">
        <f t="shared" si="6"/>
        <v>2405</v>
      </c>
      <c r="V18" s="26">
        <f>SUM(O18:U18)</f>
        <v>8666</v>
      </c>
      <c r="W18" s="28"/>
      <c r="Y18" s="33">
        <f>SUM(Y8:Y17)</f>
        <v>54.650000000000006</v>
      </c>
      <c r="Z18" s="34">
        <f>SUM(Z8:Z17)</f>
        <v>42.7</v>
      </c>
      <c r="AA18" s="35">
        <f>SUM(AA8:AA17)</f>
        <v>11.95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19.125</v>
      </c>
      <c r="E19" s="21">
        <f t="shared" si="7"/>
        <v>22</v>
      </c>
      <c r="F19" s="21">
        <f t="shared" si="7"/>
        <v>26.024999999999999</v>
      </c>
      <c r="G19" s="21">
        <f t="shared" si="7"/>
        <v>29.95</v>
      </c>
      <c r="H19" s="21">
        <f t="shared" si="7"/>
        <v>28.074999999999999</v>
      </c>
      <c r="I19" s="21">
        <f t="shared" si="7"/>
        <v>39.475000000000001</v>
      </c>
      <c r="J19" s="22">
        <f t="shared" si="7"/>
        <v>164.65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16.975000000000001</v>
      </c>
      <c r="Q19" s="21">
        <f t="shared" si="8"/>
        <v>19.850000000000001</v>
      </c>
      <c r="R19" s="21">
        <f t="shared" si="8"/>
        <v>23.875</v>
      </c>
      <c r="S19" s="21">
        <f t="shared" si="8"/>
        <v>47.625</v>
      </c>
      <c r="T19" s="21">
        <f t="shared" si="8"/>
        <v>48.2</v>
      </c>
      <c r="U19" s="21">
        <f t="shared" si="8"/>
        <v>60.125</v>
      </c>
      <c r="V19" s="22">
        <f t="shared" si="8"/>
        <v>216.65</v>
      </c>
      <c r="W19" s="23"/>
      <c r="Y19" s="39">
        <f>Y18/40</f>
        <v>1.3662500000000002</v>
      </c>
      <c r="Z19" s="40">
        <f>Z18/40</f>
        <v>1.0675000000000001</v>
      </c>
      <c r="AA19" s="41">
        <f>AA18/40</f>
        <v>0.29874999999999996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E597-1A73-411F-A36C-51BC98AA4226}">
  <dimension ref="A1:AA19"/>
  <sheetViews>
    <sheetView workbookViewId="0">
      <selection activeCell="W8" sqref="W8:W16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7" si="0">SUM(C9:I9)/40</f>
        <v>0</v>
      </c>
      <c r="K9" s="12"/>
      <c r="L9" s="13"/>
      <c r="M9" s="14"/>
      <c r="N9" s="7" t="s">
        <v>14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6">
        <f>SUM(C18:I18)</f>
        <v>0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0</v>
      </c>
      <c r="Z18" s="34">
        <f>SUM(Z8:Z17)</f>
        <v>0</v>
      </c>
      <c r="AA18" s="35">
        <f>SUM(AA8:AA17)</f>
        <v>0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0</v>
      </c>
      <c r="E19" s="21">
        <f t="shared" si="7"/>
        <v>0</v>
      </c>
      <c r="F19" s="21">
        <f t="shared" si="7"/>
        <v>0</v>
      </c>
      <c r="G19" s="21">
        <f t="shared" si="7"/>
        <v>0</v>
      </c>
      <c r="H19" s="21">
        <f t="shared" si="7"/>
        <v>0</v>
      </c>
      <c r="I19" s="21">
        <f t="shared" si="7"/>
        <v>0</v>
      </c>
      <c r="J19" s="22">
        <f t="shared" si="7"/>
        <v>0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</v>
      </c>
      <c r="W19" s="23"/>
      <c r="Y19" s="39">
        <f>Y18/40</f>
        <v>0</v>
      </c>
      <c r="Z19" s="40">
        <f>Z18/40</f>
        <v>0</v>
      </c>
      <c r="AA19" s="41">
        <f>AA18/40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4E2C-B3C5-473E-8709-91E86C4798CE}">
  <dimension ref="A1:AA27"/>
  <sheetViews>
    <sheetView workbookViewId="0">
      <selection activeCell="AC7" sqref="AC7"/>
    </sheetView>
  </sheetViews>
  <sheetFormatPr defaultRowHeight="14.5" x14ac:dyDescent="0.35"/>
  <cols>
    <col min="1" max="1" width="5.6328125" customWidth="1"/>
    <col min="2" max="2" width="8.5429687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8.54296875" bestFit="1" customWidth="1"/>
    <col min="15" max="15" width="4" bestFit="1" customWidth="1"/>
    <col min="16" max="16" width="3.90625" bestFit="1" customWidth="1"/>
    <col min="17" max="17" width="3.5429687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80</v>
      </c>
      <c r="E8" s="11">
        <v>80</v>
      </c>
      <c r="F8" s="11">
        <v>120</v>
      </c>
      <c r="G8" s="11">
        <v>220</v>
      </c>
      <c r="H8" s="11">
        <v>220</v>
      </c>
      <c r="I8" s="11">
        <v>280</v>
      </c>
      <c r="J8" s="15">
        <f>SUM(C8:I8)/40</f>
        <v>25</v>
      </c>
      <c r="K8" s="12">
        <v>11</v>
      </c>
      <c r="L8" s="13"/>
      <c r="M8" s="14"/>
      <c r="N8" s="7" t="s">
        <v>13</v>
      </c>
      <c r="O8" s="11"/>
      <c r="P8" s="11">
        <v>80</v>
      </c>
      <c r="Q8" s="11">
        <v>80</v>
      </c>
      <c r="R8" s="11">
        <v>120</v>
      </c>
      <c r="S8" s="11">
        <v>210</v>
      </c>
      <c r="T8" s="11">
        <v>210</v>
      </c>
      <c r="U8" s="11">
        <v>260</v>
      </c>
      <c r="V8" s="15">
        <f>SUM(O8:U8)/40</f>
        <v>24</v>
      </c>
      <c r="W8" s="12">
        <v>10</v>
      </c>
      <c r="Y8" s="36">
        <f>J8</f>
        <v>25</v>
      </c>
      <c r="Z8" s="37">
        <f>V8</f>
        <v>24</v>
      </c>
      <c r="AA8" s="38">
        <f>Y8-Z8</f>
        <v>1</v>
      </c>
    </row>
    <row r="9" spans="1:27" x14ac:dyDescent="0.35">
      <c r="A9" s="14"/>
      <c r="B9" s="7" t="s">
        <v>14</v>
      </c>
      <c r="C9" s="11"/>
      <c r="D9" s="11">
        <v>133</v>
      </c>
      <c r="E9" s="11">
        <v>12</v>
      </c>
      <c r="F9" s="11">
        <v>55</v>
      </c>
      <c r="G9" s="11">
        <v>85</v>
      </c>
      <c r="H9" s="11">
        <v>80</v>
      </c>
      <c r="I9" s="11">
        <v>75</v>
      </c>
      <c r="J9" s="15">
        <f t="shared" ref="J9:J17" si="0">SUM(C9:I9)/40</f>
        <v>11</v>
      </c>
      <c r="K9" s="12">
        <v>25</v>
      </c>
      <c r="L9" s="13"/>
      <c r="M9" s="14"/>
      <c r="N9" s="7" t="s">
        <v>14</v>
      </c>
      <c r="O9" s="11"/>
      <c r="P9" s="11">
        <v>93</v>
      </c>
      <c r="Q9" s="11">
        <v>12</v>
      </c>
      <c r="R9" s="11">
        <v>55</v>
      </c>
      <c r="S9" s="11">
        <v>65</v>
      </c>
      <c r="T9" s="11">
        <v>60</v>
      </c>
      <c r="U9" s="11">
        <v>75</v>
      </c>
      <c r="V9" s="15">
        <f t="shared" ref="V9:V16" si="1">SUM(O9:U9)/40</f>
        <v>9</v>
      </c>
      <c r="W9" s="12">
        <v>23</v>
      </c>
      <c r="Y9" s="36">
        <f t="shared" ref="Y9:Y17" si="2">J9</f>
        <v>11</v>
      </c>
      <c r="Z9" s="37">
        <f t="shared" ref="Z9:Z17" si="3">V9</f>
        <v>9</v>
      </c>
      <c r="AA9" s="38">
        <f t="shared" ref="AA9:AA17" si="4">Y9-Z9</f>
        <v>2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90</v>
      </c>
      <c r="E11" s="11">
        <v>90</v>
      </c>
      <c r="F11" s="11">
        <v>101</v>
      </c>
      <c r="G11" s="11">
        <v>169</v>
      </c>
      <c r="H11" s="11">
        <v>69</v>
      </c>
      <c r="I11" s="11">
        <v>134</v>
      </c>
      <c r="J11" s="15">
        <f t="shared" si="0"/>
        <v>16.324999999999999</v>
      </c>
      <c r="K11" s="12">
        <v>8</v>
      </c>
      <c r="L11" s="13"/>
      <c r="M11" s="16"/>
      <c r="N11" s="17" t="s">
        <v>29</v>
      </c>
      <c r="O11" s="11"/>
      <c r="P11" s="11">
        <v>58</v>
      </c>
      <c r="Q11" s="11">
        <v>58</v>
      </c>
      <c r="R11" s="11">
        <v>69</v>
      </c>
      <c r="S11" s="11">
        <v>57</v>
      </c>
      <c r="T11" s="11">
        <v>37</v>
      </c>
      <c r="U11" s="11">
        <v>10</v>
      </c>
      <c r="V11" s="15">
        <f t="shared" si="1"/>
        <v>7.2249999999999996</v>
      </c>
      <c r="W11" s="12">
        <v>6</v>
      </c>
      <c r="Y11" s="36">
        <f t="shared" si="2"/>
        <v>16.324999999999999</v>
      </c>
      <c r="Z11" s="37">
        <f t="shared" si="3"/>
        <v>7.2249999999999996</v>
      </c>
      <c r="AA11" s="38">
        <f t="shared" si="4"/>
        <v>9.1</v>
      </c>
    </row>
    <row r="12" spans="1:27" x14ac:dyDescent="0.35">
      <c r="A12" s="16"/>
      <c r="B12" s="17" t="s">
        <v>28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28</v>
      </c>
      <c r="O12" s="11"/>
      <c r="P12" s="11">
        <v>42</v>
      </c>
      <c r="Q12" s="11">
        <v>43</v>
      </c>
      <c r="R12" s="11">
        <v>65</v>
      </c>
      <c r="S12" s="11">
        <v>5</v>
      </c>
      <c r="T12" s="11">
        <v>0</v>
      </c>
      <c r="U12" s="11">
        <v>3</v>
      </c>
      <c r="V12" s="15">
        <f t="shared" si="1"/>
        <v>3.95</v>
      </c>
      <c r="W12" s="12">
        <v>6</v>
      </c>
      <c r="Y12" s="36">
        <f t="shared" si="2"/>
        <v>0</v>
      </c>
      <c r="Z12" s="37">
        <f t="shared" si="3"/>
        <v>3.95</v>
      </c>
      <c r="AA12" s="38">
        <f t="shared" si="4"/>
        <v>-3.95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>
        <v>280</v>
      </c>
      <c r="Q14" s="11">
        <v>200</v>
      </c>
      <c r="R14" s="11">
        <v>920</v>
      </c>
      <c r="S14" s="11">
        <v>1400</v>
      </c>
      <c r="T14" s="11">
        <v>1400</v>
      </c>
      <c r="U14" s="11">
        <v>2000</v>
      </c>
      <c r="V14" s="15">
        <f t="shared" si="1"/>
        <v>155</v>
      </c>
      <c r="W14" s="12">
        <v>9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303</v>
      </c>
      <c r="E18" s="25">
        <f t="shared" si="5"/>
        <v>182</v>
      </c>
      <c r="F18" s="25">
        <f t="shared" si="5"/>
        <v>276</v>
      </c>
      <c r="G18" s="25">
        <f t="shared" si="5"/>
        <v>474</v>
      </c>
      <c r="H18" s="25">
        <f t="shared" si="5"/>
        <v>369</v>
      </c>
      <c r="I18" s="25">
        <f t="shared" si="5"/>
        <v>489</v>
      </c>
      <c r="J18" s="26">
        <f>SUM(C18:I18)</f>
        <v>2093</v>
      </c>
      <c r="K18" s="28"/>
      <c r="M18" s="1"/>
      <c r="N18" s="7"/>
      <c r="O18" s="25">
        <f t="shared" ref="O18:U18" si="6">SUM(O8:O17)</f>
        <v>0</v>
      </c>
      <c r="P18" s="25">
        <f t="shared" si="6"/>
        <v>553</v>
      </c>
      <c r="Q18" s="25">
        <f t="shared" si="6"/>
        <v>393</v>
      </c>
      <c r="R18" s="25">
        <f t="shared" si="6"/>
        <v>1229</v>
      </c>
      <c r="S18" s="25">
        <f t="shared" si="6"/>
        <v>1737</v>
      </c>
      <c r="T18" s="25">
        <f t="shared" si="6"/>
        <v>1707</v>
      </c>
      <c r="U18" s="25">
        <f t="shared" si="6"/>
        <v>2348</v>
      </c>
      <c r="V18" s="26">
        <f>SUM(O18:U18)</f>
        <v>7967</v>
      </c>
      <c r="W18" s="28"/>
      <c r="Y18" s="33">
        <f>SUM(Y8:Y17)</f>
        <v>52.325000000000003</v>
      </c>
      <c r="Z18" s="34">
        <f>SUM(Z8:Z17)</f>
        <v>44.175000000000004</v>
      </c>
      <c r="AA18" s="35">
        <f>SUM(AA8:AA17)</f>
        <v>8.1499999999999986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7.5750000000000002</v>
      </c>
      <c r="E19" s="21">
        <f t="shared" si="7"/>
        <v>4.55</v>
      </c>
      <c r="F19" s="21">
        <f t="shared" si="7"/>
        <v>6.9</v>
      </c>
      <c r="G19" s="21">
        <f t="shared" si="7"/>
        <v>11.85</v>
      </c>
      <c r="H19" s="21">
        <f t="shared" si="7"/>
        <v>9.2249999999999996</v>
      </c>
      <c r="I19" s="21">
        <f t="shared" si="7"/>
        <v>12.225</v>
      </c>
      <c r="J19" s="22">
        <f t="shared" si="7"/>
        <v>52.325000000000003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13.824999999999999</v>
      </c>
      <c r="Q19" s="21">
        <f t="shared" si="8"/>
        <v>9.8249999999999993</v>
      </c>
      <c r="R19" s="21">
        <f t="shared" si="8"/>
        <v>30.725000000000001</v>
      </c>
      <c r="S19" s="21">
        <f t="shared" si="8"/>
        <v>43.424999999999997</v>
      </c>
      <c r="T19" s="21">
        <f t="shared" si="8"/>
        <v>42.674999999999997</v>
      </c>
      <c r="U19" s="21">
        <f t="shared" si="8"/>
        <v>58.7</v>
      </c>
      <c r="V19" s="22">
        <f t="shared" si="8"/>
        <v>199.17500000000001</v>
      </c>
      <c r="W19" s="23"/>
      <c r="Y19" s="39">
        <f>Y18/40</f>
        <v>1.308125</v>
      </c>
      <c r="Z19" s="40">
        <f>Z18/40</f>
        <v>1.1043750000000001</v>
      </c>
      <c r="AA19" s="41">
        <f>AA18/40</f>
        <v>0.20374999999999996</v>
      </c>
    </row>
    <row r="27" spans="1:27" x14ac:dyDescent="0.35">
      <c r="J27">
        <f>15*40</f>
        <v>600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2268-B5C0-4F7D-B124-8932172B8A1F}">
  <dimension ref="A1:AA31"/>
  <sheetViews>
    <sheetView topLeftCell="A4" workbookViewId="0">
      <selection activeCell="M13" sqref="M13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.08984375" bestFit="1" customWidth="1"/>
    <col min="16" max="16" width="4" bestFit="1" customWidth="1"/>
    <col min="17" max="17" width="3.36328125" bestFit="1" customWidth="1"/>
    <col min="18" max="18" width="3.1796875" bestFit="1" customWidth="1"/>
    <col min="19" max="19" width="4" bestFit="1" customWidth="1"/>
    <col min="20" max="20" width="3.7265625" bestFit="1" customWidth="1"/>
    <col min="21" max="21" width="3.2695312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23</v>
      </c>
      <c r="E8" s="11">
        <v>39</v>
      </c>
      <c r="F8" s="11">
        <v>54</v>
      </c>
      <c r="G8" s="11">
        <v>213</v>
      </c>
      <c r="H8" s="11">
        <v>143</v>
      </c>
      <c r="I8" s="11">
        <v>154</v>
      </c>
      <c r="J8" s="15">
        <f>SUM(C8:I8)/40</f>
        <v>15.65</v>
      </c>
      <c r="K8" s="12">
        <v>16</v>
      </c>
      <c r="L8" s="13"/>
      <c r="M8" s="14"/>
      <c r="N8" s="7" t="s">
        <v>13</v>
      </c>
      <c r="O8" s="11"/>
      <c r="P8" s="11">
        <v>23</v>
      </c>
      <c r="Q8" s="11">
        <v>39</v>
      </c>
      <c r="R8" s="11">
        <v>14</v>
      </c>
      <c r="S8" s="11">
        <v>213</v>
      </c>
      <c r="T8" s="11">
        <v>143</v>
      </c>
      <c r="U8" s="11">
        <v>154</v>
      </c>
      <c r="V8" s="15">
        <f>SUM(O8:U8)/40</f>
        <v>14.65</v>
      </c>
      <c r="W8" s="12">
        <v>12</v>
      </c>
      <c r="Y8" s="36">
        <f>J8</f>
        <v>15.65</v>
      </c>
      <c r="Z8" s="37">
        <f>V8</f>
        <v>14.65</v>
      </c>
      <c r="AA8" s="38">
        <f>Y8-Z8</f>
        <v>1</v>
      </c>
    </row>
    <row r="9" spans="1:27" x14ac:dyDescent="0.35">
      <c r="A9" s="14"/>
      <c r="B9" s="7" t="s">
        <v>14</v>
      </c>
      <c r="C9" s="11"/>
      <c r="D9" s="11">
        <v>21</v>
      </c>
      <c r="E9" s="11">
        <v>16</v>
      </c>
      <c r="F9" s="11">
        <v>23</v>
      </c>
      <c r="G9" s="11">
        <v>101</v>
      </c>
      <c r="H9" s="11">
        <v>96</v>
      </c>
      <c r="I9" s="11">
        <v>143</v>
      </c>
      <c r="J9" s="15">
        <f t="shared" ref="J9:J18" si="0">SUM(C9:I9)/40</f>
        <v>10</v>
      </c>
      <c r="K9" s="12">
        <v>20</v>
      </c>
      <c r="L9" s="13"/>
      <c r="M9" s="14"/>
      <c r="N9" s="7" t="s">
        <v>14</v>
      </c>
      <c r="O9" s="11"/>
      <c r="P9" s="11">
        <v>21</v>
      </c>
      <c r="Q9" s="11">
        <v>16</v>
      </c>
      <c r="R9" s="11">
        <v>21</v>
      </c>
      <c r="S9" s="11">
        <v>91</v>
      </c>
      <c r="T9" s="11">
        <v>86</v>
      </c>
      <c r="U9" s="11">
        <v>133</v>
      </c>
      <c r="V9" s="15">
        <f t="shared" ref="V9:V17" si="1">SUM(O9:U9)/40</f>
        <v>9.1999999999999993</v>
      </c>
      <c r="W9" s="12">
        <v>20</v>
      </c>
      <c r="Y9" s="36">
        <f t="shared" ref="Y9:Y17" si="2">J9</f>
        <v>10</v>
      </c>
      <c r="Z9" s="37">
        <f t="shared" ref="Z9:Z17" si="3">V9</f>
        <v>9.1999999999999993</v>
      </c>
      <c r="AA9" s="38">
        <f t="shared" ref="AA9:AA17" si="4">Y9-Z9</f>
        <v>0.80000000000000071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29</v>
      </c>
      <c r="O11" s="11"/>
      <c r="P11" s="11">
        <v>26</v>
      </c>
      <c r="Q11" s="11">
        <v>26</v>
      </c>
      <c r="R11" s="11">
        <v>28</v>
      </c>
      <c r="S11" s="11">
        <v>70</v>
      </c>
      <c r="T11" s="11">
        <v>38</v>
      </c>
      <c r="U11" s="11">
        <v>106</v>
      </c>
      <c r="V11" s="15">
        <f t="shared" si="1"/>
        <v>7.35</v>
      </c>
      <c r="W11" s="12">
        <v>8</v>
      </c>
      <c r="Y11" s="36">
        <f t="shared" si="2"/>
        <v>0</v>
      </c>
      <c r="Z11" s="37">
        <f t="shared" si="3"/>
        <v>7.35</v>
      </c>
      <c r="AA11" s="38">
        <f t="shared" si="4"/>
        <v>-7.35</v>
      </c>
    </row>
    <row r="12" spans="1:27" x14ac:dyDescent="0.35">
      <c r="A12" s="16"/>
      <c r="B12" s="17" t="s">
        <v>28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>
        <v>172</v>
      </c>
      <c r="Q14" s="11">
        <v>80</v>
      </c>
      <c r="R14" s="11">
        <v>197</v>
      </c>
      <c r="S14" s="11">
        <v>277</v>
      </c>
      <c r="T14" s="11">
        <v>320</v>
      </c>
      <c r="U14" s="11">
        <v>827</v>
      </c>
      <c r="V14" s="15">
        <f t="shared" si="1"/>
        <v>46.825000000000003</v>
      </c>
      <c r="W14" s="12">
        <v>5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6"/>
      <c r="B18" s="17" t="s">
        <v>16</v>
      </c>
      <c r="C18" s="11"/>
      <c r="D18" s="11"/>
      <c r="E18" s="11"/>
      <c r="F18" s="11"/>
      <c r="G18" s="11"/>
      <c r="H18" s="11"/>
      <c r="I18" s="11"/>
      <c r="J18" s="15">
        <f t="shared" si="0"/>
        <v>0</v>
      </c>
      <c r="K18" s="18"/>
      <c r="M18" s="16"/>
      <c r="N18" s="17" t="s">
        <v>16</v>
      </c>
      <c r="O18" s="11"/>
      <c r="P18" s="11"/>
      <c r="Q18" s="11"/>
      <c r="R18" s="11"/>
      <c r="S18" s="11"/>
      <c r="T18" s="11"/>
      <c r="U18" s="11"/>
      <c r="V18" s="15">
        <f>SUM(O18:U18)/40</f>
        <v>0</v>
      </c>
      <c r="W18" s="18"/>
      <c r="Y18" s="36">
        <f t="shared" ref="Y18" si="5">J18</f>
        <v>0</v>
      </c>
      <c r="Z18" s="37">
        <f t="shared" ref="Z18" si="6">V18</f>
        <v>0</v>
      </c>
      <c r="AA18" s="38">
        <f t="shared" ref="AA18" si="7">Y18-Z18</f>
        <v>0</v>
      </c>
    </row>
    <row r="19" spans="1:27" x14ac:dyDescent="0.35">
      <c r="A19" s="1"/>
      <c r="B19" s="7"/>
      <c r="C19" s="25">
        <f t="shared" ref="C19:I19" si="8">SUM(C8:C18)</f>
        <v>0</v>
      </c>
      <c r="D19" s="25">
        <f t="shared" si="8"/>
        <v>44</v>
      </c>
      <c r="E19" s="25">
        <f t="shared" si="8"/>
        <v>55</v>
      </c>
      <c r="F19" s="25">
        <f t="shared" si="8"/>
        <v>77</v>
      </c>
      <c r="G19" s="25">
        <f t="shared" si="8"/>
        <v>314</v>
      </c>
      <c r="H19" s="25">
        <f t="shared" si="8"/>
        <v>239</v>
      </c>
      <c r="I19" s="25">
        <f t="shared" si="8"/>
        <v>297</v>
      </c>
      <c r="J19" s="26">
        <f>SUM(C19:I19)</f>
        <v>1026</v>
      </c>
      <c r="K19" s="28"/>
      <c r="M19" s="1"/>
      <c r="N19" s="7"/>
      <c r="O19" s="70">
        <f>SUM(O8:O18)</f>
        <v>0</v>
      </c>
      <c r="P19" s="70">
        <f t="shared" ref="P19:U19" si="9">SUM(P8:P18)</f>
        <v>242</v>
      </c>
      <c r="Q19" s="70">
        <f t="shared" si="9"/>
        <v>161</v>
      </c>
      <c r="R19" s="70">
        <f t="shared" si="9"/>
        <v>260</v>
      </c>
      <c r="S19" s="70">
        <f t="shared" si="9"/>
        <v>651</v>
      </c>
      <c r="T19" s="70">
        <f t="shared" si="9"/>
        <v>587</v>
      </c>
      <c r="U19" s="70">
        <f t="shared" si="9"/>
        <v>1220</v>
      </c>
      <c r="V19" s="26">
        <f>SUM(O19:U19)</f>
        <v>3121</v>
      </c>
      <c r="W19" s="28"/>
      <c r="Y19" s="33">
        <f>SUM(Y8:Y17)</f>
        <v>25.65</v>
      </c>
      <c r="Z19" s="34">
        <f>SUM(Z8:Z17)</f>
        <v>31.200000000000003</v>
      </c>
      <c r="AA19" s="35">
        <f>SUM(AA8:AA17)</f>
        <v>-5.5499999999999989</v>
      </c>
    </row>
    <row r="20" spans="1:27" ht="15" thickBot="1" x14ac:dyDescent="0.4">
      <c r="A20" s="1"/>
      <c r="B20" s="20" t="s">
        <v>18</v>
      </c>
      <c r="C20" s="21">
        <f t="shared" ref="C20:J20" si="10">C19/40</f>
        <v>0</v>
      </c>
      <c r="D20" s="21">
        <f t="shared" si="10"/>
        <v>1.1000000000000001</v>
      </c>
      <c r="E20" s="21">
        <f t="shared" si="10"/>
        <v>1.375</v>
      </c>
      <c r="F20" s="21">
        <f t="shared" si="10"/>
        <v>1.925</v>
      </c>
      <c r="G20" s="21">
        <f t="shared" si="10"/>
        <v>7.85</v>
      </c>
      <c r="H20" s="21">
        <f t="shared" si="10"/>
        <v>5.9749999999999996</v>
      </c>
      <c r="I20" s="21">
        <f t="shared" si="10"/>
        <v>7.4249999999999998</v>
      </c>
      <c r="J20" s="22">
        <f t="shared" si="10"/>
        <v>25.65</v>
      </c>
      <c r="K20" s="23"/>
      <c r="M20" s="1"/>
      <c r="N20" s="20" t="s">
        <v>18</v>
      </c>
      <c r="O20" s="21">
        <f t="shared" ref="O20:V20" si="11">O19/40</f>
        <v>0</v>
      </c>
      <c r="P20" s="21">
        <f t="shared" si="11"/>
        <v>6.05</v>
      </c>
      <c r="Q20" s="21">
        <f t="shared" si="11"/>
        <v>4.0250000000000004</v>
      </c>
      <c r="R20" s="21">
        <f t="shared" si="11"/>
        <v>6.5</v>
      </c>
      <c r="S20" s="21">
        <f t="shared" si="11"/>
        <v>16.274999999999999</v>
      </c>
      <c r="T20" s="21">
        <f t="shared" si="11"/>
        <v>14.675000000000001</v>
      </c>
      <c r="U20" s="21">
        <f t="shared" si="11"/>
        <v>30.5</v>
      </c>
      <c r="V20" s="22">
        <f t="shared" si="11"/>
        <v>78.025000000000006</v>
      </c>
      <c r="W20" s="23"/>
      <c r="Y20" s="39">
        <f>Y19/40</f>
        <v>0.64124999999999999</v>
      </c>
      <c r="Z20" s="40">
        <f>Z19/40</f>
        <v>0.78</v>
      </c>
      <c r="AA20" s="41">
        <f>AA19/40</f>
        <v>-0.13874999999999998</v>
      </c>
    </row>
    <row r="24" spans="1:27" x14ac:dyDescent="0.35">
      <c r="X24">
        <v>20467</v>
      </c>
      <c r="Y24">
        <v>3323</v>
      </c>
    </row>
    <row r="25" spans="1:27" x14ac:dyDescent="0.35">
      <c r="X25">
        <v>20557</v>
      </c>
      <c r="Y25">
        <v>2515</v>
      </c>
    </row>
    <row r="26" spans="1:27" x14ac:dyDescent="0.35">
      <c r="X26">
        <v>18860</v>
      </c>
      <c r="Y26">
        <v>4805</v>
      </c>
    </row>
    <row r="27" spans="1:27" x14ac:dyDescent="0.35">
      <c r="X27" s="71">
        <f>SUM(X24:X26)</f>
        <v>59884</v>
      </c>
      <c r="Y27">
        <v>6272</v>
      </c>
    </row>
    <row r="28" spans="1:27" x14ac:dyDescent="0.35">
      <c r="Y28">
        <v>3136</v>
      </c>
    </row>
    <row r="29" spans="1:27" x14ac:dyDescent="0.35">
      <c r="Y29">
        <v>130</v>
      </c>
    </row>
    <row r="30" spans="1:27" x14ac:dyDescent="0.35">
      <c r="Y30">
        <f>SUM(Y24:Y29)</f>
        <v>20181</v>
      </c>
    </row>
    <row r="31" spans="1:27" x14ac:dyDescent="0.35">
      <c r="W31">
        <f>X27-Y30</f>
        <v>39703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0EF4-F35E-451F-BF84-5B668D1495CC}">
  <dimension ref="A1:AA19"/>
  <sheetViews>
    <sheetView workbookViewId="0">
      <selection activeCell="M8" sqref="M8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816406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40</v>
      </c>
      <c r="E8" s="11">
        <v>0</v>
      </c>
      <c r="F8" s="11">
        <v>160</v>
      </c>
      <c r="G8" s="11">
        <v>250</v>
      </c>
      <c r="H8" s="11">
        <v>210</v>
      </c>
      <c r="I8" s="11">
        <v>300</v>
      </c>
      <c r="J8" s="15">
        <f>SUM(C8:I8)/40</f>
        <v>24</v>
      </c>
      <c r="K8" s="12">
        <v>7</v>
      </c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24</v>
      </c>
      <c r="Z8" s="37">
        <f>V8</f>
        <v>0</v>
      </c>
      <c r="AA8" s="38">
        <f>Y8-Z8</f>
        <v>24</v>
      </c>
    </row>
    <row r="9" spans="1:27" x14ac:dyDescent="0.35">
      <c r="A9" s="14"/>
      <c r="B9" s="7" t="s">
        <v>14</v>
      </c>
      <c r="C9" s="11"/>
      <c r="D9" s="11">
        <v>60</v>
      </c>
      <c r="E9" s="11">
        <v>50</v>
      </c>
      <c r="F9" s="11">
        <v>50</v>
      </c>
      <c r="G9" s="11">
        <v>120</v>
      </c>
      <c r="H9" s="11">
        <v>65</v>
      </c>
      <c r="I9" s="11">
        <v>135</v>
      </c>
      <c r="J9" s="15">
        <f t="shared" ref="J9:J17" si="0">SUM(C9:I9)/40</f>
        <v>12</v>
      </c>
      <c r="K9" s="12">
        <v>16</v>
      </c>
      <c r="L9" s="13"/>
      <c r="M9" s="14"/>
      <c r="N9" s="7" t="s">
        <v>14</v>
      </c>
      <c r="O9" s="11"/>
      <c r="P9" s="11">
        <v>60</v>
      </c>
      <c r="Q9" s="11">
        <v>45</v>
      </c>
      <c r="R9" s="11">
        <v>45</v>
      </c>
      <c r="S9" s="11">
        <v>60</v>
      </c>
      <c r="T9" s="11">
        <v>45</v>
      </c>
      <c r="U9" s="11">
        <v>80</v>
      </c>
      <c r="V9" s="15">
        <f t="shared" ref="V9:V16" si="1">SUM(O9:U9)/40</f>
        <v>8.375</v>
      </c>
      <c r="W9" s="12">
        <v>14</v>
      </c>
      <c r="Y9" s="36">
        <f t="shared" ref="Y9:Y17" si="2">J9</f>
        <v>12</v>
      </c>
      <c r="Z9" s="37">
        <f t="shared" ref="Z9:Z17" si="3">V9</f>
        <v>8.375</v>
      </c>
      <c r="AA9" s="38">
        <f t="shared" ref="AA9:AA17" si="4">Y9-Z9</f>
        <v>3.625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78</v>
      </c>
      <c r="E11" s="11">
        <v>50</v>
      </c>
      <c r="F11" s="11">
        <v>56</v>
      </c>
      <c r="G11" s="11">
        <v>65</v>
      </c>
      <c r="H11" s="11">
        <v>105</v>
      </c>
      <c r="I11" s="11">
        <v>30</v>
      </c>
      <c r="J11" s="15">
        <f t="shared" si="0"/>
        <v>9.6</v>
      </c>
      <c r="K11" s="12">
        <v>5</v>
      </c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9.6</v>
      </c>
      <c r="Z11" s="37">
        <f t="shared" si="3"/>
        <v>0</v>
      </c>
      <c r="AA11" s="38">
        <f t="shared" si="4"/>
        <v>9.6</v>
      </c>
    </row>
    <row r="12" spans="1:27" x14ac:dyDescent="0.35">
      <c r="A12" s="16"/>
      <c r="B12" s="17" t="s">
        <v>28</v>
      </c>
      <c r="C12" s="11"/>
      <c r="D12" s="11">
        <v>105</v>
      </c>
      <c r="E12" s="11">
        <v>64</v>
      </c>
      <c r="F12" s="11">
        <v>95</v>
      </c>
      <c r="G12" s="11">
        <v>102</v>
      </c>
      <c r="H12" s="11">
        <v>98</v>
      </c>
      <c r="I12" s="11">
        <v>108</v>
      </c>
      <c r="J12" s="15">
        <f t="shared" si="0"/>
        <v>14.3</v>
      </c>
      <c r="K12" s="12">
        <v>12</v>
      </c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>D12</f>
        <v>105</v>
      </c>
      <c r="Z12" s="37">
        <f t="shared" si="3"/>
        <v>0</v>
      </c>
      <c r="AA12" s="38">
        <f t="shared" si="4"/>
        <v>105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283</v>
      </c>
      <c r="E18" s="25">
        <f t="shared" si="5"/>
        <v>164</v>
      </c>
      <c r="F18" s="25">
        <f t="shared" si="5"/>
        <v>361</v>
      </c>
      <c r="G18" s="25">
        <f t="shared" si="5"/>
        <v>537</v>
      </c>
      <c r="H18" s="25">
        <f t="shared" si="5"/>
        <v>478</v>
      </c>
      <c r="I18" s="25">
        <f t="shared" si="5"/>
        <v>573</v>
      </c>
      <c r="J18" s="26">
        <f>SUM(C18:I18)</f>
        <v>2396</v>
      </c>
      <c r="K18" s="28"/>
      <c r="M18" s="1"/>
      <c r="N18" s="7"/>
      <c r="O18" s="25">
        <f t="shared" ref="O18:U18" si="6">SUM(O8:O17)</f>
        <v>0</v>
      </c>
      <c r="P18" s="25">
        <f t="shared" si="6"/>
        <v>60</v>
      </c>
      <c r="Q18" s="25">
        <f t="shared" si="6"/>
        <v>45</v>
      </c>
      <c r="R18" s="25">
        <f t="shared" si="6"/>
        <v>45</v>
      </c>
      <c r="S18" s="25">
        <f t="shared" si="6"/>
        <v>60</v>
      </c>
      <c r="T18" s="25">
        <f t="shared" si="6"/>
        <v>45</v>
      </c>
      <c r="U18" s="25">
        <f t="shared" si="6"/>
        <v>80</v>
      </c>
      <c r="V18" s="26">
        <f>SUM(O18:U18)</f>
        <v>335</v>
      </c>
      <c r="W18" s="28"/>
      <c r="Y18" s="33">
        <f>SUM(Y8:Y17)</f>
        <v>150.6</v>
      </c>
      <c r="Z18" s="34">
        <f>SUM(Z8:Z17)</f>
        <v>8.375</v>
      </c>
      <c r="AA18" s="35">
        <f>SUM(AA8:AA17)</f>
        <v>142.22499999999999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7.0750000000000002</v>
      </c>
      <c r="E19" s="21">
        <f t="shared" si="7"/>
        <v>4.0999999999999996</v>
      </c>
      <c r="F19" s="21">
        <f t="shared" si="7"/>
        <v>9.0250000000000004</v>
      </c>
      <c r="G19" s="21">
        <f t="shared" si="7"/>
        <v>13.425000000000001</v>
      </c>
      <c r="H19" s="21">
        <f t="shared" si="7"/>
        <v>11.95</v>
      </c>
      <c r="I19" s="21">
        <f t="shared" si="7"/>
        <v>14.324999999999999</v>
      </c>
      <c r="J19" s="22">
        <f t="shared" si="7"/>
        <v>59.9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1.5</v>
      </c>
      <c r="Q19" s="21">
        <f t="shared" si="8"/>
        <v>1.125</v>
      </c>
      <c r="R19" s="21">
        <f t="shared" si="8"/>
        <v>1.125</v>
      </c>
      <c r="S19" s="21">
        <f t="shared" si="8"/>
        <v>1.5</v>
      </c>
      <c r="T19" s="21">
        <f t="shared" si="8"/>
        <v>1.125</v>
      </c>
      <c r="U19" s="21">
        <f t="shared" si="8"/>
        <v>2</v>
      </c>
      <c r="V19" s="22">
        <f t="shared" si="8"/>
        <v>8.375</v>
      </c>
      <c r="W19" s="23"/>
      <c r="Y19" s="39">
        <f>Y18/40</f>
        <v>3.7649999999999997</v>
      </c>
      <c r="Z19" s="40">
        <f>Z18/40</f>
        <v>0.20937500000000001</v>
      </c>
      <c r="AA19" s="41">
        <f>AA18/40</f>
        <v>3.555625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9ECB-3983-42D8-9225-B9053A82A404}">
  <dimension ref="A1:AA19"/>
  <sheetViews>
    <sheetView tabSelected="1" topLeftCell="A3" workbookViewId="0">
      <selection activeCell="K12" sqref="K12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0</v>
      </c>
      <c r="E8" s="11">
        <v>0</v>
      </c>
      <c r="F8" s="11">
        <v>0</v>
      </c>
      <c r="G8" s="11">
        <v>210</v>
      </c>
      <c r="H8" s="11">
        <v>140</v>
      </c>
      <c r="I8" s="11">
        <v>210</v>
      </c>
      <c r="J8" s="15">
        <f>SUM(C8:I8)/40</f>
        <v>14</v>
      </c>
      <c r="K8" s="12">
        <v>21</v>
      </c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>
        <v>19</v>
      </c>
      <c r="Y8" s="36">
        <f>J8</f>
        <v>14</v>
      </c>
      <c r="Z8" s="37">
        <f>V8</f>
        <v>0</v>
      </c>
      <c r="AA8" s="38">
        <f>Y8-Z8</f>
        <v>14</v>
      </c>
    </row>
    <row r="9" spans="1:27" x14ac:dyDescent="0.35">
      <c r="A9" s="14"/>
      <c r="B9" s="7" t="s">
        <v>14</v>
      </c>
      <c r="C9" s="11"/>
      <c r="D9" s="11">
        <v>162</v>
      </c>
      <c r="E9" s="11">
        <v>147</v>
      </c>
      <c r="F9" s="11">
        <v>162</v>
      </c>
      <c r="G9" s="11">
        <v>52</v>
      </c>
      <c r="H9" s="11">
        <v>132</v>
      </c>
      <c r="I9" s="11">
        <v>120</v>
      </c>
      <c r="J9" s="15">
        <f t="shared" ref="J9:J11" si="0">SUM(C9:I9)/40</f>
        <v>19.375</v>
      </c>
      <c r="K9" s="12">
        <v>15</v>
      </c>
      <c r="L9" s="13"/>
      <c r="M9" s="14"/>
      <c r="N9" s="7" t="s">
        <v>14</v>
      </c>
      <c r="O9" s="11"/>
      <c r="P9" s="11"/>
      <c r="Q9" s="11"/>
      <c r="R9" s="11"/>
      <c r="S9" s="11"/>
      <c r="T9" s="11"/>
      <c r="U9" s="11"/>
      <c r="V9" s="15">
        <f t="shared" ref="V9:V13" si="1">SUM(O9:U9)/40</f>
        <v>0</v>
      </c>
      <c r="W9" s="12">
        <v>18</v>
      </c>
      <c r="Y9" s="36">
        <f t="shared" ref="Y9:Y17" si="2">J9</f>
        <v>19.375</v>
      </c>
      <c r="Z9" s="37">
        <f t="shared" ref="Z9:Z17" si="3">V9</f>
        <v>0</v>
      </c>
      <c r="AA9" s="38">
        <f t="shared" ref="AA9:AA17" si="4">Y9-Z9</f>
        <v>19.375</v>
      </c>
    </row>
    <row r="10" spans="1:27" x14ac:dyDescent="0.35">
      <c r="A10" s="14"/>
      <c r="B10" s="7" t="s">
        <v>15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>
        <v>7</v>
      </c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>
        <v>12</v>
      </c>
      <c r="E11" s="11">
        <v>0</v>
      </c>
      <c r="F11" s="11">
        <v>12</v>
      </c>
      <c r="G11" s="11">
        <v>63</v>
      </c>
      <c r="H11" s="11">
        <v>23</v>
      </c>
      <c r="I11" s="11">
        <v>88</v>
      </c>
      <c r="J11" s="15">
        <f t="shared" si="0"/>
        <v>4.95</v>
      </c>
      <c r="K11" s="12">
        <v>5</v>
      </c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>
        <v>7</v>
      </c>
      <c r="Y11" s="36">
        <f t="shared" si="2"/>
        <v>4.95</v>
      </c>
      <c r="Z11" s="37">
        <f t="shared" si="3"/>
        <v>0</v>
      </c>
      <c r="AA11" s="38">
        <f t="shared" si="4"/>
        <v>4.95</v>
      </c>
    </row>
    <row r="12" spans="1:27" x14ac:dyDescent="0.35">
      <c r="A12" s="16"/>
      <c r="B12" s="17" t="s">
        <v>28</v>
      </c>
      <c r="C12" s="11"/>
      <c r="D12" s="11"/>
      <c r="E12" s="11"/>
      <c r="F12" s="11"/>
      <c r="G12" s="11"/>
      <c r="H12" s="11"/>
      <c r="I12" s="11"/>
      <c r="J12" s="15">
        <f t="shared" ref="J12:J17" si="5">SUM(C12:I12)/40</f>
        <v>0</v>
      </c>
      <c r="K12" s="12"/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>C12</f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5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>
        <v>13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5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v>21</v>
      </c>
      <c r="W14" s="12">
        <v>14</v>
      </c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5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v>8</v>
      </c>
      <c r="W15" s="12">
        <v>10</v>
      </c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5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v>7</v>
      </c>
      <c r="W16" s="12">
        <v>8</v>
      </c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5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6">SUM(C8:C17)</f>
        <v>0</v>
      </c>
      <c r="D18" s="25">
        <f t="shared" si="6"/>
        <v>174</v>
      </c>
      <c r="E18" s="25">
        <f t="shared" si="6"/>
        <v>147</v>
      </c>
      <c r="F18" s="25">
        <f t="shared" si="6"/>
        <v>174</v>
      </c>
      <c r="G18" s="25">
        <f t="shared" si="6"/>
        <v>325</v>
      </c>
      <c r="H18" s="25">
        <f t="shared" si="6"/>
        <v>295</v>
      </c>
      <c r="I18" s="25">
        <f t="shared" si="6"/>
        <v>418</v>
      </c>
      <c r="J18" s="26">
        <f>SUM(C18:I18)</f>
        <v>1533</v>
      </c>
      <c r="K18" s="28"/>
      <c r="M18" s="1"/>
      <c r="N18" s="7"/>
      <c r="O18" s="25">
        <f t="shared" ref="O18:U18" si="7">SUM(O8:O17)</f>
        <v>0</v>
      </c>
      <c r="P18" s="25">
        <f t="shared" si="7"/>
        <v>0</v>
      </c>
      <c r="Q18" s="25">
        <f t="shared" si="7"/>
        <v>0</v>
      </c>
      <c r="R18" s="25">
        <f t="shared" si="7"/>
        <v>0</v>
      </c>
      <c r="S18" s="25">
        <f t="shared" si="7"/>
        <v>0</v>
      </c>
      <c r="T18" s="25">
        <f t="shared" si="7"/>
        <v>0</v>
      </c>
      <c r="U18" s="25">
        <f t="shared" si="7"/>
        <v>0</v>
      </c>
      <c r="V18" s="26">
        <f>SUM(O18:U18)</f>
        <v>0</v>
      </c>
      <c r="W18" s="28"/>
      <c r="Y18" s="33">
        <f>SUM(Y8:Y17)</f>
        <v>38.325000000000003</v>
      </c>
      <c r="Z18" s="34">
        <f>SUM(Z8:Z17)</f>
        <v>0</v>
      </c>
      <c r="AA18" s="35">
        <f>SUM(AA8:AA17)</f>
        <v>38.325000000000003</v>
      </c>
    </row>
    <row r="19" spans="1:27" ht="15" thickBot="1" x14ac:dyDescent="0.4">
      <c r="A19" s="1"/>
      <c r="B19" s="20" t="s">
        <v>18</v>
      </c>
      <c r="C19" s="21">
        <f t="shared" ref="C19:I19" si="8">C18/40</f>
        <v>0</v>
      </c>
      <c r="D19" s="21">
        <f t="shared" si="8"/>
        <v>4.3499999999999996</v>
      </c>
      <c r="E19" s="21">
        <f t="shared" si="8"/>
        <v>3.6749999999999998</v>
      </c>
      <c r="F19" s="21">
        <f t="shared" si="8"/>
        <v>4.3499999999999996</v>
      </c>
      <c r="G19" s="21">
        <f t="shared" si="8"/>
        <v>8.125</v>
      </c>
      <c r="H19" s="21">
        <f t="shared" si="8"/>
        <v>7.375</v>
      </c>
      <c r="I19" s="21">
        <f t="shared" si="8"/>
        <v>10.45</v>
      </c>
      <c r="J19" s="22">
        <f>SUM(J8:J16)</f>
        <v>38.325000000000003</v>
      </c>
      <c r="K19" s="23"/>
      <c r="M19" s="1"/>
      <c r="N19" s="20" t="s">
        <v>18</v>
      </c>
      <c r="O19" s="21">
        <f t="shared" ref="O19:U19" si="9">O18/40</f>
        <v>0</v>
      </c>
      <c r="P19" s="21">
        <f t="shared" si="9"/>
        <v>0</v>
      </c>
      <c r="Q19" s="21">
        <f t="shared" si="9"/>
        <v>0</v>
      </c>
      <c r="R19" s="21">
        <f t="shared" si="9"/>
        <v>0</v>
      </c>
      <c r="S19" s="21">
        <f t="shared" si="9"/>
        <v>0</v>
      </c>
      <c r="T19" s="21">
        <f t="shared" si="9"/>
        <v>0</v>
      </c>
      <c r="U19" s="21">
        <f t="shared" si="9"/>
        <v>0</v>
      </c>
      <c r="V19" s="22">
        <f>SUM(V8:V16)</f>
        <v>36</v>
      </c>
      <c r="W19" s="23"/>
      <c r="Y19" s="39">
        <f>Y18/40</f>
        <v>0.95812500000000012</v>
      </c>
      <c r="Z19" s="40">
        <f>Z18/40</f>
        <v>0</v>
      </c>
      <c r="AA19" s="41">
        <f>AA18/40</f>
        <v>0.95812500000000012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4740-B301-4AC2-BE07-AD027904CFB3}">
  <dimension ref="A1:AA19"/>
  <sheetViews>
    <sheetView workbookViewId="0">
      <selection activeCell="D12" sqref="D12:J12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0</v>
      </c>
      <c r="E8" s="11">
        <v>0</v>
      </c>
      <c r="F8" s="11">
        <v>40</v>
      </c>
      <c r="G8" s="11">
        <v>60</v>
      </c>
      <c r="H8" s="11">
        <v>60</v>
      </c>
      <c r="I8" s="11">
        <v>0</v>
      </c>
      <c r="J8" s="15">
        <f>SUM(C8:I8)/40</f>
        <v>4</v>
      </c>
      <c r="K8" s="12">
        <v>17</v>
      </c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>
        <v>16</v>
      </c>
      <c r="Y8" s="36">
        <f>J8</f>
        <v>4</v>
      </c>
      <c r="Z8" s="37">
        <f>V8</f>
        <v>0</v>
      </c>
      <c r="AA8" s="38">
        <f>Y8-Z8</f>
        <v>4</v>
      </c>
    </row>
    <row r="9" spans="1:27" x14ac:dyDescent="0.35">
      <c r="A9" s="14"/>
      <c r="B9" s="7" t="s">
        <v>14</v>
      </c>
      <c r="C9" s="93" t="s">
        <v>40</v>
      </c>
      <c r="D9" s="94"/>
      <c r="E9" s="94"/>
      <c r="F9" s="94"/>
      <c r="G9" s="94"/>
      <c r="H9" s="94"/>
      <c r="I9" s="94"/>
      <c r="J9" s="95"/>
      <c r="K9" s="12"/>
      <c r="L9" s="13"/>
      <c r="M9" s="14"/>
      <c r="N9" s="7" t="s">
        <v>14</v>
      </c>
      <c r="O9" s="43"/>
      <c r="P9" s="43"/>
      <c r="Q9" s="43"/>
      <c r="R9" s="43"/>
      <c r="S9" s="43"/>
      <c r="T9" s="43"/>
      <c r="U9" s="43"/>
      <c r="V9" s="74">
        <f t="shared" ref="V9:V16" si="0">SUM(O9:U9)/40</f>
        <v>0</v>
      </c>
      <c r="W9" s="12"/>
      <c r="Y9" s="36" t="str">
        <f>C9</f>
        <v>Leave</v>
      </c>
      <c r="Z9" s="37">
        <f t="shared" ref="Z9:Z17" si="1">V9</f>
        <v>0</v>
      </c>
      <c r="AA9" s="38" t="e">
        <f t="shared" ref="AA9:AA17" si="2">Y9-Z9</f>
        <v>#VALUE!</v>
      </c>
    </row>
    <row r="10" spans="1:27" x14ac:dyDescent="0.35">
      <c r="A10" s="14"/>
      <c r="B10" s="7" t="s">
        <v>15</v>
      </c>
      <c r="C10" s="11"/>
      <c r="D10" s="11">
        <v>40</v>
      </c>
      <c r="E10" s="11">
        <v>18</v>
      </c>
      <c r="F10" s="11">
        <v>40</v>
      </c>
      <c r="G10" s="11">
        <v>0</v>
      </c>
      <c r="H10" s="11">
        <v>0</v>
      </c>
      <c r="I10" s="11">
        <v>0</v>
      </c>
      <c r="J10" s="15">
        <f t="shared" ref="J10:J17" si="3">SUM(C10:I10)/40</f>
        <v>2.4500000000000002</v>
      </c>
      <c r="K10" s="12">
        <v>4</v>
      </c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0"/>
        <v>0</v>
      </c>
      <c r="W10" s="12">
        <v>4</v>
      </c>
      <c r="Y10" s="36">
        <f t="shared" ref="Y10:Y17" si="4">J10</f>
        <v>2.4500000000000002</v>
      </c>
      <c r="Z10" s="37">
        <f t="shared" si="1"/>
        <v>0</v>
      </c>
      <c r="AA10" s="38">
        <f t="shared" si="2"/>
        <v>2.4500000000000002</v>
      </c>
    </row>
    <row r="11" spans="1:27" x14ac:dyDescent="0.35">
      <c r="A11" s="16"/>
      <c r="B11" s="17" t="s">
        <v>29</v>
      </c>
      <c r="C11" s="11"/>
      <c r="D11" s="11">
        <v>18</v>
      </c>
      <c r="E11" s="11">
        <v>6</v>
      </c>
      <c r="F11" s="11">
        <v>18</v>
      </c>
      <c r="G11" s="11">
        <v>32</v>
      </c>
      <c r="H11" s="11">
        <v>31</v>
      </c>
      <c r="I11" s="11">
        <v>30</v>
      </c>
      <c r="J11" s="15">
        <f t="shared" si="3"/>
        <v>3.375</v>
      </c>
      <c r="K11" s="12">
        <v>5</v>
      </c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0"/>
        <v>0</v>
      </c>
      <c r="W11" s="12">
        <v>4</v>
      </c>
      <c r="Y11" s="36">
        <f t="shared" si="4"/>
        <v>3.375</v>
      </c>
      <c r="Z11" s="37">
        <f t="shared" si="1"/>
        <v>0</v>
      </c>
      <c r="AA11" s="38">
        <f t="shared" si="2"/>
        <v>3.375</v>
      </c>
    </row>
    <row r="12" spans="1:27" x14ac:dyDescent="0.35">
      <c r="A12" s="16"/>
      <c r="B12" s="17" t="s">
        <v>28</v>
      </c>
      <c r="C12" s="11"/>
      <c r="D12" s="11">
        <v>16</v>
      </c>
      <c r="E12" s="11">
        <v>73</v>
      </c>
      <c r="F12" s="11">
        <v>55</v>
      </c>
      <c r="G12" s="11">
        <v>72</v>
      </c>
      <c r="H12" s="11">
        <v>62</v>
      </c>
      <c r="I12" s="11">
        <v>66</v>
      </c>
      <c r="J12" s="15">
        <f t="shared" si="3"/>
        <v>8.6</v>
      </c>
      <c r="K12" s="12">
        <v>6</v>
      </c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0"/>
        <v>0</v>
      </c>
      <c r="W12" s="12">
        <v>6</v>
      </c>
      <c r="Y12" s="36">
        <f t="shared" si="4"/>
        <v>8.6</v>
      </c>
      <c r="Z12" s="37">
        <f t="shared" si="1"/>
        <v>0</v>
      </c>
      <c r="AA12" s="38">
        <f t="shared" si="2"/>
        <v>8.6</v>
      </c>
    </row>
    <row r="13" spans="1:27" x14ac:dyDescent="0.35">
      <c r="A13" s="16"/>
      <c r="B13" s="17" t="s">
        <v>43</v>
      </c>
      <c r="C13" s="11"/>
      <c r="D13" s="11">
        <v>200</v>
      </c>
      <c r="E13" s="11">
        <v>280</v>
      </c>
      <c r="F13" s="11">
        <v>320</v>
      </c>
      <c r="G13" s="11">
        <v>440</v>
      </c>
      <c r="H13" s="11">
        <v>360</v>
      </c>
      <c r="I13" s="11">
        <v>520</v>
      </c>
      <c r="J13" s="15">
        <f t="shared" si="3"/>
        <v>53</v>
      </c>
      <c r="K13" s="12">
        <v>3</v>
      </c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0"/>
        <v>0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3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0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3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0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3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0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3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4"/>
        <v>0</v>
      </c>
      <c r="Z17" s="37">
        <f t="shared" si="1"/>
        <v>0</v>
      </c>
      <c r="AA17" s="38">
        <f t="shared" si="2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274</v>
      </c>
      <c r="E18" s="25">
        <f t="shared" si="5"/>
        <v>377</v>
      </c>
      <c r="F18" s="25">
        <f t="shared" si="5"/>
        <v>473</v>
      </c>
      <c r="G18" s="25">
        <f t="shared" si="5"/>
        <v>604</v>
      </c>
      <c r="H18" s="25">
        <f t="shared" si="5"/>
        <v>513</v>
      </c>
      <c r="I18" s="25">
        <f t="shared" si="5"/>
        <v>616</v>
      </c>
      <c r="J18" s="26">
        <f>SUM(C18:I18)</f>
        <v>2857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18.424999999999997</v>
      </c>
      <c r="Z18" s="34">
        <f>SUM(Z8:Z17)</f>
        <v>0</v>
      </c>
      <c r="AA18" s="35" t="e">
        <f>SUM(AA8:AA17)</f>
        <v>#VALUE!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6.85</v>
      </c>
      <c r="E19" s="21">
        <f t="shared" si="7"/>
        <v>9.4250000000000007</v>
      </c>
      <c r="F19" s="21">
        <f t="shared" si="7"/>
        <v>11.824999999999999</v>
      </c>
      <c r="G19" s="21">
        <f t="shared" si="7"/>
        <v>15.1</v>
      </c>
      <c r="H19" s="21">
        <f t="shared" si="7"/>
        <v>12.824999999999999</v>
      </c>
      <c r="I19" s="21">
        <f t="shared" si="7"/>
        <v>15.4</v>
      </c>
      <c r="J19" s="22">
        <f t="shared" si="7"/>
        <v>71.424999999999997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</v>
      </c>
      <c r="W19" s="23"/>
      <c r="Y19" s="39">
        <f>Y18/40</f>
        <v>0.46062499999999995</v>
      </c>
      <c r="Z19" s="40">
        <f>Z18/40</f>
        <v>0</v>
      </c>
      <c r="AA19" s="41" t="e">
        <f>AA18/40</f>
        <v>#VALUE!</v>
      </c>
    </row>
  </sheetData>
  <mergeCells count="8">
    <mergeCell ref="C9:J9"/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D980-13F5-4660-9608-17A818D5AFD2}">
  <dimension ref="A1:AA19"/>
  <sheetViews>
    <sheetView workbookViewId="0">
      <selection activeCell="D12" sqref="D12:J12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30</v>
      </c>
      <c r="C8" s="11">
        <v>17</v>
      </c>
      <c r="D8" s="11">
        <v>60</v>
      </c>
      <c r="E8" s="11">
        <v>60</v>
      </c>
      <c r="F8" s="11">
        <v>80</v>
      </c>
      <c r="G8" s="11">
        <v>90</v>
      </c>
      <c r="H8" s="11">
        <v>100</v>
      </c>
      <c r="I8" s="11">
        <v>170</v>
      </c>
      <c r="J8" s="15">
        <f>SUM(C8:I8)/40</f>
        <v>14.425000000000001</v>
      </c>
      <c r="K8" s="12">
        <v>9</v>
      </c>
      <c r="L8" s="13"/>
      <c r="M8" s="14"/>
      <c r="N8" s="7" t="s">
        <v>30</v>
      </c>
      <c r="O8" s="11">
        <v>17</v>
      </c>
      <c r="P8" s="11"/>
      <c r="Q8" s="11"/>
      <c r="R8" s="11"/>
      <c r="S8" s="11"/>
      <c r="T8" s="11"/>
      <c r="U8" s="11"/>
      <c r="V8" s="15">
        <f>SUM(O8:U8)/40</f>
        <v>0.42499999999999999</v>
      </c>
      <c r="W8" s="12">
        <v>8</v>
      </c>
      <c r="Y8" s="36">
        <f>J8</f>
        <v>14.425000000000001</v>
      </c>
      <c r="Z8" s="37">
        <f>V8</f>
        <v>0.42499999999999999</v>
      </c>
      <c r="AA8" s="38">
        <f>Y8-Z8</f>
        <v>14</v>
      </c>
    </row>
    <row r="9" spans="1:27" x14ac:dyDescent="0.35">
      <c r="A9" s="14"/>
      <c r="B9" s="7" t="s">
        <v>31</v>
      </c>
      <c r="C9" s="11"/>
      <c r="D9" s="11">
        <v>0</v>
      </c>
      <c r="E9" s="11">
        <v>10</v>
      </c>
      <c r="F9" s="11">
        <v>20</v>
      </c>
      <c r="G9" s="11">
        <v>70</v>
      </c>
      <c r="H9" s="11">
        <v>80</v>
      </c>
      <c r="I9" s="11">
        <v>200</v>
      </c>
      <c r="J9" s="15">
        <f t="shared" ref="J9:J15" si="0">SUM(C9:I9)/40</f>
        <v>9.5</v>
      </c>
      <c r="K9" s="12">
        <v>21</v>
      </c>
      <c r="L9" s="13"/>
      <c r="M9" s="14"/>
      <c r="N9" s="7" t="s">
        <v>31</v>
      </c>
      <c r="O9" s="11"/>
      <c r="P9" s="11"/>
      <c r="Q9" s="11"/>
      <c r="R9" s="11"/>
      <c r="S9" s="11"/>
      <c r="T9" s="11"/>
      <c r="U9" s="11"/>
      <c r="V9" s="15">
        <f t="shared" ref="V9:V17" si="1">SUM(O9:U9)/40</f>
        <v>0</v>
      </c>
      <c r="W9" s="12">
        <v>21</v>
      </c>
      <c r="Y9" s="36">
        <f t="shared" ref="Y9:Y17" si="2">J9</f>
        <v>9.5</v>
      </c>
      <c r="Z9" s="37">
        <f t="shared" ref="Z9:Z17" si="3">V9</f>
        <v>0</v>
      </c>
      <c r="AA9" s="38">
        <f t="shared" ref="AA9:AA17" si="4">Y9-Z9</f>
        <v>9.5</v>
      </c>
    </row>
    <row r="10" spans="1:27" x14ac:dyDescent="0.35">
      <c r="A10" s="14"/>
      <c r="B10" s="7" t="s">
        <v>32</v>
      </c>
      <c r="C10" s="11"/>
      <c r="D10" s="11">
        <v>29</v>
      </c>
      <c r="E10" s="11">
        <v>24</v>
      </c>
      <c r="F10" s="11">
        <v>67</v>
      </c>
      <c r="G10" s="11">
        <v>39</v>
      </c>
      <c r="H10" s="11">
        <v>34</v>
      </c>
      <c r="I10" s="11">
        <v>87</v>
      </c>
      <c r="J10" s="15">
        <f t="shared" si="0"/>
        <v>7</v>
      </c>
      <c r="K10" s="12">
        <v>5</v>
      </c>
      <c r="L10" s="13"/>
      <c r="M10" s="14"/>
      <c r="N10" s="7" t="s">
        <v>32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>
        <v>5</v>
      </c>
      <c r="Y10" s="36">
        <f t="shared" si="2"/>
        <v>7</v>
      </c>
      <c r="Z10" s="37">
        <f t="shared" si="3"/>
        <v>0</v>
      </c>
      <c r="AA10" s="38">
        <f t="shared" si="4"/>
        <v>7</v>
      </c>
    </row>
    <row r="11" spans="1:27" x14ac:dyDescent="0.35">
      <c r="A11" s="16"/>
      <c r="B11" s="17" t="s">
        <v>29</v>
      </c>
      <c r="C11" s="11"/>
      <c r="D11" s="11">
        <v>0</v>
      </c>
      <c r="E11" s="11">
        <v>0</v>
      </c>
      <c r="F11" s="11">
        <v>0</v>
      </c>
      <c r="G11" s="11">
        <v>52</v>
      </c>
      <c r="H11" s="11">
        <v>40</v>
      </c>
      <c r="I11" s="11">
        <v>52</v>
      </c>
      <c r="J11" s="15">
        <f t="shared" si="0"/>
        <v>3.6</v>
      </c>
      <c r="K11" s="12">
        <v>5</v>
      </c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>
        <v>5</v>
      </c>
      <c r="Y11" s="36">
        <f t="shared" si="2"/>
        <v>3.6</v>
      </c>
      <c r="Z11" s="37">
        <f t="shared" si="3"/>
        <v>0</v>
      </c>
      <c r="AA11" s="38">
        <f t="shared" si="4"/>
        <v>3.6</v>
      </c>
    </row>
    <row r="12" spans="1:27" x14ac:dyDescent="0.35">
      <c r="A12" s="16"/>
      <c r="B12" s="17" t="s">
        <v>28</v>
      </c>
      <c r="C12" s="11"/>
      <c r="D12" s="11">
        <v>12</v>
      </c>
      <c r="E12" s="11">
        <v>37</v>
      </c>
      <c r="F12" s="11">
        <v>36</v>
      </c>
      <c r="G12" s="11">
        <v>40</v>
      </c>
      <c r="H12" s="11">
        <v>37</v>
      </c>
      <c r="I12" s="11">
        <v>10</v>
      </c>
      <c r="J12" s="15">
        <f t="shared" si="0"/>
        <v>4.3</v>
      </c>
      <c r="K12" s="12">
        <v>6</v>
      </c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>
        <v>5</v>
      </c>
      <c r="Y12" s="36">
        <f t="shared" si="2"/>
        <v>4.3</v>
      </c>
      <c r="Z12" s="37">
        <f t="shared" si="3"/>
        <v>0</v>
      </c>
      <c r="AA12" s="38">
        <f t="shared" si="4"/>
        <v>4.3</v>
      </c>
    </row>
    <row r="13" spans="1:27" x14ac:dyDescent="0.35">
      <c r="A13" s="16"/>
      <c r="B13" s="17" t="s">
        <v>43</v>
      </c>
      <c r="C13" s="11"/>
      <c r="D13" s="11"/>
      <c r="E13" s="11"/>
      <c r="F13" s="11">
        <v>400</v>
      </c>
      <c r="G13" s="11"/>
      <c r="H13" s="11">
        <v>800</v>
      </c>
      <c r="I13" s="11">
        <v>400</v>
      </c>
      <c r="J13" s="15">
        <f t="shared" si="0"/>
        <v>40</v>
      </c>
      <c r="K13" s="12">
        <v>1</v>
      </c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>
        <v>3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v>8</v>
      </c>
      <c r="K16" s="12">
        <v>9</v>
      </c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v>8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>
        <v>5</v>
      </c>
      <c r="Y17" s="36">
        <f t="shared" si="2"/>
        <v>8</v>
      </c>
      <c r="Z17" s="37">
        <f t="shared" si="3"/>
        <v>0</v>
      </c>
      <c r="AA17" s="38">
        <f t="shared" si="4"/>
        <v>8</v>
      </c>
    </row>
    <row r="18" spans="1:27" x14ac:dyDescent="0.35">
      <c r="A18" s="1"/>
      <c r="B18" s="7"/>
      <c r="C18" s="25">
        <f t="shared" ref="C18:I18" si="5">SUM(C8:C17)</f>
        <v>17</v>
      </c>
      <c r="D18" s="25">
        <f t="shared" si="5"/>
        <v>101</v>
      </c>
      <c r="E18" s="25">
        <f t="shared" si="5"/>
        <v>131</v>
      </c>
      <c r="F18" s="25">
        <f t="shared" si="5"/>
        <v>603</v>
      </c>
      <c r="G18" s="25">
        <f t="shared" si="5"/>
        <v>291</v>
      </c>
      <c r="H18" s="25">
        <f t="shared" si="5"/>
        <v>1091</v>
      </c>
      <c r="I18" s="25">
        <f t="shared" si="5"/>
        <v>919</v>
      </c>
      <c r="J18" s="26">
        <f>SUM(C18:I18)</f>
        <v>3153</v>
      </c>
      <c r="K18" s="28"/>
      <c r="M18" s="1"/>
      <c r="N18" s="7"/>
      <c r="O18" s="25">
        <f t="shared" ref="O18:U18" si="6">SUM(O8:O17)</f>
        <v>17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17</v>
      </c>
      <c r="W18" s="28"/>
      <c r="Y18" s="33">
        <f>SUM(Y8:Y17)</f>
        <v>46.824999999999996</v>
      </c>
      <c r="Z18" s="34">
        <f>SUM(Z8:Z17)</f>
        <v>0.42499999999999999</v>
      </c>
      <c r="AA18" s="35">
        <f>SUM(AA8:AA17)</f>
        <v>46.4</v>
      </c>
    </row>
    <row r="19" spans="1:27" ht="15" thickBot="1" x14ac:dyDescent="0.4">
      <c r="A19" s="1"/>
      <c r="B19" s="20" t="s">
        <v>18</v>
      </c>
      <c r="C19" s="21">
        <f t="shared" ref="C19:J19" si="7">C18/40</f>
        <v>0.42499999999999999</v>
      </c>
      <c r="D19" s="21">
        <f t="shared" si="7"/>
        <v>2.5249999999999999</v>
      </c>
      <c r="E19" s="21">
        <f t="shared" si="7"/>
        <v>3.2749999999999999</v>
      </c>
      <c r="F19" s="21">
        <f t="shared" si="7"/>
        <v>15.074999999999999</v>
      </c>
      <c r="G19" s="21">
        <f t="shared" si="7"/>
        <v>7.2750000000000004</v>
      </c>
      <c r="H19" s="21">
        <f t="shared" si="7"/>
        <v>27.274999999999999</v>
      </c>
      <c r="I19" s="21">
        <f t="shared" si="7"/>
        <v>22.975000000000001</v>
      </c>
      <c r="J19" s="22">
        <f t="shared" si="7"/>
        <v>78.825000000000003</v>
      </c>
      <c r="K19" s="23"/>
      <c r="M19" s="1"/>
      <c r="N19" s="20" t="s">
        <v>18</v>
      </c>
      <c r="O19" s="21">
        <f t="shared" ref="O19:V19" si="8">O18/40</f>
        <v>0.42499999999999999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0.42499999999999999</v>
      </c>
      <c r="W19" s="23"/>
      <c r="Y19" s="39">
        <f>Y18/40</f>
        <v>1.1706249999999998</v>
      </c>
      <c r="Z19" s="40">
        <f>Z18/40</f>
        <v>1.0624999999999999E-2</v>
      </c>
      <c r="AA19" s="41">
        <f>AA18/40</f>
        <v>1.1599999999999999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2770-3894-49D3-936F-C905C6D666C9}">
  <dimension ref="A1:AA19"/>
  <sheetViews>
    <sheetView topLeftCell="A3" workbookViewId="0">
      <selection activeCell="D12" sqref="D12:J12"/>
    </sheetView>
  </sheetViews>
  <sheetFormatPr defaultRowHeight="14.5" x14ac:dyDescent="0.35"/>
  <cols>
    <col min="1" max="1" width="5.6328125" customWidth="1"/>
    <col min="2" max="2" width="10.453125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20</v>
      </c>
      <c r="E8" s="11">
        <v>20</v>
      </c>
      <c r="F8" s="11">
        <v>40</v>
      </c>
      <c r="G8" s="11">
        <v>15</v>
      </c>
      <c r="H8" s="11">
        <v>10</v>
      </c>
      <c r="I8" s="11">
        <v>215</v>
      </c>
      <c r="J8" s="15">
        <f>SUM(C8:I8)/40</f>
        <v>8</v>
      </c>
      <c r="K8" s="12">
        <v>7</v>
      </c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>
        <v>7</v>
      </c>
      <c r="Y8" s="36">
        <f>J8</f>
        <v>8</v>
      </c>
      <c r="Z8" s="37">
        <f>V8</f>
        <v>0</v>
      </c>
      <c r="AA8" s="38">
        <f>Y8-Z8</f>
        <v>8</v>
      </c>
    </row>
    <row r="9" spans="1:27" x14ac:dyDescent="0.35">
      <c r="A9" s="14"/>
      <c r="B9" s="7" t="s">
        <v>31</v>
      </c>
      <c r="C9" s="11"/>
      <c r="D9" s="43"/>
      <c r="E9" s="43"/>
      <c r="F9" s="43"/>
      <c r="G9" s="43"/>
      <c r="H9" s="43"/>
      <c r="I9" s="43"/>
      <c r="J9" s="15">
        <f t="shared" ref="J9:J17" si="0">SUM(C9:I9)/40</f>
        <v>0</v>
      </c>
      <c r="K9" s="12"/>
      <c r="L9" s="13"/>
      <c r="M9" s="14"/>
      <c r="N9" s="7" t="s">
        <v>31</v>
      </c>
      <c r="O9" s="11"/>
      <c r="P9" s="43"/>
      <c r="Q9" s="43"/>
      <c r="R9" s="43"/>
      <c r="S9" s="43"/>
      <c r="T9" s="43"/>
      <c r="U9" s="43"/>
      <c r="V9" s="15">
        <f t="shared" ref="V9:V17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32</v>
      </c>
      <c r="C10" s="11"/>
      <c r="D10" s="11"/>
      <c r="E10" s="11">
        <v>88</v>
      </c>
      <c r="F10" s="11">
        <v>6</v>
      </c>
      <c r="G10" s="11">
        <v>6</v>
      </c>
      <c r="H10" s="11">
        <v>268</v>
      </c>
      <c r="I10" s="11">
        <v>264</v>
      </c>
      <c r="J10" s="15">
        <f t="shared" si="0"/>
        <v>15.8</v>
      </c>
      <c r="K10" s="12">
        <v>5</v>
      </c>
      <c r="L10" s="13"/>
      <c r="M10" s="14"/>
      <c r="N10" s="7" t="s">
        <v>32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>
        <v>5</v>
      </c>
      <c r="Y10" s="36">
        <f t="shared" si="2"/>
        <v>15.8</v>
      </c>
      <c r="Z10" s="37">
        <f t="shared" si="3"/>
        <v>0</v>
      </c>
      <c r="AA10" s="38">
        <f t="shared" si="4"/>
        <v>15.8</v>
      </c>
    </row>
    <row r="11" spans="1:27" x14ac:dyDescent="0.35">
      <c r="A11" s="16"/>
      <c r="B11" s="17" t="s">
        <v>29</v>
      </c>
      <c r="C11" s="11"/>
      <c r="D11" s="11">
        <v>65</v>
      </c>
      <c r="E11" s="11">
        <v>59</v>
      </c>
      <c r="F11" s="11">
        <v>84</v>
      </c>
      <c r="G11" s="11">
        <v>72</v>
      </c>
      <c r="H11" s="11">
        <v>66</v>
      </c>
      <c r="I11" s="11">
        <v>104</v>
      </c>
      <c r="J11" s="15">
        <f t="shared" si="0"/>
        <v>11.25</v>
      </c>
      <c r="K11" s="12">
        <v>8</v>
      </c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>
        <v>6</v>
      </c>
      <c r="Y11" s="36">
        <f t="shared" si="2"/>
        <v>11.25</v>
      </c>
      <c r="Z11" s="37">
        <f t="shared" si="3"/>
        <v>0</v>
      </c>
      <c r="AA11" s="38">
        <f t="shared" si="4"/>
        <v>11.25</v>
      </c>
    </row>
    <row r="12" spans="1:27" x14ac:dyDescent="0.35">
      <c r="A12" s="16"/>
      <c r="B12" s="17" t="s">
        <v>28</v>
      </c>
      <c r="C12" s="11"/>
      <c r="D12" s="11">
        <v>44</v>
      </c>
      <c r="E12" s="11">
        <v>4</v>
      </c>
      <c r="F12" s="11">
        <v>74</v>
      </c>
      <c r="G12" s="11">
        <v>36</v>
      </c>
      <c r="H12" s="11">
        <v>33</v>
      </c>
      <c r="I12" s="11">
        <v>33</v>
      </c>
      <c r="J12" s="15">
        <f t="shared" si="0"/>
        <v>5.6</v>
      </c>
      <c r="K12" s="12">
        <v>7</v>
      </c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>
        <v>5</v>
      </c>
      <c r="Y12" s="36">
        <f t="shared" si="2"/>
        <v>5.6</v>
      </c>
      <c r="Z12" s="37">
        <f t="shared" si="3"/>
        <v>0</v>
      </c>
      <c r="AA12" s="38">
        <f t="shared" si="4"/>
        <v>5.6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>
        <v>5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129</v>
      </c>
      <c r="E18" s="25">
        <f t="shared" si="5"/>
        <v>171</v>
      </c>
      <c r="F18" s="25">
        <f t="shared" si="5"/>
        <v>204</v>
      </c>
      <c r="G18" s="25">
        <f t="shared" si="5"/>
        <v>129</v>
      </c>
      <c r="H18" s="25">
        <f t="shared" si="5"/>
        <v>377</v>
      </c>
      <c r="I18" s="25">
        <f t="shared" si="5"/>
        <v>616</v>
      </c>
      <c r="J18" s="26">
        <f>SUM(C18:I18)</f>
        <v>1626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40.65</v>
      </c>
      <c r="Z18" s="34">
        <f>SUM(Z8:Z17)</f>
        <v>0</v>
      </c>
      <c r="AA18" s="35">
        <f>SUM(AA8:AA17)</f>
        <v>40.65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3.2250000000000001</v>
      </c>
      <c r="E19" s="21">
        <f t="shared" si="7"/>
        <v>4.2750000000000004</v>
      </c>
      <c r="F19" s="21">
        <f t="shared" si="7"/>
        <v>5.0999999999999996</v>
      </c>
      <c r="G19" s="21">
        <f t="shared" si="7"/>
        <v>3.2250000000000001</v>
      </c>
      <c r="H19" s="21">
        <f t="shared" si="7"/>
        <v>9.4250000000000007</v>
      </c>
      <c r="I19" s="21">
        <f t="shared" si="7"/>
        <v>15.4</v>
      </c>
      <c r="J19" s="22">
        <f t="shared" si="7"/>
        <v>40.65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</v>
      </c>
      <c r="W19" s="23"/>
      <c r="Y19" s="39">
        <f>Y18/40</f>
        <v>1.0162499999999999</v>
      </c>
      <c r="Z19" s="40">
        <f>Z18/40</f>
        <v>0</v>
      </c>
      <c r="AA19" s="41">
        <f>AA18/40</f>
        <v>1.0162499999999999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C44-2950-4D8E-9E22-FF4AAE187093}">
  <dimension ref="A1:AA19"/>
  <sheetViews>
    <sheetView workbookViewId="0">
      <selection activeCell="D12" sqref="D12:J12"/>
    </sheetView>
  </sheetViews>
  <sheetFormatPr defaultRowHeight="14.5" x14ac:dyDescent="0.35"/>
  <cols>
    <col min="1" max="1" width="5.6328125" customWidth="1"/>
    <col min="2" max="2" width="6.4531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13</v>
      </c>
      <c r="C8" s="11"/>
      <c r="D8" s="11">
        <v>15</v>
      </c>
      <c r="E8" s="11">
        <v>55</v>
      </c>
      <c r="F8" s="11">
        <v>102</v>
      </c>
      <c r="G8" s="11">
        <v>42</v>
      </c>
      <c r="H8" s="11">
        <v>70</v>
      </c>
      <c r="I8" s="11">
        <v>192</v>
      </c>
      <c r="J8" s="15">
        <f>SUM(C8:I8)/40</f>
        <v>11.9</v>
      </c>
      <c r="K8" s="12">
        <v>21</v>
      </c>
      <c r="L8" s="13"/>
      <c r="M8" s="14"/>
      <c r="N8" s="7" t="s">
        <v>13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>
        <v>21</v>
      </c>
      <c r="Y8" s="36">
        <f>J8</f>
        <v>11.9</v>
      </c>
      <c r="Z8" s="37">
        <f>V8</f>
        <v>0</v>
      </c>
      <c r="AA8" s="38">
        <f>Y8-Z8</f>
        <v>11.9</v>
      </c>
    </row>
    <row r="9" spans="1:27" x14ac:dyDescent="0.35">
      <c r="A9" s="14"/>
      <c r="B9" s="7" t="s">
        <v>14</v>
      </c>
      <c r="C9" s="11"/>
      <c r="D9" s="11"/>
      <c r="E9" s="11"/>
      <c r="F9" s="11"/>
      <c r="G9" s="11"/>
      <c r="H9" s="11"/>
      <c r="I9" s="11"/>
      <c r="J9" s="15">
        <f t="shared" ref="J9:J17" si="0">SUM(C9:I9)/40</f>
        <v>0</v>
      </c>
      <c r="K9" s="12"/>
      <c r="L9" s="13"/>
      <c r="M9" s="14"/>
      <c r="N9" s="7" t="s">
        <v>14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/>
      <c r="Y9" s="36">
        <f t="shared" ref="Y9:Y17" si="2">J9</f>
        <v>0</v>
      </c>
      <c r="Z9" s="37">
        <f t="shared" ref="Z9:Z17" si="3">V9</f>
        <v>0</v>
      </c>
      <c r="AA9" s="38">
        <f t="shared" ref="AA9:AA17" si="4">Y9-Z9</f>
        <v>0</v>
      </c>
    </row>
    <row r="10" spans="1:27" x14ac:dyDescent="0.35">
      <c r="A10" s="14"/>
      <c r="B10" s="7" t="s">
        <v>15</v>
      </c>
      <c r="C10" s="11"/>
      <c r="D10" s="11">
        <v>15</v>
      </c>
      <c r="E10" s="11">
        <v>12</v>
      </c>
      <c r="F10" s="11">
        <v>13</v>
      </c>
      <c r="G10" s="11">
        <v>93</v>
      </c>
      <c r="H10" s="11">
        <v>93</v>
      </c>
      <c r="I10" s="11">
        <v>92</v>
      </c>
      <c r="J10" s="15">
        <f t="shared" si="0"/>
        <v>7.95</v>
      </c>
      <c r="K10" s="12">
        <v>8</v>
      </c>
      <c r="L10" s="13"/>
      <c r="M10" s="14"/>
      <c r="N10" s="7" t="s">
        <v>15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>
        <v>8</v>
      </c>
      <c r="Y10" s="36">
        <f t="shared" si="2"/>
        <v>7.95</v>
      </c>
      <c r="Z10" s="37">
        <f t="shared" si="3"/>
        <v>0</v>
      </c>
      <c r="AA10" s="38">
        <f t="shared" si="4"/>
        <v>7.95</v>
      </c>
    </row>
    <row r="11" spans="1:27" x14ac:dyDescent="0.35">
      <c r="A11" s="16"/>
      <c r="B11" s="17" t="s">
        <v>29</v>
      </c>
      <c r="C11" s="11"/>
      <c r="D11" s="11">
        <v>34</v>
      </c>
      <c r="E11" s="11">
        <v>13</v>
      </c>
      <c r="F11" s="11">
        <v>33</v>
      </c>
      <c r="G11" s="11">
        <v>27</v>
      </c>
      <c r="H11" s="11">
        <v>10</v>
      </c>
      <c r="I11" s="11">
        <v>67</v>
      </c>
      <c r="J11" s="15">
        <f t="shared" si="0"/>
        <v>4.5999999999999996</v>
      </c>
      <c r="K11" s="12">
        <v>7</v>
      </c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>
        <v>4</v>
      </c>
      <c r="Y11" s="36">
        <f t="shared" si="2"/>
        <v>4.5999999999999996</v>
      </c>
      <c r="Z11" s="37">
        <f t="shared" si="3"/>
        <v>0</v>
      </c>
      <c r="AA11" s="38">
        <f t="shared" si="4"/>
        <v>4.5999999999999996</v>
      </c>
    </row>
    <row r="12" spans="1:27" x14ac:dyDescent="0.35">
      <c r="A12" s="16"/>
      <c r="B12" s="17" t="s">
        <v>28</v>
      </c>
      <c r="C12" s="11"/>
      <c r="D12" s="11">
        <v>60</v>
      </c>
      <c r="E12" s="11">
        <v>20</v>
      </c>
      <c r="F12" s="11">
        <v>84</v>
      </c>
      <c r="G12" s="11">
        <v>56</v>
      </c>
      <c r="H12" s="11">
        <v>53</v>
      </c>
      <c r="I12" s="11">
        <v>53</v>
      </c>
      <c r="J12" s="15">
        <f t="shared" si="0"/>
        <v>8.15</v>
      </c>
      <c r="K12" s="12">
        <v>8</v>
      </c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>
        <v>8</v>
      </c>
      <c r="Y12" s="36">
        <f t="shared" si="2"/>
        <v>8.15</v>
      </c>
      <c r="Z12" s="37">
        <f t="shared" si="3"/>
        <v>0</v>
      </c>
      <c r="AA12" s="38">
        <f t="shared" si="4"/>
        <v>8.15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>
        <v>1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8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"/>
      <c r="B18" s="7"/>
      <c r="C18" s="25">
        <f t="shared" ref="C18:I18" si="5">SUM(C8:C17)</f>
        <v>0</v>
      </c>
      <c r="D18" s="25">
        <f t="shared" si="5"/>
        <v>124</v>
      </c>
      <c r="E18" s="25">
        <f t="shared" si="5"/>
        <v>100</v>
      </c>
      <c r="F18" s="25">
        <f t="shared" si="5"/>
        <v>232</v>
      </c>
      <c r="G18" s="25">
        <f t="shared" si="5"/>
        <v>218</v>
      </c>
      <c r="H18" s="25">
        <f t="shared" si="5"/>
        <v>226</v>
      </c>
      <c r="I18" s="25">
        <f t="shared" si="5"/>
        <v>404</v>
      </c>
      <c r="J18" s="26">
        <f>SUM(C18:I18)</f>
        <v>1304</v>
      </c>
      <c r="K18" s="28"/>
      <c r="M18" s="1"/>
      <c r="N18" s="7"/>
      <c r="O18" s="25">
        <f t="shared" ref="O18:U18" si="6">SUM(O8:O17)</f>
        <v>0</v>
      </c>
      <c r="P18" s="25">
        <f t="shared" si="6"/>
        <v>0</v>
      </c>
      <c r="Q18" s="25">
        <f t="shared" si="6"/>
        <v>0</v>
      </c>
      <c r="R18" s="25">
        <f t="shared" si="6"/>
        <v>0</v>
      </c>
      <c r="S18" s="25">
        <f t="shared" si="6"/>
        <v>0</v>
      </c>
      <c r="T18" s="25">
        <f t="shared" si="6"/>
        <v>0</v>
      </c>
      <c r="U18" s="25">
        <f t="shared" si="6"/>
        <v>0</v>
      </c>
      <c r="V18" s="26">
        <f>SUM(O18:U18)</f>
        <v>0</v>
      </c>
      <c r="W18" s="28"/>
      <c r="Y18" s="33">
        <f>SUM(Y8:Y17)</f>
        <v>32.6</v>
      </c>
      <c r="Z18" s="34">
        <f>SUM(Z8:Z17)</f>
        <v>0</v>
      </c>
      <c r="AA18" s="35">
        <f>SUM(AA8:AA17)</f>
        <v>32.6</v>
      </c>
    </row>
    <row r="19" spans="1:27" ht="15" thickBot="1" x14ac:dyDescent="0.4">
      <c r="A19" s="1"/>
      <c r="B19" s="20" t="s">
        <v>18</v>
      </c>
      <c r="C19" s="21">
        <f t="shared" ref="C19:J19" si="7">C18/40</f>
        <v>0</v>
      </c>
      <c r="D19" s="21">
        <f t="shared" si="7"/>
        <v>3.1</v>
      </c>
      <c r="E19" s="21">
        <f t="shared" si="7"/>
        <v>2.5</v>
      </c>
      <c r="F19" s="21">
        <f t="shared" si="7"/>
        <v>5.8</v>
      </c>
      <c r="G19" s="21">
        <f t="shared" si="7"/>
        <v>5.45</v>
      </c>
      <c r="H19" s="21">
        <f t="shared" si="7"/>
        <v>5.65</v>
      </c>
      <c r="I19" s="21">
        <f t="shared" si="7"/>
        <v>10.1</v>
      </c>
      <c r="J19" s="22">
        <f t="shared" si="7"/>
        <v>32.6</v>
      </c>
      <c r="K19" s="23"/>
      <c r="M19" s="1"/>
      <c r="N19" s="20" t="s">
        <v>18</v>
      </c>
      <c r="O19" s="21">
        <f t="shared" ref="O19:V19" si="8">O18/40</f>
        <v>0</v>
      </c>
      <c r="P19" s="21">
        <f t="shared" si="8"/>
        <v>0</v>
      </c>
      <c r="Q19" s="21">
        <f t="shared" si="8"/>
        <v>0</v>
      </c>
      <c r="R19" s="21">
        <f t="shared" si="8"/>
        <v>0</v>
      </c>
      <c r="S19" s="21">
        <f t="shared" si="8"/>
        <v>0</v>
      </c>
      <c r="T19" s="21">
        <f t="shared" si="8"/>
        <v>0</v>
      </c>
      <c r="U19" s="21">
        <f t="shared" si="8"/>
        <v>0</v>
      </c>
      <c r="V19" s="22">
        <f t="shared" si="8"/>
        <v>0</v>
      </c>
      <c r="W19" s="23"/>
      <c r="Y19" s="39">
        <f>Y18/40</f>
        <v>0.81500000000000006</v>
      </c>
      <c r="Z19" s="40">
        <f>Z18/40</f>
        <v>0</v>
      </c>
      <c r="AA19" s="41">
        <f>AA18/40</f>
        <v>0.81500000000000006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6109-5400-4343-A102-C2C414DDFBDF}">
  <dimension ref="A1:AA22"/>
  <sheetViews>
    <sheetView topLeftCell="A5" workbookViewId="0">
      <selection activeCell="D12" sqref="D12:J12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30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30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/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31</v>
      </c>
      <c r="C9" s="11"/>
      <c r="D9" s="11"/>
      <c r="E9" s="11"/>
      <c r="F9" s="11"/>
      <c r="G9" s="11"/>
      <c r="H9" s="11"/>
      <c r="I9" s="11"/>
      <c r="J9" s="15">
        <f t="shared" ref="J9:J17" si="0">SUM(C9:I9)/40</f>
        <v>0</v>
      </c>
      <c r="K9" s="12"/>
      <c r="L9" s="13"/>
      <c r="M9" s="14"/>
      <c r="N9" s="7" t="s">
        <v>31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/>
      <c r="Y9" s="36">
        <f t="shared" ref="Y9:Y20" si="2">J9</f>
        <v>0</v>
      </c>
      <c r="Z9" s="37">
        <f t="shared" ref="Z9:Z20" si="3">V9</f>
        <v>0</v>
      </c>
      <c r="AA9" s="38">
        <f t="shared" ref="AA9:AA20" si="4">Y9-Z9</f>
        <v>0</v>
      </c>
    </row>
    <row r="10" spans="1:27" x14ac:dyDescent="0.35">
      <c r="A10" s="14"/>
      <c r="B10" s="7" t="s">
        <v>32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32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/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43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2"/>
      <c r="L17" s="13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2"/>
      <c r="Y17" s="36"/>
      <c r="Z17" s="37">
        <f t="shared" si="3"/>
        <v>0</v>
      </c>
      <c r="AA17" s="38"/>
    </row>
    <row r="18" spans="1:27" x14ac:dyDescent="0.35">
      <c r="A18" s="16"/>
      <c r="B18" s="17"/>
      <c r="C18" s="11"/>
      <c r="D18" s="11"/>
      <c r="E18" s="11"/>
      <c r="F18" s="11"/>
      <c r="G18" s="11"/>
      <c r="H18" s="11"/>
      <c r="I18" s="11"/>
      <c r="J18" s="15"/>
      <c r="K18" s="12"/>
      <c r="L18" s="13"/>
      <c r="M18" s="16"/>
      <c r="N18" s="17"/>
      <c r="O18" s="11"/>
      <c r="P18" s="11"/>
      <c r="Q18" s="11"/>
      <c r="R18" s="11"/>
      <c r="S18" s="11"/>
      <c r="T18" s="11"/>
      <c r="U18" s="11"/>
      <c r="V18" s="15"/>
      <c r="W18" s="12"/>
      <c r="Y18" s="36"/>
      <c r="Z18" s="37"/>
      <c r="AA18" s="38"/>
    </row>
    <row r="19" spans="1:27" x14ac:dyDescent="0.35">
      <c r="A19" s="16"/>
      <c r="B19" s="17"/>
      <c r="C19" s="11"/>
      <c r="D19" s="11"/>
      <c r="E19" s="11"/>
      <c r="F19" s="11"/>
      <c r="G19" s="11"/>
      <c r="H19" s="11"/>
      <c r="I19" s="11"/>
      <c r="J19" s="15"/>
      <c r="K19" s="12"/>
      <c r="L19" s="13"/>
      <c r="M19" s="16"/>
      <c r="N19" s="17"/>
      <c r="O19" s="11"/>
      <c r="P19" s="11"/>
      <c r="Q19" s="11"/>
      <c r="R19" s="11"/>
      <c r="S19" s="11"/>
      <c r="T19" s="11"/>
      <c r="U19" s="11"/>
      <c r="V19" s="15"/>
      <c r="W19" s="12"/>
      <c r="Y19" s="36"/>
      <c r="Z19" s="37"/>
      <c r="AA19" s="38"/>
    </row>
    <row r="20" spans="1:27" x14ac:dyDescent="0.35">
      <c r="A20" s="16"/>
      <c r="B20" s="17"/>
      <c r="C20" s="11"/>
      <c r="D20" s="11"/>
      <c r="E20" s="11"/>
      <c r="F20" s="11"/>
      <c r="G20" s="11"/>
      <c r="H20" s="11"/>
      <c r="I20" s="11"/>
      <c r="J20" s="15"/>
      <c r="K20" s="18"/>
      <c r="M20" s="16"/>
      <c r="N20" s="17" t="s">
        <v>33</v>
      </c>
      <c r="O20" s="11"/>
      <c r="P20" s="11"/>
      <c r="Q20" s="11"/>
      <c r="R20" s="11"/>
      <c r="S20" s="11"/>
      <c r="T20" s="11"/>
      <c r="U20" s="11"/>
      <c r="V20" s="15"/>
      <c r="W20" s="18"/>
      <c r="Y20" s="36">
        <f t="shared" si="2"/>
        <v>0</v>
      </c>
      <c r="Z20" s="37">
        <f t="shared" si="3"/>
        <v>0</v>
      </c>
      <c r="AA20" s="38">
        <f t="shared" si="4"/>
        <v>0</v>
      </c>
    </row>
    <row r="21" spans="1:27" x14ac:dyDescent="0.35">
      <c r="A21" s="1"/>
      <c r="B21" s="7"/>
      <c r="C21" s="25">
        <f t="shared" ref="C21:I21" si="5">SUM(C8:C20)</f>
        <v>0</v>
      </c>
      <c r="D21" s="25">
        <f t="shared" si="5"/>
        <v>0</v>
      </c>
      <c r="E21" s="25">
        <f t="shared" si="5"/>
        <v>0</v>
      </c>
      <c r="F21" s="25">
        <f t="shared" si="5"/>
        <v>0</v>
      </c>
      <c r="G21" s="25">
        <f t="shared" si="5"/>
        <v>0</v>
      </c>
      <c r="H21" s="25">
        <f t="shared" si="5"/>
        <v>0</v>
      </c>
      <c r="I21" s="25">
        <f t="shared" si="5"/>
        <v>0</v>
      </c>
      <c r="J21" s="26">
        <f>SUM(C21:I21)</f>
        <v>0</v>
      </c>
      <c r="K21" s="28"/>
      <c r="M21" s="1"/>
      <c r="N21" s="7"/>
      <c r="O21" s="25">
        <f t="shared" ref="O21:U21" si="6">SUM(O8:O20)</f>
        <v>0</v>
      </c>
      <c r="P21" s="25">
        <f t="shared" si="6"/>
        <v>0</v>
      </c>
      <c r="Q21" s="25">
        <f t="shared" si="6"/>
        <v>0</v>
      </c>
      <c r="R21" s="25">
        <f t="shared" si="6"/>
        <v>0</v>
      </c>
      <c r="S21" s="25">
        <f t="shared" si="6"/>
        <v>0</v>
      </c>
      <c r="T21" s="25">
        <f t="shared" si="6"/>
        <v>0</v>
      </c>
      <c r="U21" s="25">
        <f t="shared" si="6"/>
        <v>0</v>
      </c>
      <c r="V21" s="26">
        <f>SUM(O21:U21)</f>
        <v>0</v>
      </c>
      <c r="W21" s="28"/>
      <c r="Y21" s="33">
        <f>SUM(Y8:Y20)</f>
        <v>0</v>
      </c>
      <c r="Z21" s="34">
        <f>SUM(Z8:Z20)</f>
        <v>0</v>
      </c>
      <c r="AA21" s="35">
        <f>SUM(AA8:AA20)</f>
        <v>0</v>
      </c>
    </row>
    <row r="22" spans="1:27" ht="15" thickBot="1" x14ac:dyDescent="0.4">
      <c r="A22" s="1"/>
      <c r="B22" s="20" t="s">
        <v>18</v>
      </c>
      <c r="C22" s="21">
        <f t="shared" ref="C22:J22" si="7">C21/40</f>
        <v>0</v>
      </c>
      <c r="D22" s="21">
        <f t="shared" si="7"/>
        <v>0</v>
      </c>
      <c r="E22" s="21">
        <f t="shared" si="7"/>
        <v>0</v>
      </c>
      <c r="F22" s="21">
        <f t="shared" si="7"/>
        <v>0</v>
      </c>
      <c r="G22" s="21">
        <f t="shared" si="7"/>
        <v>0</v>
      </c>
      <c r="H22" s="21">
        <f t="shared" si="7"/>
        <v>0</v>
      </c>
      <c r="I22" s="21">
        <f t="shared" si="7"/>
        <v>0</v>
      </c>
      <c r="J22" s="22">
        <f t="shared" si="7"/>
        <v>0</v>
      </c>
      <c r="K22" s="23"/>
      <c r="M22" s="1"/>
      <c r="N22" s="20" t="s">
        <v>18</v>
      </c>
      <c r="O22" s="21">
        <f t="shared" ref="O22:V22" si="8">O21/40</f>
        <v>0</v>
      </c>
      <c r="P22" s="21">
        <f t="shared" si="8"/>
        <v>0</v>
      </c>
      <c r="Q22" s="21">
        <f t="shared" si="8"/>
        <v>0</v>
      </c>
      <c r="R22" s="21">
        <f t="shared" si="8"/>
        <v>0</v>
      </c>
      <c r="S22" s="21">
        <f t="shared" si="8"/>
        <v>0</v>
      </c>
      <c r="T22" s="21">
        <f t="shared" si="8"/>
        <v>0</v>
      </c>
      <c r="U22" s="21">
        <f t="shared" si="8"/>
        <v>0</v>
      </c>
      <c r="V22" s="22">
        <f t="shared" si="8"/>
        <v>0</v>
      </c>
      <c r="W22" s="23"/>
      <c r="Y22" s="39">
        <f>Y21/40</f>
        <v>0</v>
      </c>
      <c r="Z22" s="40">
        <f>Z21/40</f>
        <v>0</v>
      </c>
      <c r="AA22" s="41">
        <f>AA21/40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9CC4-0AF4-4E7F-B044-5E07B86C5D3C}">
  <dimension ref="A1:AA22"/>
  <sheetViews>
    <sheetView topLeftCell="A4" workbookViewId="0">
      <selection activeCell="D12" sqref="D12:J12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30</v>
      </c>
      <c r="C8" s="11"/>
      <c r="D8" s="11"/>
      <c r="E8" s="11"/>
      <c r="F8" s="11"/>
      <c r="G8" s="11">
        <v>800</v>
      </c>
      <c r="H8" s="11">
        <v>720</v>
      </c>
      <c r="I8" s="11">
        <v>880</v>
      </c>
      <c r="J8" s="15">
        <f>SUM(C8:I8)/40</f>
        <v>60</v>
      </c>
      <c r="K8" s="12"/>
      <c r="L8" s="13"/>
      <c r="M8" s="14"/>
      <c r="N8" s="7" t="s">
        <v>30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>
        <v>1</v>
      </c>
      <c r="Y8" s="36">
        <f>J8</f>
        <v>60</v>
      </c>
      <c r="Z8" s="37">
        <f>V8</f>
        <v>0</v>
      </c>
      <c r="AA8" s="38">
        <f>Y8-Z8</f>
        <v>60</v>
      </c>
    </row>
    <row r="9" spans="1:27" x14ac:dyDescent="0.35">
      <c r="A9" s="14"/>
      <c r="B9" s="7" t="s">
        <v>31</v>
      </c>
      <c r="C9" s="11"/>
      <c r="D9" s="11">
        <v>105</v>
      </c>
      <c r="E9" s="11">
        <v>80</v>
      </c>
      <c r="F9" s="11">
        <v>65</v>
      </c>
      <c r="G9" s="11">
        <v>60</v>
      </c>
      <c r="H9" s="11">
        <v>20</v>
      </c>
      <c r="I9" s="11">
        <v>50</v>
      </c>
      <c r="J9" s="15">
        <f t="shared" ref="J9:J15" si="0">SUM(C9:I9)/40</f>
        <v>9.5</v>
      </c>
      <c r="K9" s="12"/>
      <c r="L9" s="13"/>
      <c r="M9" s="14"/>
      <c r="N9" s="7" t="s">
        <v>31</v>
      </c>
      <c r="O9" s="11"/>
      <c r="P9" s="11"/>
      <c r="Q9" s="11"/>
      <c r="R9" s="11"/>
      <c r="S9" s="11"/>
      <c r="T9" s="11"/>
      <c r="U9" s="11"/>
      <c r="V9" s="15">
        <f t="shared" ref="V9:V16" si="1">SUM(O9:U9)/40</f>
        <v>0</v>
      </c>
      <c r="W9" s="12">
        <v>18</v>
      </c>
      <c r="Y9" s="36">
        <f t="shared" ref="Y9:Y17" si="2">J9</f>
        <v>9.5</v>
      </c>
      <c r="Z9" s="37">
        <f t="shared" ref="Z9:Z17" si="3">V9</f>
        <v>0</v>
      </c>
      <c r="AA9" s="38">
        <f t="shared" ref="AA9:AA17" si="4">Y9-Z9</f>
        <v>9.5</v>
      </c>
    </row>
    <row r="10" spans="1:27" x14ac:dyDescent="0.35">
      <c r="A10" s="14"/>
      <c r="B10" s="7" t="s">
        <v>32</v>
      </c>
      <c r="C10" s="11"/>
      <c r="D10" s="11">
        <v>26</v>
      </c>
      <c r="E10" s="11">
        <v>25</v>
      </c>
      <c r="F10" s="11">
        <v>105</v>
      </c>
      <c r="G10" s="11">
        <v>227</v>
      </c>
      <c r="H10" s="11">
        <v>164</v>
      </c>
      <c r="I10" s="11">
        <v>125</v>
      </c>
      <c r="J10" s="15">
        <f t="shared" si="0"/>
        <v>16.8</v>
      </c>
      <c r="K10" s="12"/>
      <c r="L10" s="13"/>
      <c r="M10" s="14"/>
      <c r="N10" s="7" t="s">
        <v>32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>
        <v>8</v>
      </c>
      <c r="Y10" s="36">
        <f t="shared" si="2"/>
        <v>16.8</v>
      </c>
      <c r="Z10" s="37">
        <f t="shared" si="3"/>
        <v>0</v>
      </c>
      <c r="AA10" s="38">
        <f t="shared" si="4"/>
        <v>16.8</v>
      </c>
    </row>
    <row r="11" spans="1:27" x14ac:dyDescent="0.35">
      <c r="A11" s="16"/>
      <c r="B11" s="17" t="s">
        <v>29</v>
      </c>
      <c r="C11" s="11"/>
      <c r="D11" s="11">
        <v>0</v>
      </c>
      <c r="E11" s="11">
        <v>0</v>
      </c>
      <c r="F11" s="11">
        <v>0</v>
      </c>
      <c r="G11" s="11">
        <v>40</v>
      </c>
      <c r="H11" s="11">
        <v>0</v>
      </c>
      <c r="I11" s="11">
        <v>40</v>
      </c>
      <c r="J11" s="15">
        <f t="shared" si="0"/>
        <v>2</v>
      </c>
      <c r="K11" s="12"/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/>
      <c r="Y11" s="36">
        <f t="shared" si="2"/>
        <v>2</v>
      </c>
      <c r="Z11" s="37">
        <f t="shared" si="3"/>
        <v>0</v>
      </c>
      <c r="AA11" s="38">
        <f t="shared" si="4"/>
        <v>2</v>
      </c>
    </row>
    <row r="12" spans="1:27" x14ac:dyDescent="0.35">
      <c r="A12" s="16"/>
      <c r="B12" s="17" t="s">
        <v>28</v>
      </c>
      <c r="C12" s="11"/>
      <c r="D12" s="11">
        <v>40</v>
      </c>
      <c r="E12" s="11">
        <v>28</v>
      </c>
      <c r="F12" s="11">
        <v>34</v>
      </c>
      <c r="G12" s="11">
        <v>80</v>
      </c>
      <c r="H12" s="11">
        <v>0</v>
      </c>
      <c r="I12" s="11">
        <v>80</v>
      </c>
      <c r="J12" s="15">
        <f t="shared" si="0"/>
        <v>6.55</v>
      </c>
      <c r="K12" s="12"/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>
        <v>3</v>
      </c>
      <c r="Y12" s="36">
        <f t="shared" si="2"/>
        <v>6.55</v>
      </c>
      <c r="Z12" s="37">
        <f t="shared" si="3"/>
        <v>0</v>
      </c>
      <c r="AA12" s="38">
        <f t="shared" si="4"/>
        <v>6.55</v>
      </c>
    </row>
    <row r="13" spans="1:27" x14ac:dyDescent="0.35">
      <c r="A13" s="16"/>
      <c r="B13" s="17" t="s">
        <v>43</v>
      </c>
      <c r="C13" s="11"/>
      <c r="D13" s="11">
        <v>840</v>
      </c>
      <c r="E13" s="11">
        <v>680</v>
      </c>
      <c r="F13" s="11">
        <v>1040</v>
      </c>
      <c r="G13" s="11">
        <v>760</v>
      </c>
      <c r="H13" s="11">
        <v>640</v>
      </c>
      <c r="I13" s="11">
        <v>1000</v>
      </c>
      <c r="J13" s="15">
        <f t="shared" si="0"/>
        <v>124</v>
      </c>
      <c r="K13" s="12"/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>
        <v>6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/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/>
      <c r="K17" s="18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/>
      <c r="W17" s="12"/>
      <c r="Y17" s="36">
        <f t="shared" si="2"/>
        <v>0</v>
      </c>
      <c r="Z17" s="37">
        <f t="shared" si="3"/>
        <v>0</v>
      </c>
      <c r="AA17" s="38">
        <f t="shared" si="4"/>
        <v>0</v>
      </c>
    </row>
    <row r="18" spans="1:27" x14ac:dyDescent="0.35">
      <c r="A18" s="16"/>
      <c r="B18" s="17" t="s">
        <v>35</v>
      </c>
      <c r="C18" s="11"/>
      <c r="D18" s="11"/>
      <c r="E18" s="11"/>
      <c r="F18" s="11"/>
      <c r="G18" s="11"/>
      <c r="H18" s="11"/>
      <c r="I18" s="11"/>
      <c r="J18" s="15"/>
      <c r="K18" s="18"/>
      <c r="M18" s="16"/>
      <c r="N18" s="17"/>
      <c r="O18" s="11"/>
      <c r="P18" s="11"/>
      <c r="Q18" s="11"/>
      <c r="R18" s="11"/>
      <c r="S18" s="11"/>
      <c r="T18" s="11"/>
      <c r="U18" s="11"/>
      <c r="V18" s="15"/>
      <c r="W18" s="18"/>
      <c r="Y18" s="36"/>
      <c r="Z18" s="37"/>
      <c r="AA18" s="38"/>
    </row>
    <row r="19" spans="1:27" x14ac:dyDescent="0.35">
      <c r="A19" s="16"/>
      <c r="B19" s="17" t="s">
        <v>36</v>
      </c>
      <c r="C19" s="11"/>
      <c r="D19" s="11"/>
      <c r="E19" s="11"/>
      <c r="F19" s="11"/>
      <c r="G19" s="11"/>
      <c r="H19" s="11"/>
      <c r="I19" s="11"/>
      <c r="J19" s="15"/>
      <c r="K19" s="18"/>
      <c r="M19" s="16"/>
      <c r="N19" s="17"/>
      <c r="O19" s="11"/>
      <c r="P19" s="11"/>
      <c r="Q19" s="11"/>
      <c r="R19" s="11"/>
      <c r="S19" s="11"/>
      <c r="T19" s="11"/>
      <c r="U19" s="11"/>
      <c r="V19" s="15"/>
      <c r="W19" s="18"/>
      <c r="Y19" s="36"/>
      <c r="Z19" s="37"/>
      <c r="AA19" s="38"/>
    </row>
    <row r="20" spans="1:27" x14ac:dyDescent="0.35">
      <c r="A20" s="16"/>
      <c r="B20" s="17" t="s">
        <v>34</v>
      </c>
      <c r="C20" s="11"/>
      <c r="D20" s="11"/>
      <c r="E20" s="11"/>
      <c r="F20" s="11"/>
      <c r="G20" s="11"/>
      <c r="H20" s="11"/>
      <c r="I20" s="11"/>
      <c r="J20" s="15"/>
      <c r="K20" s="18"/>
      <c r="M20" s="16"/>
      <c r="N20" s="17"/>
      <c r="O20" s="11"/>
      <c r="P20" s="11"/>
      <c r="Q20" s="11"/>
      <c r="R20" s="11"/>
      <c r="S20" s="11"/>
      <c r="T20" s="11"/>
      <c r="U20" s="11"/>
      <c r="V20" s="15"/>
      <c r="W20" s="18"/>
      <c r="Y20" s="36"/>
      <c r="Z20" s="37"/>
      <c r="AA20" s="38"/>
    </row>
    <row r="21" spans="1:27" x14ac:dyDescent="0.35">
      <c r="A21" s="1"/>
      <c r="B21" s="7"/>
      <c r="C21" s="25">
        <f t="shared" ref="C21:I21" si="5">SUM(C8:C17)</f>
        <v>0</v>
      </c>
      <c r="D21" s="25">
        <f t="shared" si="5"/>
        <v>1011</v>
      </c>
      <c r="E21" s="25">
        <f t="shared" si="5"/>
        <v>813</v>
      </c>
      <c r="F21" s="25">
        <f t="shared" si="5"/>
        <v>1244</v>
      </c>
      <c r="G21" s="25">
        <f t="shared" si="5"/>
        <v>1967</v>
      </c>
      <c r="H21" s="25">
        <f t="shared" si="5"/>
        <v>1544</v>
      </c>
      <c r="I21" s="25">
        <f t="shared" si="5"/>
        <v>2175</v>
      </c>
      <c r="J21" s="26">
        <f>SUM(C21:I21)</f>
        <v>8754</v>
      </c>
      <c r="K21" s="28"/>
      <c r="M21" s="1"/>
      <c r="N21" s="7"/>
      <c r="O21" s="25">
        <f t="shared" ref="O21:U21" si="6">SUM(O8:O17)</f>
        <v>0</v>
      </c>
      <c r="P21" s="25">
        <f t="shared" si="6"/>
        <v>0</v>
      </c>
      <c r="Q21" s="25">
        <f t="shared" si="6"/>
        <v>0</v>
      </c>
      <c r="R21" s="25">
        <f t="shared" si="6"/>
        <v>0</v>
      </c>
      <c r="S21" s="25">
        <f t="shared" si="6"/>
        <v>0</v>
      </c>
      <c r="T21" s="25">
        <f t="shared" si="6"/>
        <v>0</v>
      </c>
      <c r="U21" s="25">
        <f t="shared" si="6"/>
        <v>0</v>
      </c>
      <c r="V21" s="26">
        <f>SUM(O21:U21)</f>
        <v>0</v>
      </c>
      <c r="W21" s="28"/>
      <c r="Y21" s="33">
        <f>SUM(Y8:Y17)</f>
        <v>94.85</v>
      </c>
      <c r="Z21" s="34">
        <f>SUM(Z8:Z17)</f>
        <v>0</v>
      </c>
      <c r="AA21" s="35">
        <f>SUM(AA8:AA17)</f>
        <v>94.85</v>
      </c>
    </row>
    <row r="22" spans="1:27" ht="15" thickBot="1" x14ac:dyDescent="0.4">
      <c r="A22" s="1"/>
      <c r="B22" s="20" t="s">
        <v>18</v>
      </c>
      <c r="C22" s="21">
        <f t="shared" ref="C22:I22" si="7">C21/40</f>
        <v>0</v>
      </c>
      <c r="D22" s="21">
        <f t="shared" si="7"/>
        <v>25.274999999999999</v>
      </c>
      <c r="E22" s="21">
        <f t="shared" si="7"/>
        <v>20.324999999999999</v>
      </c>
      <c r="F22" s="21">
        <f t="shared" si="7"/>
        <v>31.1</v>
      </c>
      <c r="G22" s="21">
        <f t="shared" si="7"/>
        <v>49.174999999999997</v>
      </c>
      <c r="H22" s="21">
        <f t="shared" si="7"/>
        <v>38.6</v>
      </c>
      <c r="I22" s="21">
        <f t="shared" si="7"/>
        <v>54.375</v>
      </c>
      <c r="J22" s="22">
        <f>SUM(J8:J20)</f>
        <v>218.85</v>
      </c>
      <c r="K22" s="23"/>
      <c r="M22" s="1"/>
      <c r="N22" s="20" t="s">
        <v>18</v>
      </c>
      <c r="O22" s="21">
        <f t="shared" ref="O22:V22" si="8">O21/40</f>
        <v>0</v>
      </c>
      <c r="P22" s="21">
        <f t="shared" si="8"/>
        <v>0</v>
      </c>
      <c r="Q22" s="21">
        <f t="shared" si="8"/>
        <v>0</v>
      </c>
      <c r="R22" s="21">
        <f t="shared" si="8"/>
        <v>0</v>
      </c>
      <c r="S22" s="21">
        <f t="shared" si="8"/>
        <v>0</v>
      </c>
      <c r="T22" s="21">
        <f t="shared" si="8"/>
        <v>0</v>
      </c>
      <c r="U22" s="21">
        <f t="shared" si="8"/>
        <v>0</v>
      </c>
      <c r="V22" s="22">
        <f t="shared" si="8"/>
        <v>0</v>
      </c>
      <c r="W22" s="23"/>
      <c r="Y22" s="39">
        <f>Y21/40</f>
        <v>2.3712499999999999</v>
      </c>
      <c r="Z22" s="40">
        <f>Z21/40</f>
        <v>0</v>
      </c>
      <c r="AA22" s="41">
        <f>AA21/40</f>
        <v>2.3712499999999999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267E-9AB4-4A14-B158-934CAE66BC78}">
  <dimension ref="A1:AA22"/>
  <sheetViews>
    <sheetView topLeftCell="A4" workbookViewId="0">
      <selection activeCell="D12" sqref="D12:J12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5" width="3.54296875" bestFit="1" customWidth="1"/>
    <col min="6" max="6" width="3.089843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8" width="3.54296875" bestFit="1" customWidth="1"/>
    <col min="19" max="19" width="3.90625" bestFit="1" customWidth="1"/>
    <col min="20" max="20" width="3.6328125" bestFit="1" customWidth="1"/>
    <col min="21" max="21" width="3.542968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30</v>
      </c>
      <c r="C8" s="11"/>
      <c r="D8" s="11">
        <v>35</v>
      </c>
      <c r="E8" s="11">
        <v>30</v>
      </c>
      <c r="F8" s="11">
        <v>55</v>
      </c>
      <c r="G8" s="11">
        <v>90</v>
      </c>
      <c r="H8" s="11">
        <v>75</v>
      </c>
      <c r="I8" s="11">
        <v>135</v>
      </c>
      <c r="J8" s="15">
        <f>SUM(C8:I8)/40</f>
        <v>10.5</v>
      </c>
      <c r="K8" s="12">
        <v>9</v>
      </c>
      <c r="L8" s="13"/>
      <c r="M8" s="14"/>
      <c r="N8" s="7" t="s">
        <v>30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>
        <v>8</v>
      </c>
      <c r="Y8" s="36">
        <f>J8</f>
        <v>10.5</v>
      </c>
      <c r="Z8" s="37">
        <f>V8</f>
        <v>0</v>
      </c>
      <c r="AA8" s="38">
        <f>Y8-Z8</f>
        <v>10.5</v>
      </c>
    </row>
    <row r="9" spans="1:27" x14ac:dyDescent="0.35">
      <c r="A9" s="14"/>
      <c r="B9" s="7" t="s">
        <v>31</v>
      </c>
      <c r="C9" s="11"/>
      <c r="D9" s="11">
        <v>55</v>
      </c>
      <c r="E9" s="11">
        <v>50</v>
      </c>
      <c r="F9" s="11">
        <v>95</v>
      </c>
      <c r="G9" s="11">
        <v>95</v>
      </c>
      <c r="H9" s="11">
        <v>50</v>
      </c>
      <c r="I9" s="11">
        <v>55</v>
      </c>
      <c r="J9" s="15">
        <f t="shared" ref="J9:J17" si="0">SUM(C9:I9)/40</f>
        <v>10</v>
      </c>
      <c r="K9" s="12">
        <v>27</v>
      </c>
      <c r="L9" s="13"/>
      <c r="M9" s="14"/>
      <c r="N9" s="7" t="s">
        <v>31</v>
      </c>
      <c r="O9" s="11"/>
      <c r="P9" s="11"/>
      <c r="Q9" s="11"/>
      <c r="R9" s="11"/>
      <c r="S9" s="11"/>
      <c r="T9" s="11"/>
      <c r="U9" s="11"/>
      <c r="V9" s="15">
        <f t="shared" ref="V9:V20" si="1">SUM(O9:U9)/40</f>
        <v>0</v>
      </c>
      <c r="W9" s="12">
        <v>15</v>
      </c>
      <c r="Y9" s="36">
        <f t="shared" ref="Y9:Y20" si="2">J9</f>
        <v>10</v>
      </c>
      <c r="Z9" s="37">
        <f t="shared" ref="Z9:Z20" si="3">V9</f>
        <v>0</v>
      </c>
      <c r="AA9" s="38">
        <f t="shared" ref="AA9:AA20" si="4">Y9-Z9</f>
        <v>10</v>
      </c>
    </row>
    <row r="10" spans="1:27" x14ac:dyDescent="0.35">
      <c r="A10" s="14"/>
      <c r="B10" s="7" t="s">
        <v>32</v>
      </c>
      <c r="C10" s="11"/>
      <c r="D10" s="11">
        <v>92</v>
      </c>
      <c r="E10" s="11">
        <v>92</v>
      </c>
      <c r="F10" s="11">
        <v>86</v>
      </c>
      <c r="G10" s="11">
        <v>114</v>
      </c>
      <c r="H10" s="11">
        <v>113</v>
      </c>
      <c r="I10" s="11">
        <v>113</v>
      </c>
      <c r="J10" s="15">
        <f t="shared" si="0"/>
        <v>15.25</v>
      </c>
      <c r="K10" s="12">
        <v>7</v>
      </c>
      <c r="L10" s="13"/>
      <c r="M10" s="14"/>
      <c r="N10" s="7" t="s">
        <v>32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>
        <v>5</v>
      </c>
      <c r="Y10" s="36">
        <f t="shared" si="2"/>
        <v>15.25</v>
      </c>
      <c r="Z10" s="37">
        <f t="shared" si="3"/>
        <v>0</v>
      </c>
      <c r="AA10" s="38">
        <f t="shared" si="4"/>
        <v>15.25</v>
      </c>
    </row>
    <row r="11" spans="1:27" x14ac:dyDescent="0.35">
      <c r="A11" s="16"/>
      <c r="B11" s="17" t="s">
        <v>29</v>
      </c>
      <c r="C11" s="11"/>
      <c r="D11" s="11">
        <v>4</v>
      </c>
      <c r="E11" s="11">
        <v>54</v>
      </c>
      <c r="F11" s="11">
        <v>54</v>
      </c>
      <c r="G11" s="11">
        <v>111</v>
      </c>
      <c r="H11" s="11">
        <v>60</v>
      </c>
      <c r="I11" s="11">
        <v>121</v>
      </c>
      <c r="J11" s="15">
        <f t="shared" si="0"/>
        <v>10.1</v>
      </c>
      <c r="K11" s="12">
        <v>9</v>
      </c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>
        <v>8</v>
      </c>
      <c r="Y11" s="36">
        <f t="shared" si="2"/>
        <v>10.1</v>
      </c>
      <c r="Z11" s="37">
        <f t="shared" si="3"/>
        <v>0</v>
      </c>
      <c r="AA11" s="38">
        <f t="shared" si="4"/>
        <v>10.1</v>
      </c>
    </row>
    <row r="12" spans="1:27" x14ac:dyDescent="0.35">
      <c r="A12" s="16"/>
      <c r="B12" s="17" t="s">
        <v>28</v>
      </c>
      <c r="C12" s="11"/>
      <c r="D12" s="11">
        <v>10</v>
      </c>
      <c r="E12" s="11">
        <v>45</v>
      </c>
      <c r="F12" s="11">
        <v>140</v>
      </c>
      <c r="G12" s="11">
        <v>43</v>
      </c>
      <c r="H12" s="11">
        <v>40</v>
      </c>
      <c r="I12" s="11">
        <v>12</v>
      </c>
      <c r="J12" s="15">
        <f t="shared" si="0"/>
        <v>7.25</v>
      </c>
      <c r="K12" s="12">
        <v>6</v>
      </c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>
        <v>2</v>
      </c>
      <c r="Y12" s="36">
        <f t="shared" si="2"/>
        <v>7.25</v>
      </c>
      <c r="Z12" s="37">
        <f t="shared" si="3"/>
        <v>0</v>
      </c>
      <c r="AA12" s="38">
        <f t="shared" si="4"/>
        <v>7.25</v>
      </c>
    </row>
    <row r="13" spans="1:27" x14ac:dyDescent="0.35">
      <c r="A13" s="16"/>
      <c r="B13" s="17" t="s">
        <v>43</v>
      </c>
      <c r="C13" s="11"/>
      <c r="D13" s="11">
        <v>400</v>
      </c>
      <c r="E13" s="11">
        <v>320</v>
      </c>
      <c r="F13" s="11">
        <v>440</v>
      </c>
      <c r="G13" s="11">
        <v>1080</v>
      </c>
      <c r="H13" s="11">
        <v>1000</v>
      </c>
      <c r="I13" s="11">
        <v>1120</v>
      </c>
      <c r="J13" s="15">
        <f t="shared" si="0"/>
        <v>109</v>
      </c>
      <c r="K13" s="12">
        <v>6</v>
      </c>
      <c r="L13" s="13"/>
      <c r="M13" s="16"/>
      <c r="N13" s="17" t="s">
        <v>43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>
        <v>5</v>
      </c>
      <c r="Y13" s="36"/>
      <c r="Z13" s="37"/>
      <c r="AA13" s="38"/>
    </row>
    <row r="14" spans="1:27" x14ac:dyDescent="0.35">
      <c r="A14" s="16"/>
      <c r="B14" s="17" t="s">
        <v>17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17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35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35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36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36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38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2"/>
      <c r="L17" s="13"/>
      <c r="M17" s="16"/>
      <c r="N17" s="17" t="s">
        <v>38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/>
      <c r="Y17" s="36"/>
      <c r="Z17" s="37"/>
      <c r="AA17" s="38"/>
    </row>
    <row r="18" spans="1:27" x14ac:dyDescent="0.35">
      <c r="A18" s="16"/>
      <c r="B18" s="17" t="s">
        <v>35</v>
      </c>
      <c r="C18" s="11"/>
      <c r="D18" s="11"/>
      <c r="E18" s="11"/>
      <c r="F18" s="11"/>
      <c r="G18" s="11"/>
      <c r="H18" s="11"/>
      <c r="I18" s="11"/>
      <c r="J18" s="15"/>
      <c r="K18" s="12"/>
      <c r="L18" s="13"/>
      <c r="M18" s="16"/>
      <c r="N18" s="17" t="s">
        <v>35</v>
      </c>
      <c r="O18" s="11"/>
      <c r="P18" s="11"/>
      <c r="Q18" s="11"/>
      <c r="R18" s="11"/>
      <c r="S18" s="11"/>
      <c r="T18" s="11"/>
      <c r="U18" s="11"/>
      <c r="V18" s="15">
        <f t="shared" si="1"/>
        <v>0</v>
      </c>
      <c r="W18" s="12"/>
      <c r="Y18" s="36"/>
      <c r="Z18" s="37"/>
      <c r="AA18" s="38"/>
    </row>
    <row r="19" spans="1:27" x14ac:dyDescent="0.35">
      <c r="A19" s="16"/>
      <c r="B19" s="17" t="s">
        <v>36</v>
      </c>
      <c r="C19" s="11"/>
      <c r="D19" s="11"/>
      <c r="E19" s="11"/>
      <c r="F19" s="11"/>
      <c r="G19" s="11"/>
      <c r="H19" s="11"/>
      <c r="I19" s="11"/>
      <c r="J19" s="15"/>
      <c r="K19" s="12"/>
      <c r="L19" s="13"/>
      <c r="M19" s="16"/>
      <c r="N19" s="17" t="s">
        <v>36</v>
      </c>
      <c r="O19" s="11"/>
      <c r="P19" s="11"/>
      <c r="Q19" s="11"/>
      <c r="R19" s="11"/>
      <c r="S19" s="11"/>
      <c r="T19" s="11"/>
      <c r="U19" s="11"/>
      <c r="V19" s="15">
        <f t="shared" si="1"/>
        <v>0</v>
      </c>
      <c r="W19" s="12"/>
      <c r="Y19" s="36"/>
      <c r="Z19" s="37"/>
      <c r="AA19" s="38"/>
    </row>
    <row r="20" spans="1:27" x14ac:dyDescent="0.35">
      <c r="A20" s="16"/>
      <c r="B20" s="17" t="s">
        <v>34</v>
      </c>
      <c r="C20" s="11"/>
      <c r="D20" s="11"/>
      <c r="E20" s="11"/>
      <c r="F20" s="11"/>
      <c r="G20" s="11"/>
      <c r="H20" s="11"/>
      <c r="I20" s="11"/>
      <c r="J20" s="15"/>
      <c r="K20" s="18"/>
      <c r="M20" s="16"/>
      <c r="N20" s="17" t="s">
        <v>34</v>
      </c>
      <c r="O20" s="11"/>
      <c r="P20" s="11"/>
      <c r="Q20" s="11"/>
      <c r="R20" s="11"/>
      <c r="S20" s="11"/>
      <c r="T20" s="11"/>
      <c r="U20" s="11"/>
      <c r="V20" s="15">
        <f t="shared" si="1"/>
        <v>0</v>
      </c>
      <c r="W20" s="18"/>
      <c r="Y20" s="36">
        <f t="shared" si="2"/>
        <v>0</v>
      </c>
      <c r="Z20" s="37">
        <f t="shared" si="3"/>
        <v>0</v>
      </c>
      <c r="AA20" s="38">
        <f t="shared" si="4"/>
        <v>0</v>
      </c>
    </row>
    <row r="21" spans="1:27" x14ac:dyDescent="0.35">
      <c r="A21" s="1"/>
      <c r="B21" s="7"/>
      <c r="C21" s="25">
        <f t="shared" ref="C21:I21" si="5">SUM(C8:C20)</f>
        <v>0</v>
      </c>
      <c r="D21" s="25">
        <f t="shared" si="5"/>
        <v>596</v>
      </c>
      <c r="E21" s="25">
        <f t="shared" si="5"/>
        <v>591</v>
      </c>
      <c r="F21" s="25">
        <f t="shared" si="5"/>
        <v>870</v>
      </c>
      <c r="G21" s="25">
        <f t="shared" si="5"/>
        <v>1533</v>
      </c>
      <c r="H21" s="25">
        <f t="shared" si="5"/>
        <v>1338</v>
      </c>
      <c r="I21" s="25">
        <f t="shared" si="5"/>
        <v>1556</v>
      </c>
      <c r="J21" s="26">
        <f>SUM(C21:I21)</f>
        <v>6484</v>
      </c>
      <c r="K21" s="28"/>
      <c r="M21" s="1"/>
      <c r="N21" s="7"/>
      <c r="O21" s="25">
        <f t="shared" ref="O21:U21" si="6">SUM(O8:O20)</f>
        <v>0</v>
      </c>
      <c r="P21" s="25">
        <f t="shared" si="6"/>
        <v>0</v>
      </c>
      <c r="Q21" s="25">
        <f t="shared" si="6"/>
        <v>0</v>
      </c>
      <c r="R21" s="25">
        <f t="shared" si="6"/>
        <v>0</v>
      </c>
      <c r="S21" s="25">
        <f t="shared" si="6"/>
        <v>0</v>
      </c>
      <c r="T21" s="25">
        <f t="shared" si="6"/>
        <v>0</v>
      </c>
      <c r="U21" s="25">
        <f t="shared" si="6"/>
        <v>0</v>
      </c>
      <c r="V21" s="26">
        <f>SUM(O21:U21)</f>
        <v>0</v>
      </c>
      <c r="W21" s="28"/>
      <c r="Y21" s="33">
        <f>SUM(Y8:Y20)</f>
        <v>53.1</v>
      </c>
      <c r="Z21" s="34">
        <f>SUM(Z8:Z20)</f>
        <v>0</v>
      </c>
      <c r="AA21" s="35">
        <f>SUM(AA8:AA20)</f>
        <v>53.1</v>
      </c>
    </row>
    <row r="22" spans="1:27" ht="15" thickBot="1" x14ac:dyDescent="0.4">
      <c r="A22" s="1"/>
      <c r="B22" s="20" t="s">
        <v>18</v>
      </c>
      <c r="C22" s="21">
        <f t="shared" ref="C22:I22" si="7">C21/40</f>
        <v>0</v>
      </c>
      <c r="D22" s="21">
        <f t="shared" si="7"/>
        <v>14.9</v>
      </c>
      <c r="E22" s="21">
        <f t="shared" si="7"/>
        <v>14.775</v>
      </c>
      <c r="F22" s="21">
        <f t="shared" si="7"/>
        <v>21.75</v>
      </c>
      <c r="G22" s="21">
        <f t="shared" si="7"/>
        <v>38.325000000000003</v>
      </c>
      <c r="H22" s="21">
        <f t="shared" si="7"/>
        <v>33.450000000000003</v>
      </c>
      <c r="I22" s="21">
        <f t="shared" si="7"/>
        <v>38.9</v>
      </c>
      <c r="J22" s="22">
        <f>SUM(J8:J20)</f>
        <v>162.1</v>
      </c>
      <c r="K22" s="23"/>
      <c r="M22" s="1" t="s">
        <v>37</v>
      </c>
      <c r="N22" s="20" t="s">
        <v>18</v>
      </c>
      <c r="O22" s="21">
        <f t="shared" ref="O22:V22" si="8">O21/40</f>
        <v>0</v>
      </c>
      <c r="P22" s="21">
        <f t="shared" si="8"/>
        <v>0</v>
      </c>
      <c r="Q22" s="21">
        <f t="shared" si="8"/>
        <v>0</v>
      </c>
      <c r="R22" s="21">
        <f t="shared" si="8"/>
        <v>0</v>
      </c>
      <c r="S22" s="21">
        <f t="shared" si="8"/>
        <v>0</v>
      </c>
      <c r="T22" s="21">
        <f t="shared" si="8"/>
        <v>0</v>
      </c>
      <c r="U22" s="21">
        <f t="shared" si="8"/>
        <v>0</v>
      </c>
      <c r="V22" s="22">
        <f t="shared" si="8"/>
        <v>0</v>
      </c>
      <c r="W22" s="23"/>
      <c r="Y22" s="39">
        <f>Y21/40</f>
        <v>1.3275000000000001</v>
      </c>
      <c r="Z22" s="40">
        <f>Z21/40</f>
        <v>0</v>
      </c>
      <c r="AA22" s="41">
        <f>AA21/40</f>
        <v>1.3275000000000001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A1E7-4231-4CD7-B906-1741794EB6A0}">
  <dimension ref="A1:AA23"/>
  <sheetViews>
    <sheetView workbookViewId="0">
      <selection activeCell="D8" sqref="D8:F11"/>
    </sheetView>
  </sheetViews>
  <sheetFormatPr defaultRowHeight="14.5" x14ac:dyDescent="0.35"/>
  <cols>
    <col min="1" max="1" width="5.6328125" customWidth="1"/>
    <col min="2" max="2" width="9.81640625" bestFit="1" customWidth="1"/>
    <col min="3" max="3" width="4" bestFit="1" customWidth="1"/>
    <col min="4" max="4" width="5" bestFit="1" customWidth="1"/>
    <col min="5" max="6" width="3.54296875" bestFit="1" customWidth="1"/>
    <col min="7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15" width="4" bestFit="1" customWidth="1"/>
    <col min="16" max="16" width="3.90625" bestFit="1" customWidth="1"/>
    <col min="17" max="17" width="3.26953125" bestFit="1" customWidth="1"/>
    <col min="18" max="18" width="3.08984375" bestFit="1" customWidth="1"/>
    <col min="19" max="19" width="3.90625" bestFit="1" customWidth="1"/>
    <col min="20" max="20" width="3.6328125" bestFit="1" customWidth="1"/>
    <col min="21" max="21" width="3.08984375" bestFit="1" customWidth="1"/>
    <col min="22" max="22" width="5.4531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x14ac:dyDescent="0.35">
      <c r="A1" s="1"/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83" t="s">
        <v>0</v>
      </c>
      <c r="C2" s="83"/>
      <c r="D2" s="83"/>
      <c r="E2" s="83"/>
      <c r="F2" s="83"/>
      <c r="G2" s="83"/>
      <c r="H2" s="83"/>
      <c r="I2" s="83"/>
      <c r="J2" s="83"/>
      <c r="M2" s="1"/>
      <c r="N2" s="83" t="s">
        <v>1</v>
      </c>
      <c r="O2" s="83"/>
      <c r="P2" s="83"/>
      <c r="Q2" s="83"/>
      <c r="R2" s="83"/>
      <c r="S2" s="83"/>
      <c r="T2" s="83"/>
      <c r="U2" s="83"/>
      <c r="V2" s="83"/>
    </row>
    <row r="3" spans="1:27" ht="14.5" customHeight="1" x14ac:dyDescent="0.35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 t="s">
        <v>19</v>
      </c>
      <c r="Z3" s="88"/>
      <c r="AA3" s="88"/>
    </row>
    <row r="4" spans="1:27" ht="14.5" customHeight="1" thickBot="1" x14ac:dyDescent="0.4">
      <c r="A4" s="1"/>
      <c r="B4" s="83"/>
      <c r="C4" s="83"/>
      <c r="D4" s="83"/>
      <c r="E4" s="83"/>
      <c r="F4" s="83"/>
      <c r="G4" s="83"/>
      <c r="H4" s="83"/>
      <c r="I4" s="83"/>
      <c r="J4" s="83"/>
      <c r="M4" s="1"/>
      <c r="N4" s="83"/>
      <c r="O4" s="83"/>
      <c r="P4" s="83"/>
      <c r="Q4" s="83"/>
      <c r="R4" s="83"/>
      <c r="S4" s="83"/>
      <c r="T4" s="83"/>
      <c r="U4" s="83"/>
      <c r="V4" s="83"/>
      <c r="Y4" s="88"/>
      <c r="Z4" s="88"/>
      <c r="AA4" s="88"/>
    </row>
    <row r="5" spans="1:27" ht="15" thickBot="1" x14ac:dyDescent="0.4">
      <c r="A5" s="1"/>
      <c r="B5" s="84"/>
      <c r="C5" s="84"/>
      <c r="D5" s="84"/>
      <c r="E5" s="84"/>
      <c r="F5" s="84"/>
      <c r="G5" s="84"/>
      <c r="H5" s="84"/>
      <c r="I5" s="84"/>
      <c r="J5" s="84"/>
      <c r="M5" s="1"/>
      <c r="N5" s="84"/>
      <c r="O5" s="84"/>
      <c r="P5" s="84"/>
      <c r="Q5" s="84"/>
      <c r="R5" s="84"/>
      <c r="S5" s="84"/>
      <c r="T5" s="84"/>
      <c r="U5" s="84"/>
      <c r="V5" s="84"/>
      <c r="Y5" s="29" t="s">
        <v>0</v>
      </c>
      <c r="Z5" s="4" t="s">
        <v>20</v>
      </c>
      <c r="AA5" s="5" t="s">
        <v>21</v>
      </c>
    </row>
    <row r="6" spans="1:27" x14ac:dyDescent="0.35">
      <c r="A6" s="1"/>
      <c r="B6" s="2"/>
      <c r="C6" s="3" t="s">
        <v>2</v>
      </c>
      <c r="D6" s="85" t="s">
        <v>3</v>
      </c>
      <c r="E6" s="85"/>
      <c r="F6" s="85"/>
      <c r="G6" s="85" t="s">
        <v>4</v>
      </c>
      <c r="H6" s="85"/>
      <c r="I6" s="85"/>
      <c r="J6" s="4"/>
      <c r="K6" s="5"/>
      <c r="M6" s="1"/>
      <c r="N6" s="2"/>
      <c r="O6" s="3" t="s">
        <v>2</v>
      </c>
      <c r="P6" s="85" t="s">
        <v>3</v>
      </c>
      <c r="Q6" s="85"/>
      <c r="R6" s="85"/>
      <c r="S6" s="85" t="s">
        <v>4</v>
      </c>
      <c r="T6" s="85"/>
      <c r="U6" s="85"/>
      <c r="V6" s="4"/>
      <c r="W6" s="5"/>
      <c r="Y6" s="30"/>
      <c r="Z6" s="15"/>
      <c r="AA6" s="18"/>
    </row>
    <row r="7" spans="1:27" x14ac:dyDescent="0.35">
      <c r="A7" s="6"/>
      <c r="B7" s="7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10" t="s">
        <v>7</v>
      </c>
      <c r="H7" s="10" t="s">
        <v>10</v>
      </c>
      <c r="I7" s="10" t="s">
        <v>9</v>
      </c>
      <c r="J7" s="11" t="s">
        <v>11</v>
      </c>
      <c r="K7" s="12" t="s">
        <v>12</v>
      </c>
      <c r="L7" s="13"/>
      <c r="M7" s="6"/>
      <c r="N7" s="7" t="s">
        <v>5</v>
      </c>
      <c r="O7" s="8" t="s">
        <v>6</v>
      </c>
      <c r="P7" s="9" t="s">
        <v>7</v>
      </c>
      <c r="Q7" s="9" t="s">
        <v>8</v>
      </c>
      <c r="R7" s="9" t="s">
        <v>9</v>
      </c>
      <c r="S7" s="10" t="s">
        <v>7</v>
      </c>
      <c r="T7" s="10" t="s">
        <v>10</v>
      </c>
      <c r="U7" s="10" t="s">
        <v>9</v>
      </c>
      <c r="V7" s="11" t="s">
        <v>11</v>
      </c>
      <c r="W7" s="12" t="s">
        <v>12</v>
      </c>
      <c r="Y7" s="30"/>
      <c r="Z7" s="15"/>
      <c r="AA7" s="18"/>
    </row>
    <row r="8" spans="1:27" x14ac:dyDescent="0.35">
      <c r="A8" s="14"/>
      <c r="B8" s="7" t="s">
        <v>30</v>
      </c>
      <c r="C8" s="11"/>
      <c r="D8" s="11"/>
      <c r="E8" s="11"/>
      <c r="F8" s="11"/>
      <c r="G8" s="11"/>
      <c r="H8" s="11"/>
      <c r="I8" s="11"/>
      <c r="J8" s="15">
        <f>SUM(C8:I8)/40</f>
        <v>0</v>
      </c>
      <c r="K8" s="12"/>
      <c r="L8" s="13"/>
      <c r="M8" s="14"/>
      <c r="N8" s="7" t="s">
        <v>30</v>
      </c>
      <c r="O8" s="11"/>
      <c r="P8" s="11"/>
      <c r="Q8" s="11"/>
      <c r="R8" s="11"/>
      <c r="S8" s="11"/>
      <c r="T8" s="11"/>
      <c r="U8" s="11"/>
      <c r="V8" s="15">
        <f>SUM(O8:U8)/40</f>
        <v>0</v>
      </c>
      <c r="W8" s="12">
        <v>16</v>
      </c>
      <c r="Y8" s="36">
        <f>J8</f>
        <v>0</v>
      </c>
      <c r="Z8" s="37">
        <f>V8</f>
        <v>0</v>
      </c>
      <c r="AA8" s="38">
        <f>Y8-Z8</f>
        <v>0</v>
      </c>
    </row>
    <row r="9" spans="1:27" x14ac:dyDescent="0.35">
      <c r="A9" s="14"/>
      <c r="B9" s="7" t="s">
        <v>31</v>
      </c>
      <c r="C9" s="11"/>
      <c r="D9" s="11"/>
      <c r="E9" s="11"/>
      <c r="F9" s="11"/>
      <c r="G9" s="11"/>
      <c r="H9" s="11"/>
      <c r="I9" s="11"/>
      <c r="J9" s="15">
        <f t="shared" ref="J9:J21" si="0">SUM(C9:I9)/40</f>
        <v>0</v>
      </c>
      <c r="K9" s="12"/>
      <c r="L9" s="13"/>
      <c r="M9" s="14"/>
      <c r="N9" s="7" t="s">
        <v>31</v>
      </c>
      <c r="O9" s="11"/>
      <c r="P9" s="11"/>
      <c r="Q9" s="11"/>
      <c r="R9" s="11"/>
      <c r="S9" s="11"/>
      <c r="T9" s="11"/>
      <c r="U9" s="11"/>
      <c r="V9" s="15">
        <f t="shared" ref="V9:V18" si="1">SUM(O9:U9)/40</f>
        <v>0</v>
      </c>
      <c r="W9" s="12">
        <v>30</v>
      </c>
      <c r="Y9" s="36">
        <f t="shared" ref="Y9:Y21" si="2">J9</f>
        <v>0</v>
      </c>
      <c r="Z9" s="37">
        <f t="shared" ref="Z9:Z21" si="3">V9</f>
        <v>0</v>
      </c>
      <c r="AA9" s="38">
        <f t="shared" ref="AA9:AA21" si="4">Y9-Z9</f>
        <v>0</v>
      </c>
    </row>
    <row r="10" spans="1:27" x14ac:dyDescent="0.35">
      <c r="A10" s="14"/>
      <c r="B10" s="7" t="s">
        <v>32</v>
      </c>
      <c r="C10" s="11"/>
      <c r="D10" s="11"/>
      <c r="E10" s="11"/>
      <c r="F10" s="11"/>
      <c r="G10" s="11"/>
      <c r="H10" s="11"/>
      <c r="I10" s="11"/>
      <c r="J10" s="15">
        <f t="shared" si="0"/>
        <v>0</v>
      </c>
      <c r="K10" s="12"/>
      <c r="L10" s="13"/>
      <c r="M10" s="14"/>
      <c r="N10" s="7" t="s">
        <v>32</v>
      </c>
      <c r="O10" s="11"/>
      <c r="P10" s="11"/>
      <c r="Q10" s="11"/>
      <c r="R10" s="11"/>
      <c r="S10" s="11"/>
      <c r="T10" s="11"/>
      <c r="U10" s="11"/>
      <c r="V10" s="15">
        <f t="shared" si="1"/>
        <v>0</v>
      </c>
      <c r="W10" s="12">
        <v>2</v>
      </c>
      <c r="Y10" s="36">
        <f t="shared" si="2"/>
        <v>0</v>
      </c>
      <c r="Z10" s="37">
        <f t="shared" si="3"/>
        <v>0</v>
      </c>
      <c r="AA10" s="38">
        <f t="shared" si="4"/>
        <v>0</v>
      </c>
    </row>
    <row r="11" spans="1:27" x14ac:dyDescent="0.35">
      <c r="A11" s="16"/>
      <c r="B11" s="17" t="s">
        <v>29</v>
      </c>
      <c r="C11" s="11"/>
      <c r="D11" s="11"/>
      <c r="E11" s="11"/>
      <c r="F11" s="11"/>
      <c r="G11" s="11"/>
      <c r="H11" s="11"/>
      <c r="I11" s="11"/>
      <c r="J11" s="15">
        <f t="shared" si="0"/>
        <v>0</v>
      </c>
      <c r="K11" s="12"/>
      <c r="L11" s="13"/>
      <c r="M11" s="16"/>
      <c r="N11" s="17" t="s">
        <v>29</v>
      </c>
      <c r="O11" s="11"/>
      <c r="P11" s="11"/>
      <c r="Q11" s="11"/>
      <c r="R11" s="11"/>
      <c r="S11" s="11"/>
      <c r="T11" s="11"/>
      <c r="U11" s="11"/>
      <c r="V11" s="15">
        <f t="shared" si="1"/>
        <v>0</v>
      </c>
      <c r="W11" s="12">
        <v>2</v>
      </c>
      <c r="Y11" s="36">
        <f t="shared" si="2"/>
        <v>0</v>
      </c>
      <c r="Z11" s="37">
        <f t="shared" si="3"/>
        <v>0</v>
      </c>
      <c r="AA11" s="38">
        <f t="shared" si="4"/>
        <v>0</v>
      </c>
    </row>
    <row r="12" spans="1:27" x14ac:dyDescent="0.35">
      <c r="A12" s="16"/>
      <c r="B12" s="17" t="s">
        <v>28</v>
      </c>
      <c r="C12" s="11"/>
      <c r="D12" s="11"/>
      <c r="E12" s="11"/>
      <c r="F12" s="11"/>
      <c r="G12" s="11"/>
      <c r="H12" s="11"/>
      <c r="I12" s="11"/>
      <c r="J12" s="15">
        <f t="shared" si="0"/>
        <v>0</v>
      </c>
      <c r="K12" s="12"/>
      <c r="L12" s="13"/>
      <c r="M12" s="16"/>
      <c r="N12" s="17" t="s">
        <v>28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>
        <v>5</v>
      </c>
      <c r="Y12" s="36">
        <f t="shared" si="2"/>
        <v>0</v>
      </c>
      <c r="Z12" s="37">
        <f t="shared" si="3"/>
        <v>0</v>
      </c>
      <c r="AA12" s="38">
        <f t="shared" si="4"/>
        <v>0</v>
      </c>
    </row>
    <row r="13" spans="1:27" x14ac:dyDescent="0.35">
      <c r="A13" s="16"/>
      <c r="B13" s="17" t="s">
        <v>16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16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>
        <v>4</v>
      </c>
      <c r="Y13" s="36"/>
      <c r="Z13" s="37"/>
      <c r="AA13" s="38"/>
    </row>
    <row r="14" spans="1:27" x14ac:dyDescent="0.35">
      <c r="A14" s="16"/>
      <c r="B14" s="17" t="s">
        <v>35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35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36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36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38</v>
      </c>
      <c r="C16" s="11"/>
      <c r="D16" s="11"/>
      <c r="E16" s="11"/>
      <c r="F16" s="11"/>
      <c r="G16" s="11"/>
      <c r="H16" s="11"/>
      <c r="I16" s="11"/>
      <c r="J16" s="15">
        <f t="shared" si="0"/>
        <v>0</v>
      </c>
      <c r="K16" s="12"/>
      <c r="L16" s="13"/>
      <c r="M16" s="16"/>
      <c r="N16" s="17" t="s">
        <v>38</v>
      </c>
      <c r="O16" s="11"/>
      <c r="P16" s="11"/>
      <c r="Q16" s="11"/>
      <c r="R16" s="11"/>
      <c r="S16" s="11"/>
      <c r="T16" s="11"/>
      <c r="U16" s="11"/>
      <c r="V16" s="15">
        <f t="shared" si="1"/>
        <v>0</v>
      </c>
      <c r="W16" s="12"/>
      <c r="Y16" s="36"/>
      <c r="Z16" s="37"/>
      <c r="AA16" s="38"/>
    </row>
    <row r="17" spans="1:27" x14ac:dyDescent="0.35">
      <c r="A17" s="16"/>
      <c r="B17" s="17" t="s">
        <v>16</v>
      </c>
      <c r="C17" s="11"/>
      <c r="D17" s="11"/>
      <c r="E17" s="11"/>
      <c r="F17" s="11"/>
      <c r="G17" s="11"/>
      <c r="H17" s="11"/>
      <c r="I17" s="11"/>
      <c r="J17" s="15">
        <f t="shared" si="0"/>
        <v>0</v>
      </c>
      <c r="K17" s="12"/>
      <c r="L17" s="13"/>
      <c r="M17" s="16"/>
      <c r="N17" s="17" t="s">
        <v>16</v>
      </c>
      <c r="O17" s="11"/>
      <c r="P17" s="11"/>
      <c r="Q17" s="11"/>
      <c r="R17" s="11"/>
      <c r="S17" s="11"/>
      <c r="T17" s="11"/>
      <c r="U17" s="11"/>
      <c r="V17" s="15">
        <f t="shared" si="1"/>
        <v>0</v>
      </c>
      <c r="W17" s="12"/>
      <c r="Y17" s="36"/>
      <c r="Z17" s="37">
        <f t="shared" si="3"/>
        <v>0</v>
      </c>
      <c r="AA17" s="38"/>
    </row>
    <row r="18" spans="1:27" x14ac:dyDescent="0.35">
      <c r="A18" s="16"/>
      <c r="B18" s="17" t="s">
        <v>35</v>
      </c>
      <c r="C18" s="11"/>
      <c r="D18" s="11"/>
      <c r="E18" s="11"/>
      <c r="F18" s="11"/>
      <c r="G18" s="11"/>
      <c r="H18" s="11"/>
      <c r="I18" s="11"/>
      <c r="J18" s="15"/>
      <c r="K18" s="12"/>
      <c r="L18" s="13"/>
      <c r="M18" s="16"/>
      <c r="N18" s="17" t="s">
        <v>42</v>
      </c>
      <c r="O18" s="11"/>
      <c r="P18" s="11">
        <v>28</v>
      </c>
      <c r="Q18" s="11">
        <v>24</v>
      </c>
      <c r="R18" s="11">
        <v>34</v>
      </c>
      <c r="S18" s="11">
        <v>23</v>
      </c>
      <c r="T18" s="11">
        <v>12</v>
      </c>
      <c r="U18" s="11">
        <v>17</v>
      </c>
      <c r="V18" s="15">
        <f t="shared" si="1"/>
        <v>3.45</v>
      </c>
      <c r="W18" s="12">
        <v>6</v>
      </c>
      <c r="Y18" s="36"/>
      <c r="Z18" s="37"/>
      <c r="AA18" s="38"/>
    </row>
    <row r="19" spans="1:27" x14ac:dyDescent="0.35">
      <c r="A19" s="16"/>
      <c r="B19" s="17" t="s">
        <v>36</v>
      </c>
      <c r="C19" s="11"/>
      <c r="D19" s="11"/>
      <c r="E19" s="11"/>
      <c r="F19" s="11"/>
      <c r="G19" s="11"/>
      <c r="H19" s="11"/>
      <c r="I19" s="11"/>
      <c r="J19" s="15"/>
      <c r="K19" s="12"/>
      <c r="L19" s="13"/>
      <c r="M19" s="16"/>
      <c r="N19" s="17" t="s">
        <v>36</v>
      </c>
      <c r="O19" s="11"/>
      <c r="P19" s="11"/>
      <c r="Q19" s="11"/>
      <c r="R19" s="11"/>
      <c r="S19" s="11"/>
      <c r="T19" s="11"/>
      <c r="U19" s="11"/>
      <c r="V19" s="15"/>
      <c r="W19" s="12"/>
      <c r="Y19" s="36"/>
      <c r="Z19" s="37"/>
      <c r="AA19" s="38"/>
    </row>
    <row r="20" spans="1:27" x14ac:dyDescent="0.35">
      <c r="A20" s="16"/>
      <c r="B20" s="17" t="s">
        <v>34</v>
      </c>
      <c r="C20" s="11"/>
      <c r="D20" s="11"/>
      <c r="E20" s="11"/>
      <c r="F20" s="11"/>
      <c r="G20" s="11"/>
      <c r="H20" s="11"/>
      <c r="I20" s="11"/>
      <c r="J20" s="15"/>
      <c r="K20" s="12"/>
      <c r="L20" s="13"/>
      <c r="M20" s="16"/>
      <c r="N20" s="17" t="s">
        <v>34</v>
      </c>
      <c r="O20" s="11"/>
      <c r="P20" s="11"/>
      <c r="Q20" s="11"/>
      <c r="R20" s="11"/>
      <c r="S20" s="11"/>
      <c r="T20" s="11"/>
      <c r="U20" s="11"/>
      <c r="V20" s="15"/>
      <c r="W20" s="12"/>
      <c r="Y20" s="36"/>
      <c r="Z20" s="37"/>
      <c r="AA20" s="38"/>
    </row>
    <row r="21" spans="1:27" x14ac:dyDescent="0.35">
      <c r="A21" s="16"/>
      <c r="B21" s="17"/>
      <c r="C21" s="11"/>
      <c r="D21" s="11"/>
      <c r="E21" s="11"/>
      <c r="F21" s="11"/>
      <c r="G21" s="11"/>
      <c r="H21" s="11"/>
      <c r="I21" s="11"/>
      <c r="J21" s="15">
        <f t="shared" si="0"/>
        <v>0</v>
      </c>
      <c r="K21" s="18"/>
      <c r="M21" s="16"/>
      <c r="N21" s="17"/>
      <c r="O21" s="11"/>
      <c r="P21" s="11"/>
      <c r="Q21" s="11"/>
      <c r="R21" s="11"/>
      <c r="S21" s="11"/>
      <c r="T21" s="11"/>
      <c r="U21" s="11"/>
      <c r="V21" s="15"/>
      <c r="W21" s="18"/>
      <c r="Y21" s="36">
        <f t="shared" si="2"/>
        <v>0</v>
      </c>
      <c r="Z21" s="37">
        <f t="shared" si="3"/>
        <v>0</v>
      </c>
      <c r="AA21" s="38">
        <f t="shared" si="4"/>
        <v>0</v>
      </c>
    </row>
    <row r="22" spans="1:27" x14ac:dyDescent="0.35">
      <c r="A22" s="1"/>
      <c r="B22" s="7"/>
      <c r="C22" s="25">
        <f t="shared" ref="C22:I22" si="5">SUM(C8:C21)</f>
        <v>0</v>
      </c>
      <c r="D22" s="25">
        <f t="shared" si="5"/>
        <v>0</v>
      </c>
      <c r="E22" s="25">
        <f t="shared" si="5"/>
        <v>0</v>
      </c>
      <c r="F22" s="25">
        <f t="shared" si="5"/>
        <v>0</v>
      </c>
      <c r="G22" s="25">
        <f t="shared" si="5"/>
        <v>0</v>
      </c>
      <c r="H22" s="25">
        <f t="shared" si="5"/>
        <v>0</v>
      </c>
      <c r="I22" s="25">
        <f t="shared" si="5"/>
        <v>0</v>
      </c>
      <c r="J22" s="26">
        <f>SUM(C22:I22)</f>
        <v>0</v>
      </c>
      <c r="K22" s="28"/>
      <c r="M22" s="1"/>
      <c r="N22" s="7"/>
      <c r="O22" s="25">
        <f t="shared" ref="O22:U22" si="6">SUM(O8:O21)</f>
        <v>0</v>
      </c>
      <c r="P22" s="25">
        <f t="shared" si="6"/>
        <v>28</v>
      </c>
      <c r="Q22" s="25">
        <f t="shared" si="6"/>
        <v>24</v>
      </c>
      <c r="R22" s="25">
        <f t="shared" si="6"/>
        <v>34</v>
      </c>
      <c r="S22" s="25">
        <f t="shared" si="6"/>
        <v>23</v>
      </c>
      <c r="T22" s="25">
        <f t="shared" si="6"/>
        <v>12</v>
      </c>
      <c r="U22" s="25">
        <f t="shared" si="6"/>
        <v>17</v>
      </c>
      <c r="V22" s="26">
        <f>SUM(O22:U22)</f>
        <v>138</v>
      </c>
      <c r="W22" s="28"/>
      <c r="Y22" s="33">
        <f>SUM(Y8:Y21)</f>
        <v>0</v>
      </c>
      <c r="Z22" s="34">
        <f>SUM(Z8:Z21)</f>
        <v>0</v>
      </c>
      <c r="AA22" s="35">
        <f>SUM(AA8:AA21)</f>
        <v>0</v>
      </c>
    </row>
    <row r="23" spans="1:27" ht="15" thickBot="1" x14ac:dyDescent="0.4">
      <c r="A23" s="1"/>
      <c r="B23" s="20" t="s">
        <v>18</v>
      </c>
      <c r="C23" s="21">
        <f t="shared" ref="C23:I23" si="7">C22/40</f>
        <v>0</v>
      </c>
      <c r="D23" s="21">
        <f t="shared" si="7"/>
        <v>0</v>
      </c>
      <c r="E23" s="21">
        <f t="shared" si="7"/>
        <v>0</v>
      </c>
      <c r="F23" s="21">
        <f t="shared" si="7"/>
        <v>0</v>
      </c>
      <c r="G23" s="21">
        <f t="shared" si="7"/>
        <v>0</v>
      </c>
      <c r="H23" s="21">
        <f t="shared" si="7"/>
        <v>0</v>
      </c>
      <c r="I23" s="21">
        <f t="shared" si="7"/>
        <v>0</v>
      </c>
      <c r="J23" s="22">
        <f>SUM(J8:J20)</f>
        <v>0</v>
      </c>
      <c r="K23" s="22">
        <f>SUM(K8:K20)</f>
        <v>0</v>
      </c>
      <c r="M23" s="1"/>
      <c r="N23" s="20" t="s">
        <v>18</v>
      </c>
      <c r="O23" s="21">
        <f t="shared" ref="O23:V23" si="8">O22/40</f>
        <v>0</v>
      </c>
      <c r="P23" s="21">
        <f t="shared" si="8"/>
        <v>0.7</v>
      </c>
      <c r="Q23" s="21">
        <f t="shared" si="8"/>
        <v>0.6</v>
      </c>
      <c r="R23" s="21">
        <f t="shared" si="8"/>
        <v>0.85</v>
      </c>
      <c r="S23" s="21">
        <f t="shared" si="8"/>
        <v>0.57499999999999996</v>
      </c>
      <c r="T23" s="21">
        <f t="shared" si="8"/>
        <v>0.3</v>
      </c>
      <c r="U23" s="21">
        <f t="shared" si="8"/>
        <v>0.42499999999999999</v>
      </c>
      <c r="V23" s="22">
        <f t="shared" si="8"/>
        <v>3.45</v>
      </c>
      <c r="W23" s="23"/>
      <c r="Y23" s="39">
        <f>Y22/40</f>
        <v>0</v>
      </c>
      <c r="Z23" s="40">
        <f>Z22/40</f>
        <v>0</v>
      </c>
      <c r="AA23" s="41">
        <f>AA22/40</f>
        <v>0</v>
      </c>
    </row>
  </sheetData>
  <mergeCells count="7">
    <mergeCell ref="Y3:AA4"/>
    <mergeCell ref="B2:J5"/>
    <mergeCell ref="N2:V5"/>
    <mergeCell ref="D6:F6"/>
    <mergeCell ref="G6:I6"/>
    <mergeCell ref="P6:R6"/>
    <mergeCell ref="S6:U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EC90-B3AB-443E-9C2F-99376CA7B8EA}">
  <dimension ref="A1:AA21"/>
  <sheetViews>
    <sheetView workbookViewId="0">
      <selection activeCell="W7" sqref="W7:W11"/>
    </sheetView>
  </sheetViews>
  <sheetFormatPr defaultRowHeight="14.5" x14ac:dyDescent="0.35"/>
  <cols>
    <col min="1" max="1" width="7.81640625" customWidth="1"/>
    <col min="2" max="2" width="9.81640625" bestFit="1" customWidth="1"/>
    <col min="3" max="3" width="4.26953125" bestFit="1" customWidth="1"/>
    <col min="4" max="4" width="3.90625" bestFit="1" customWidth="1"/>
    <col min="5" max="6" width="5" bestFit="1" customWidth="1"/>
    <col min="7" max="7" width="3.90625" bestFit="1" customWidth="1"/>
    <col min="8" max="9" width="5" bestFit="1" customWidth="1"/>
    <col min="10" max="10" width="5.81640625" bestFit="1" customWidth="1"/>
    <col min="11" max="11" width="4.36328125" bestFit="1" customWidth="1"/>
    <col min="14" max="14" width="9.81640625" bestFit="1" customWidth="1"/>
    <col min="15" max="23" width="4.90625" customWidth="1"/>
    <col min="25" max="25" width="7.453125" bestFit="1" customWidth="1"/>
    <col min="26" max="26" width="9.36328125" bestFit="1" customWidth="1"/>
    <col min="27" max="27" width="6.453125" bestFit="1" customWidth="1"/>
  </cols>
  <sheetData>
    <row r="1" spans="1:27" ht="18.5" x14ac:dyDescent="0.35">
      <c r="A1" s="75">
        <v>46296</v>
      </c>
      <c r="B1" s="83" t="s">
        <v>0</v>
      </c>
      <c r="C1" s="83"/>
      <c r="D1" s="83"/>
      <c r="E1" s="83"/>
      <c r="F1" s="83"/>
      <c r="G1" s="83"/>
      <c r="H1" s="83"/>
      <c r="I1" s="83"/>
      <c r="J1" s="83"/>
      <c r="M1" s="1"/>
      <c r="N1" s="83" t="s">
        <v>1</v>
      </c>
      <c r="O1" s="83"/>
      <c r="P1" s="83"/>
      <c r="Q1" s="83"/>
      <c r="R1" s="83"/>
      <c r="S1" s="83"/>
      <c r="T1" s="83"/>
      <c r="U1" s="83"/>
      <c r="V1" s="83"/>
    </row>
    <row r="2" spans="1:27" x14ac:dyDescent="0.35">
      <c r="A2" s="1"/>
      <c r="B2" s="83"/>
      <c r="C2" s="83"/>
      <c r="D2" s="83"/>
      <c r="E2" s="83"/>
      <c r="F2" s="83"/>
      <c r="G2" s="83"/>
      <c r="H2" s="83"/>
      <c r="I2" s="83"/>
      <c r="J2" s="83"/>
      <c r="M2" s="1"/>
      <c r="N2" s="83"/>
      <c r="O2" s="83"/>
      <c r="P2" s="83"/>
      <c r="Q2" s="83"/>
      <c r="R2" s="83"/>
      <c r="S2" s="83"/>
      <c r="T2" s="83"/>
      <c r="U2" s="83"/>
      <c r="V2" s="83"/>
      <c r="Y2" s="88" t="s">
        <v>19</v>
      </c>
      <c r="Z2" s="88"/>
      <c r="AA2" s="88"/>
    </row>
    <row r="3" spans="1:27" ht="14.5" customHeight="1" thickBot="1" x14ac:dyDescent="0.4">
      <c r="A3" s="1"/>
      <c r="B3" s="83"/>
      <c r="C3" s="83"/>
      <c r="D3" s="83"/>
      <c r="E3" s="83"/>
      <c r="F3" s="83"/>
      <c r="G3" s="83"/>
      <c r="H3" s="83"/>
      <c r="I3" s="83"/>
      <c r="J3" s="83"/>
      <c r="M3" s="1"/>
      <c r="N3" s="83"/>
      <c r="O3" s="83"/>
      <c r="P3" s="83"/>
      <c r="Q3" s="83"/>
      <c r="R3" s="83"/>
      <c r="S3" s="83"/>
      <c r="T3" s="83"/>
      <c r="U3" s="83"/>
      <c r="V3" s="83"/>
      <c r="Y3" s="88"/>
      <c r="Z3" s="88"/>
      <c r="AA3" s="88"/>
    </row>
    <row r="4" spans="1:27" ht="14.5" customHeight="1" thickBot="1" x14ac:dyDescent="0.4">
      <c r="A4" s="1"/>
      <c r="B4" s="84"/>
      <c r="C4" s="84"/>
      <c r="D4" s="84"/>
      <c r="E4" s="84"/>
      <c r="F4" s="84"/>
      <c r="G4" s="84"/>
      <c r="H4" s="84"/>
      <c r="I4" s="84"/>
      <c r="J4" s="84"/>
      <c r="M4" s="1"/>
      <c r="N4" s="84"/>
      <c r="O4" s="84"/>
      <c r="P4" s="84"/>
      <c r="Q4" s="84"/>
      <c r="R4" s="84"/>
      <c r="S4" s="84"/>
      <c r="T4" s="84"/>
      <c r="U4" s="84"/>
      <c r="V4" s="84"/>
      <c r="Y4" s="29" t="s">
        <v>0</v>
      </c>
      <c r="Z4" s="4" t="s">
        <v>20</v>
      </c>
      <c r="AA4" s="5" t="s">
        <v>21</v>
      </c>
    </row>
    <row r="5" spans="1:27" x14ac:dyDescent="0.35">
      <c r="A5" s="1"/>
      <c r="B5" s="2"/>
      <c r="C5" s="3" t="s">
        <v>2</v>
      </c>
      <c r="D5" s="85" t="s">
        <v>3</v>
      </c>
      <c r="E5" s="85"/>
      <c r="F5" s="85"/>
      <c r="G5" s="85" t="s">
        <v>4</v>
      </c>
      <c r="H5" s="85"/>
      <c r="I5" s="85"/>
      <c r="J5" s="4"/>
      <c r="K5" s="5"/>
      <c r="M5" s="1"/>
      <c r="N5" s="2"/>
      <c r="O5" s="3" t="s">
        <v>2</v>
      </c>
      <c r="P5" s="85" t="s">
        <v>3</v>
      </c>
      <c r="Q5" s="85"/>
      <c r="R5" s="85"/>
      <c r="S5" s="85" t="s">
        <v>4</v>
      </c>
      <c r="T5" s="85"/>
      <c r="U5" s="85"/>
      <c r="V5" s="4"/>
      <c r="W5" s="5"/>
      <c r="Y5" s="30"/>
      <c r="Z5" s="15"/>
      <c r="AA5" s="18"/>
    </row>
    <row r="6" spans="1:27" x14ac:dyDescent="0.35">
      <c r="A6" s="6"/>
      <c r="B6" s="7" t="s">
        <v>5</v>
      </c>
      <c r="C6" s="8" t="s">
        <v>6</v>
      </c>
      <c r="D6" s="9" t="s">
        <v>7</v>
      </c>
      <c r="E6" s="9" t="s">
        <v>8</v>
      </c>
      <c r="F6" s="9" t="s">
        <v>9</v>
      </c>
      <c r="G6" s="10" t="s">
        <v>7</v>
      </c>
      <c r="H6" s="10" t="s">
        <v>10</v>
      </c>
      <c r="I6" s="10" t="s">
        <v>9</v>
      </c>
      <c r="J6" s="11" t="s">
        <v>11</v>
      </c>
      <c r="K6" s="12" t="s">
        <v>12</v>
      </c>
      <c r="L6" s="13"/>
      <c r="M6" s="6"/>
      <c r="N6" s="7" t="s">
        <v>5</v>
      </c>
      <c r="O6" s="8" t="s">
        <v>6</v>
      </c>
      <c r="P6" s="9" t="s">
        <v>7</v>
      </c>
      <c r="Q6" s="9" t="s">
        <v>8</v>
      </c>
      <c r="R6" s="9" t="s">
        <v>9</v>
      </c>
      <c r="S6" s="10" t="s">
        <v>7</v>
      </c>
      <c r="T6" s="10" t="s">
        <v>10</v>
      </c>
      <c r="U6" s="10" t="s">
        <v>9</v>
      </c>
      <c r="V6" s="11" t="s">
        <v>11</v>
      </c>
      <c r="W6" s="12" t="s">
        <v>12</v>
      </c>
      <c r="Y6" s="30"/>
      <c r="Z6" s="15"/>
      <c r="AA6" s="18"/>
    </row>
    <row r="7" spans="1:27" x14ac:dyDescent="0.35">
      <c r="A7" s="14"/>
      <c r="B7" s="7" t="s">
        <v>30</v>
      </c>
      <c r="C7" s="11"/>
      <c r="D7" s="11">
        <v>10</v>
      </c>
      <c r="E7" s="11">
        <v>10</v>
      </c>
      <c r="F7" s="11">
        <v>100</v>
      </c>
      <c r="G7" s="11">
        <v>50</v>
      </c>
      <c r="H7" s="11">
        <v>0</v>
      </c>
      <c r="I7" s="11">
        <v>170</v>
      </c>
      <c r="J7" s="15">
        <f>SUM(C7:I7)/40</f>
        <v>8.5</v>
      </c>
      <c r="K7" s="12">
        <v>9</v>
      </c>
      <c r="L7" s="13"/>
      <c r="M7" s="14"/>
      <c r="N7" s="7" t="s">
        <v>30</v>
      </c>
      <c r="O7" s="11"/>
      <c r="P7" s="11">
        <v>0</v>
      </c>
      <c r="Q7" s="11">
        <v>0</v>
      </c>
      <c r="R7" s="11">
        <v>80</v>
      </c>
      <c r="S7" s="11">
        <v>50</v>
      </c>
      <c r="T7" s="11">
        <v>0</v>
      </c>
      <c r="U7" s="11">
        <v>170</v>
      </c>
      <c r="V7" s="15">
        <f>SUM(O7:U7)/40</f>
        <v>7.5</v>
      </c>
      <c r="W7" s="12">
        <v>8</v>
      </c>
      <c r="Y7" s="36">
        <f>J7</f>
        <v>8.5</v>
      </c>
      <c r="Z7" s="37">
        <f>V7</f>
        <v>7.5</v>
      </c>
      <c r="AA7" s="38">
        <f>Y7-Z7</f>
        <v>1</v>
      </c>
    </row>
    <row r="8" spans="1:27" x14ac:dyDescent="0.35">
      <c r="A8" s="14"/>
      <c r="B8" s="7" t="s">
        <v>31</v>
      </c>
      <c r="C8" s="11"/>
      <c r="D8" s="11">
        <v>0</v>
      </c>
      <c r="E8" s="11">
        <v>0</v>
      </c>
      <c r="F8" s="11">
        <v>0</v>
      </c>
      <c r="G8" s="11">
        <v>110</v>
      </c>
      <c r="H8" s="11">
        <v>100</v>
      </c>
      <c r="I8" s="11">
        <v>70</v>
      </c>
      <c r="J8" s="15">
        <f t="shared" ref="J8:J19" si="0">SUM(C8:I8)/40</f>
        <v>7</v>
      </c>
      <c r="K8" s="12">
        <v>3</v>
      </c>
      <c r="L8" s="13"/>
      <c r="M8" s="14"/>
      <c r="N8" s="7" t="s">
        <v>31</v>
      </c>
      <c r="O8" s="11"/>
      <c r="P8" s="11">
        <v>0</v>
      </c>
      <c r="Q8" s="11">
        <v>0</v>
      </c>
      <c r="R8" s="11">
        <v>0</v>
      </c>
      <c r="S8" s="11">
        <v>95</v>
      </c>
      <c r="T8" s="11">
        <v>90</v>
      </c>
      <c r="U8" s="11">
        <v>55</v>
      </c>
      <c r="V8" s="15">
        <f t="shared" ref="V8:V15" si="1">SUM(O8:U8)/40</f>
        <v>6</v>
      </c>
      <c r="W8" s="12">
        <v>2</v>
      </c>
      <c r="Y8" s="36">
        <f t="shared" ref="Y8:Y19" si="2">J8</f>
        <v>7</v>
      </c>
      <c r="Z8" s="37">
        <f t="shared" ref="Z8:Z19" si="3">V8</f>
        <v>6</v>
      </c>
      <c r="AA8" s="38">
        <f t="shared" ref="AA8:AA19" si="4">Y8-Z8</f>
        <v>1</v>
      </c>
    </row>
    <row r="9" spans="1:27" x14ac:dyDescent="0.35">
      <c r="A9" s="14"/>
      <c r="B9" s="7" t="s">
        <v>32</v>
      </c>
      <c r="C9" s="11"/>
      <c r="D9" s="11">
        <v>19</v>
      </c>
      <c r="E9" s="11">
        <v>16</v>
      </c>
      <c r="F9" s="11">
        <v>17</v>
      </c>
      <c r="G9" s="11">
        <v>41</v>
      </c>
      <c r="H9" s="11">
        <v>34</v>
      </c>
      <c r="I9" s="11">
        <v>59</v>
      </c>
      <c r="J9" s="15">
        <f t="shared" si="0"/>
        <v>4.6500000000000004</v>
      </c>
      <c r="K9" s="12">
        <v>7</v>
      </c>
      <c r="L9" s="13"/>
      <c r="M9" s="14"/>
      <c r="N9" s="7" t="s">
        <v>32</v>
      </c>
      <c r="O9" s="11"/>
      <c r="P9" s="11">
        <v>19</v>
      </c>
      <c r="Q9" s="11">
        <v>16</v>
      </c>
      <c r="R9" s="11">
        <v>17</v>
      </c>
      <c r="S9" s="11">
        <v>41</v>
      </c>
      <c r="T9" s="11">
        <v>34</v>
      </c>
      <c r="U9" s="11">
        <v>59</v>
      </c>
      <c r="V9" s="15">
        <f t="shared" si="1"/>
        <v>4.6500000000000004</v>
      </c>
      <c r="W9" s="12">
        <v>7</v>
      </c>
      <c r="Y9" s="36">
        <f t="shared" si="2"/>
        <v>4.6500000000000004</v>
      </c>
      <c r="Z9" s="37">
        <f t="shared" si="3"/>
        <v>4.6500000000000004</v>
      </c>
      <c r="AA9" s="38">
        <f t="shared" si="4"/>
        <v>0</v>
      </c>
    </row>
    <row r="10" spans="1:27" x14ac:dyDescent="0.35">
      <c r="A10" s="16"/>
      <c r="B10" s="17" t="s">
        <v>22</v>
      </c>
      <c r="C10" s="11"/>
      <c r="D10" s="11">
        <v>0</v>
      </c>
      <c r="E10" s="11">
        <v>0</v>
      </c>
      <c r="F10" s="11">
        <v>0</v>
      </c>
      <c r="G10" s="11">
        <v>12</v>
      </c>
      <c r="H10" s="11">
        <v>92</v>
      </c>
      <c r="I10" s="11">
        <v>92</v>
      </c>
      <c r="J10" s="15">
        <f t="shared" si="0"/>
        <v>4.9000000000000004</v>
      </c>
      <c r="K10" s="12">
        <v>3</v>
      </c>
      <c r="L10" s="13"/>
      <c r="M10" s="16"/>
      <c r="N10" s="17" t="s">
        <v>22</v>
      </c>
      <c r="O10" s="11"/>
      <c r="P10" s="11">
        <v>0</v>
      </c>
      <c r="Q10" s="11">
        <v>0</v>
      </c>
      <c r="R10" s="11">
        <v>0</v>
      </c>
      <c r="S10" s="11">
        <v>12</v>
      </c>
      <c r="T10" s="11">
        <v>92</v>
      </c>
      <c r="U10" s="11">
        <v>92</v>
      </c>
      <c r="V10" s="15">
        <f t="shared" si="1"/>
        <v>4.9000000000000004</v>
      </c>
      <c r="W10" s="12">
        <v>3</v>
      </c>
      <c r="Y10" s="36">
        <f t="shared" si="2"/>
        <v>4.9000000000000004</v>
      </c>
      <c r="Z10" s="37">
        <f t="shared" si="3"/>
        <v>4.9000000000000004</v>
      </c>
      <c r="AA10" s="38">
        <f t="shared" si="4"/>
        <v>0</v>
      </c>
    </row>
    <row r="11" spans="1:27" x14ac:dyDescent="0.35">
      <c r="A11" s="16"/>
      <c r="B11" s="17" t="s">
        <v>28</v>
      </c>
      <c r="C11" s="11"/>
      <c r="D11" s="11">
        <v>9</v>
      </c>
      <c r="E11" s="11">
        <v>9</v>
      </c>
      <c r="F11" s="11">
        <v>9</v>
      </c>
      <c r="G11" s="11">
        <v>50</v>
      </c>
      <c r="H11" s="11">
        <v>0</v>
      </c>
      <c r="I11" s="11">
        <v>10</v>
      </c>
      <c r="J11" s="15">
        <f t="shared" si="0"/>
        <v>2.1749999999999998</v>
      </c>
      <c r="K11" s="12">
        <v>4</v>
      </c>
      <c r="L11" s="13"/>
      <c r="M11" s="16"/>
      <c r="N11" s="17" t="s">
        <v>28</v>
      </c>
      <c r="O11" s="11"/>
      <c r="P11" s="11">
        <v>9</v>
      </c>
      <c r="Q11" s="11">
        <v>9</v>
      </c>
      <c r="R11" s="11">
        <v>9</v>
      </c>
      <c r="S11" s="11">
        <v>50</v>
      </c>
      <c r="T11" s="11">
        <v>0</v>
      </c>
      <c r="U11" s="11">
        <v>10</v>
      </c>
      <c r="V11" s="15">
        <f t="shared" si="1"/>
        <v>2.1749999999999998</v>
      </c>
      <c r="W11" s="12">
        <v>4</v>
      </c>
      <c r="Y11" s="36"/>
      <c r="Z11" s="37"/>
      <c r="AA11" s="38"/>
    </row>
    <row r="12" spans="1:27" x14ac:dyDescent="0.35">
      <c r="A12" s="16"/>
      <c r="B12" s="17" t="s">
        <v>16</v>
      </c>
      <c r="C12" s="11"/>
      <c r="D12" s="11">
        <v>730</v>
      </c>
      <c r="E12" s="11">
        <v>640</v>
      </c>
      <c r="F12" s="11">
        <v>800</v>
      </c>
      <c r="G12" s="11">
        <v>510</v>
      </c>
      <c r="H12" s="11">
        <v>380</v>
      </c>
      <c r="I12" s="11">
        <v>400</v>
      </c>
      <c r="J12" s="15">
        <f t="shared" si="0"/>
        <v>86.5</v>
      </c>
      <c r="K12" s="12">
        <v>1</v>
      </c>
      <c r="L12" s="13"/>
      <c r="M12" s="16"/>
      <c r="N12" s="17" t="s">
        <v>16</v>
      </c>
      <c r="O12" s="11"/>
      <c r="P12" s="11"/>
      <c r="Q12" s="11"/>
      <c r="R12" s="11"/>
      <c r="S12" s="11"/>
      <c r="T12" s="11"/>
      <c r="U12" s="11"/>
      <c r="V12" s="15">
        <f t="shared" si="1"/>
        <v>0</v>
      </c>
      <c r="W12" s="12"/>
      <c r="Y12" s="36"/>
      <c r="Z12" s="37"/>
      <c r="AA12" s="38"/>
    </row>
    <row r="13" spans="1:27" x14ac:dyDescent="0.35">
      <c r="A13" s="16"/>
      <c r="B13" s="17" t="s">
        <v>35</v>
      </c>
      <c r="C13" s="11"/>
      <c r="D13" s="11"/>
      <c r="E13" s="11"/>
      <c r="F13" s="11"/>
      <c r="G13" s="11"/>
      <c r="H13" s="11"/>
      <c r="I13" s="11"/>
      <c r="J13" s="15">
        <f t="shared" si="0"/>
        <v>0</v>
      </c>
      <c r="K13" s="12"/>
      <c r="L13" s="13"/>
      <c r="M13" s="16"/>
      <c r="N13" s="17" t="s">
        <v>35</v>
      </c>
      <c r="O13" s="11"/>
      <c r="P13" s="11"/>
      <c r="Q13" s="11"/>
      <c r="R13" s="11"/>
      <c r="S13" s="11"/>
      <c r="T13" s="11"/>
      <c r="U13" s="11"/>
      <c r="V13" s="15">
        <f t="shared" si="1"/>
        <v>0</v>
      </c>
      <c r="W13" s="12"/>
      <c r="Y13" s="36"/>
      <c r="Z13" s="37"/>
      <c r="AA13" s="38"/>
    </row>
    <row r="14" spans="1:27" x14ac:dyDescent="0.35">
      <c r="A14" s="16"/>
      <c r="B14" s="17" t="s">
        <v>36</v>
      </c>
      <c r="C14" s="11"/>
      <c r="D14" s="11"/>
      <c r="E14" s="11"/>
      <c r="F14" s="11"/>
      <c r="G14" s="11"/>
      <c r="H14" s="11"/>
      <c r="I14" s="11"/>
      <c r="J14" s="15">
        <f t="shared" si="0"/>
        <v>0</v>
      </c>
      <c r="K14" s="12"/>
      <c r="L14" s="13"/>
      <c r="M14" s="16"/>
      <c r="N14" s="17" t="s">
        <v>36</v>
      </c>
      <c r="O14" s="11"/>
      <c r="P14" s="11"/>
      <c r="Q14" s="11"/>
      <c r="R14" s="11"/>
      <c r="S14" s="11"/>
      <c r="T14" s="11"/>
      <c r="U14" s="11"/>
      <c r="V14" s="15">
        <f t="shared" si="1"/>
        <v>0</v>
      </c>
      <c r="W14" s="12"/>
      <c r="Y14" s="36"/>
      <c r="Z14" s="37"/>
      <c r="AA14" s="38"/>
    </row>
    <row r="15" spans="1:27" x14ac:dyDescent="0.35">
      <c r="A15" s="16"/>
      <c r="B15" s="17" t="s">
        <v>38</v>
      </c>
      <c r="C15" s="11"/>
      <c r="D15" s="11"/>
      <c r="E15" s="11"/>
      <c r="F15" s="11"/>
      <c r="G15" s="11"/>
      <c r="H15" s="11"/>
      <c r="I15" s="11"/>
      <c r="J15" s="15">
        <f t="shared" si="0"/>
        <v>0</v>
      </c>
      <c r="K15" s="12"/>
      <c r="L15" s="13"/>
      <c r="M15" s="16"/>
      <c r="N15" s="17" t="s">
        <v>38</v>
      </c>
      <c r="O15" s="11"/>
      <c r="P15" s="11"/>
      <c r="Q15" s="11"/>
      <c r="R15" s="11"/>
      <c r="S15" s="11"/>
      <c r="T15" s="11"/>
      <c r="U15" s="11"/>
      <c r="V15" s="15">
        <f t="shared" si="1"/>
        <v>0</v>
      </c>
      <c r="W15" s="12"/>
      <c r="Y15" s="36"/>
      <c r="Z15" s="37"/>
      <c r="AA15" s="38"/>
    </row>
    <row r="16" spans="1:27" x14ac:dyDescent="0.35">
      <c r="A16" s="16"/>
      <c r="B16" s="17" t="s">
        <v>35</v>
      </c>
      <c r="C16" s="11"/>
      <c r="D16" s="11"/>
      <c r="E16" s="11"/>
      <c r="F16" s="11"/>
      <c r="G16" s="11"/>
      <c r="H16" s="11"/>
      <c r="I16" s="11"/>
      <c r="J16" s="15">
        <v>0</v>
      </c>
      <c r="K16" s="12"/>
      <c r="L16" s="13"/>
      <c r="M16" s="16"/>
      <c r="N16" s="17" t="s">
        <v>35</v>
      </c>
      <c r="O16" s="11"/>
      <c r="P16" s="11"/>
      <c r="Q16" s="11"/>
      <c r="R16" s="11"/>
      <c r="S16" s="11"/>
      <c r="T16" s="11"/>
      <c r="U16" s="11"/>
      <c r="V16" s="15"/>
      <c r="W16" s="12"/>
      <c r="Y16" s="36"/>
      <c r="Z16" s="37"/>
      <c r="AA16" s="38"/>
    </row>
    <row r="17" spans="1:27" x14ac:dyDescent="0.35">
      <c r="A17" s="16"/>
      <c r="B17" s="17" t="s">
        <v>36</v>
      </c>
      <c r="C17" s="11"/>
      <c r="D17" s="11"/>
      <c r="E17" s="11"/>
      <c r="F17" s="11"/>
      <c r="G17" s="11"/>
      <c r="H17" s="11"/>
      <c r="I17" s="11"/>
      <c r="J17" s="15">
        <v>0</v>
      </c>
      <c r="K17" s="12"/>
      <c r="L17" s="13"/>
      <c r="M17" s="16"/>
      <c r="N17" s="17" t="s">
        <v>36</v>
      </c>
      <c r="O17" s="11"/>
      <c r="P17" s="11"/>
      <c r="Q17" s="11"/>
      <c r="R17" s="11"/>
      <c r="S17" s="11"/>
      <c r="T17" s="11"/>
      <c r="U17" s="11"/>
      <c r="V17" s="15"/>
      <c r="W17" s="12"/>
      <c r="Y17" s="36"/>
      <c r="Z17" s="37"/>
      <c r="AA17" s="38"/>
    </row>
    <row r="18" spans="1:27" x14ac:dyDescent="0.35">
      <c r="A18" s="16"/>
      <c r="B18" s="17" t="s">
        <v>34</v>
      </c>
      <c r="C18" s="11"/>
      <c r="D18" s="11"/>
      <c r="E18" s="11"/>
      <c r="F18" s="11"/>
      <c r="G18" s="11"/>
      <c r="H18" s="11"/>
      <c r="I18" s="11"/>
      <c r="J18" s="15">
        <v>0</v>
      </c>
      <c r="K18" s="12"/>
      <c r="L18" s="13"/>
      <c r="M18" s="16"/>
      <c r="N18" s="17" t="s">
        <v>34</v>
      </c>
      <c r="O18" s="11"/>
      <c r="P18" s="11"/>
      <c r="Q18" s="11"/>
      <c r="R18" s="11"/>
      <c r="S18" s="11"/>
      <c r="T18" s="11"/>
      <c r="U18" s="11"/>
      <c r="V18" s="15"/>
      <c r="W18" s="12"/>
      <c r="Y18" s="36"/>
      <c r="Z18" s="37"/>
      <c r="AA18" s="38"/>
    </row>
    <row r="19" spans="1:27" x14ac:dyDescent="0.35">
      <c r="A19" s="16"/>
      <c r="B19" s="17"/>
      <c r="C19" s="11"/>
      <c r="D19" s="11"/>
      <c r="E19" s="11"/>
      <c r="F19" s="11"/>
      <c r="G19" s="11"/>
      <c r="H19" s="11"/>
      <c r="I19" s="11"/>
      <c r="J19" s="15">
        <f t="shared" si="0"/>
        <v>0</v>
      </c>
      <c r="K19" s="18"/>
      <c r="M19" s="16"/>
      <c r="N19" s="17"/>
      <c r="O19" s="11"/>
      <c r="P19" s="11"/>
      <c r="Q19" s="11"/>
      <c r="R19" s="11"/>
      <c r="S19" s="11"/>
      <c r="T19" s="11"/>
      <c r="U19" s="11"/>
      <c r="V19" s="15"/>
      <c r="W19" s="18"/>
      <c r="Y19" s="36">
        <f t="shared" si="2"/>
        <v>0</v>
      </c>
      <c r="Z19" s="37">
        <f t="shared" si="3"/>
        <v>0</v>
      </c>
      <c r="AA19" s="38">
        <f t="shared" si="4"/>
        <v>0</v>
      </c>
    </row>
    <row r="20" spans="1:27" x14ac:dyDescent="0.35">
      <c r="A20" s="1"/>
      <c r="B20" s="7"/>
      <c r="C20" s="25">
        <f t="shared" ref="C20:I20" si="5">SUM(C7:C19)</f>
        <v>0</v>
      </c>
      <c r="D20" s="25">
        <f t="shared" si="5"/>
        <v>768</v>
      </c>
      <c r="E20" s="25">
        <f t="shared" si="5"/>
        <v>675</v>
      </c>
      <c r="F20" s="25">
        <f t="shared" si="5"/>
        <v>926</v>
      </c>
      <c r="G20" s="25">
        <f t="shared" si="5"/>
        <v>773</v>
      </c>
      <c r="H20" s="25">
        <f t="shared" si="5"/>
        <v>606</v>
      </c>
      <c r="I20" s="25">
        <f t="shared" si="5"/>
        <v>801</v>
      </c>
      <c r="J20" s="26">
        <f>SUM(C20:I20)</f>
        <v>4549</v>
      </c>
      <c r="K20" s="28"/>
      <c r="M20" s="1"/>
      <c r="N20" s="7"/>
      <c r="O20" s="25">
        <f t="shared" ref="O20:U20" si="6">SUM(O7:O19)</f>
        <v>0</v>
      </c>
      <c r="P20" s="25">
        <f t="shared" si="6"/>
        <v>28</v>
      </c>
      <c r="Q20" s="25">
        <f t="shared" si="6"/>
        <v>25</v>
      </c>
      <c r="R20" s="25">
        <f t="shared" si="6"/>
        <v>106</v>
      </c>
      <c r="S20" s="25">
        <f t="shared" si="6"/>
        <v>248</v>
      </c>
      <c r="T20" s="25">
        <f t="shared" si="6"/>
        <v>216</v>
      </c>
      <c r="U20" s="25">
        <f t="shared" si="6"/>
        <v>386</v>
      </c>
      <c r="V20" s="26">
        <f>SUM(O20:U20)</f>
        <v>1009</v>
      </c>
      <c r="W20" s="28"/>
      <c r="Y20" s="33">
        <f>SUM(Y7:Y19)</f>
        <v>25.049999999999997</v>
      </c>
      <c r="Z20" s="34">
        <f>SUM(Z7:Z19)</f>
        <v>23.049999999999997</v>
      </c>
      <c r="AA20" s="35">
        <f>SUM(AA7:AA19)</f>
        <v>2</v>
      </c>
    </row>
    <row r="21" spans="1:27" ht="15" thickBot="1" x14ac:dyDescent="0.4">
      <c r="A21" s="1"/>
      <c r="B21" s="20" t="s">
        <v>18</v>
      </c>
      <c r="C21" s="21">
        <f t="shared" ref="C21:I21" si="7">C20/40</f>
        <v>0</v>
      </c>
      <c r="D21" s="21">
        <f t="shared" si="7"/>
        <v>19.2</v>
      </c>
      <c r="E21" s="21">
        <f t="shared" si="7"/>
        <v>16.875</v>
      </c>
      <c r="F21" s="21">
        <f t="shared" si="7"/>
        <v>23.15</v>
      </c>
      <c r="G21" s="21">
        <f t="shared" si="7"/>
        <v>19.324999999999999</v>
      </c>
      <c r="H21" s="21">
        <f t="shared" si="7"/>
        <v>15.15</v>
      </c>
      <c r="I21" s="21">
        <f t="shared" si="7"/>
        <v>20.024999999999999</v>
      </c>
      <c r="J21" s="22">
        <f>SUM(J7:J17)</f>
        <v>113.72499999999999</v>
      </c>
      <c r="K21" s="22">
        <f>SUM(K7:K18)</f>
        <v>27</v>
      </c>
      <c r="M21" s="1"/>
      <c r="N21" s="20" t="s">
        <v>18</v>
      </c>
      <c r="O21" s="21">
        <f t="shared" ref="O21:V21" si="8">O20/40</f>
        <v>0</v>
      </c>
      <c r="P21" s="21">
        <f t="shared" si="8"/>
        <v>0.7</v>
      </c>
      <c r="Q21" s="21">
        <f t="shared" si="8"/>
        <v>0.625</v>
      </c>
      <c r="R21" s="21">
        <f t="shared" si="8"/>
        <v>2.65</v>
      </c>
      <c r="S21" s="21">
        <f t="shared" si="8"/>
        <v>6.2</v>
      </c>
      <c r="T21" s="21">
        <f t="shared" si="8"/>
        <v>5.4</v>
      </c>
      <c r="U21" s="21">
        <f t="shared" si="8"/>
        <v>9.65</v>
      </c>
      <c r="V21" s="22">
        <f t="shared" si="8"/>
        <v>25.225000000000001</v>
      </c>
      <c r="W21" s="23"/>
      <c r="Y21" s="39">
        <f>Y20/40</f>
        <v>0.62624999999999997</v>
      </c>
      <c r="Z21" s="40">
        <f>Z20/40</f>
        <v>0.57624999999999993</v>
      </c>
      <c r="AA21" s="41">
        <f>AA20/40</f>
        <v>0.05</v>
      </c>
    </row>
  </sheetData>
  <mergeCells count="7">
    <mergeCell ref="B1:J4"/>
    <mergeCell ref="N1:V4"/>
    <mergeCell ref="Y2:AA3"/>
    <mergeCell ref="D5:F5"/>
    <mergeCell ref="G5:I5"/>
    <mergeCell ref="P5:R5"/>
    <mergeCell ref="S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10-01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2026-08-01T08:40:15Z</dcterms:created>
  <dcterms:modified xsi:type="dcterms:W3CDTF">2026-10-21T11:56:38Z</dcterms:modified>
</cp:coreProperties>
</file>