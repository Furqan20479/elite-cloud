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586E97D-FD89-4FF0-B1BA-17CC15D5AE25}" xr6:coauthVersionLast="47" xr6:coauthVersionMax="47" xr10:uidLastSave="{00000000-0000-0000-0000-000000000000}"/>
  <bookViews>
    <workbookView xWindow="-110" yWindow="-110" windowWidth="19420" windowHeight="10420" tabRatio="927" activeTab="2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1" i="29" l="1"/>
  <c r="J17" i="24" l="1"/>
  <c r="J16" i="24"/>
  <c r="J14" i="24"/>
  <c r="J13" i="24"/>
  <c r="J12" i="24"/>
  <c r="J15" i="24"/>
  <c r="S8" i="22" l="1"/>
  <c r="T8" i="22"/>
  <c r="U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Z9" i="30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Z8" i="25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Y9" i="25"/>
  <c r="Y10" i="25"/>
  <c r="Y11" i="25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Y8" i="24"/>
  <c r="Y8" i="25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<sst xmlns="http://schemas.openxmlformats.org/spreadsheetml/2006/main" count="1884" uniqueCount="56">
  <si>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</si>
  <si>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</si>
  <si>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</si>
  <si>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</si>
  <si>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</si>
  <si>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</si>
  <si>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</si>
  <si>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</si>
  <si>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</si>
  <si>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</si>
  <si>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</si>
  <si>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</si>
  <si>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</si>
  <si>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</si>
  <si>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</si>
  <si>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</si>
  <si>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</si>
  <si>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</si>
  <si>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</si>
  <si>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</si>
  <si>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</si>
  <si>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</si>
  <si>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</si>
  <si>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</si>
  <si>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</si>
  <si>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</si>
  <si>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</si>
  <si>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</si>
  <si>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</si>
  <si>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</si>
  <si>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</si>
  <si>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</si>
  <si>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</si>
  <si>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</si>
  <si>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</si>
  <si>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</si>
  <si>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</si>
  <si>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</si>
  <si>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</si>
  <si>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</si>
  <si>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</si>
  <si>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</si>
  <si>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</si>
  <si>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</si>
  <si>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</si>
  <si>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</si>
  <si>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</si>
  <si>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</si>
  <si>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</si>
  <si>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</si>
  <si>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</si>
  <si>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</si>
  <si>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</si>
  <si>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</si>
  <si>
    <t>Nabbel SD</t>
  </si>
  <si>
    <t>70G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</si>
</sst>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4" fillId="5" borderId="7" xfId="0" applyFont="1" applyFill="1" applyBorder="1" applyAlignment="1">
      <alignment horizontal="center" vertical="center"/>
    </xf>
    <xf numFmtId="0" fontId="0" fillId="5" borderId="7" xfId="0" applyFill="1" applyBorder="1"/>
    <xf numFmtId="0" fontId="4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 vertical="center"/>
    </xf>
    <xf numFmtId="0" fontId="0" fillId="5" borderId="10" xfId="0" applyFill="1" applyBorder="1"/>
    <xf numFmtId="0" fontId="4" fillId="0" borderId="1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sheetPr codeName="Sheet1"/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92">
        <v>46032</v>
      </c>
      <c r="M1" s="93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L2" s="93"/>
      <c r="M2" s="93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88" t="s">
        <v>19</v>
      </c>
      <c r="Z3" s="88"/>
      <c r="AA3" s="88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88"/>
      <c r="Z4" s="88"/>
      <c r="AA4" s="88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sheetPr codeName="Sheet2"/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92">
        <v>46063</v>
      </c>
      <c r="M1" s="93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L2" s="93"/>
      <c r="M2" s="93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sheetPr codeName="Sheet3"/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sheetPr codeName="Sheet4"/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sheetPr codeName="Sheet5"/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9" t="s">
        <v>0</v>
      </c>
      <c r="C2" s="89"/>
      <c r="D2" s="89"/>
      <c r="E2" s="89"/>
      <c r="F2" s="89"/>
      <c r="G2" s="89"/>
      <c r="H2" s="89"/>
      <c r="I2" s="89"/>
      <c r="J2" s="89"/>
      <c r="K2" s="44"/>
      <c r="L2" s="44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44"/>
      <c r="B3" s="89"/>
      <c r="C3" s="89"/>
      <c r="D3" s="89"/>
      <c r="E3" s="89"/>
      <c r="F3" s="89"/>
      <c r="G3" s="89"/>
      <c r="H3" s="89"/>
      <c r="I3" s="89"/>
      <c r="J3" s="89"/>
      <c r="K3" s="44"/>
      <c r="L3" s="44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44"/>
      <c r="B4" s="89"/>
      <c r="C4" s="89"/>
      <c r="D4" s="89"/>
      <c r="E4" s="89"/>
      <c r="F4" s="89"/>
      <c r="G4" s="89"/>
      <c r="H4" s="89"/>
      <c r="I4" s="89"/>
      <c r="J4" s="89"/>
      <c r="K4" s="44"/>
      <c r="L4" s="44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customHeight="1" thickBot="1" x14ac:dyDescent="0.4">
      <c r="A5" s="44"/>
      <c r="B5" s="90"/>
      <c r="C5" s="90"/>
      <c r="D5" s="90"/>
      <c r="E5" s="90"/>
      <c r="F5" s="90"/>
      <c r="G5" s="90"/>
      <c r="H5" s="90"/>
      <c r="I5" s="90"/>
      <c r="J5" s="90"/>
      <c r="K5" s="44"/>
      <c r="L5" s="44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95" t="s">
        <v>3</v>
      </c>
      <c r="E6" s="95"/>
      <c r="F6" s="95"/>
      <c r="G6" s="95" t="s">
        <v>4</v>
      </c>
      <c r="H6" s="95"/>
      <c r="I6" s="95"/>
      <c r="J6" s="47"/>
      <c r="K6" s="48"/>
      <c r="L6" s="44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sheetPr codeName="Sheet6"/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sheetPr codeName="Sheet7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  <c r="X2" t="s">
        <v>46</v>
      </c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sheetPr codeName="Sheet8"/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sheetPr codeName="Sheet9"/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sheetPr codeName="Sheet10"/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sheetPr codeName="Sheet11"/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6"/>
      <c r="D10" s="97"/>
      <c r="E10" s="97"/>
      <c r="F10" s="97"/>
      <c r="G10" s="97"/>
      <c r="H10" s="97"/>
      <c r="I10" s="98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sheetPr codeName="Sheet12"/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sheetPr codeName="Sheet13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sheetPr codeName="Sheet14"/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sheetPr codeName="Sheet15"/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sheetPr codeName="Sheet16"/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sheetPr codeName="Sheet17"/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sheetPr codeName="Sheet18"/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sheetPr codeName="Sheet19"/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sheetPr codeName="Sheet20"/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sheetPr codeName="Sheet21"/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sheetPr codeName="Sheet22"/>
  <dimension ref="A1:AA19"/>
  <sheetViews>
    <sheetView workbookViewId="0">
      <selection activeCell="AB13" sqref="AB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135</v>
      </c>
      <c r="S9" s="11">
        <v>40</v>
      </c>
      <c r="T9" s="11">
        <v>80</v>
      </c>
      <c r="U9" s="11">
        <v>120</v>
      </c>
      <c r="V9" s="15">
        <f t="shared" ref="V9:V16" si="1">SUM(O9:U9)/40</f>
        <v>14.875</v>
      </c>
      <c r="W9" s="12">
        <v>13</v>
      </c>
      <c r="Y9" s="36">
        <f t="shared" ref="Y9:Y17" si="2">J9</f>
        <v>19.375</v>
      </c>
      <c r="Z9" s="37">
        <f t="shared" ref="Z9:Z17" si="3">V9</f>
        <v>14.875</v>
      </c>
      <c r="AA9" s="38">
        <f t="shared" ref="AA9:AA17" si="4">Y9-Z9</f>
        <v>4.5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>
        <v>1279</v>
      </c>
      <c r="Q14" s="11">
        <v>1160</v>
      </c>
      <c r="R14" s="11">
        <v>1159</v>
      </c>
      <c r="S14" s="11">
        <v>1279</v>
      </c>
      <c r="T14" s="11">
        <v>1158</v>
      </c>
      <c r="U14" s="11">
        <v>1239</v>
      </c>
      <c r="V14" s="15">
        <f t="shared" si="1"/>
        <v>181.85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1437</v>
      </c>
      <c r="Q18" s="25">
        <f t="shared" si="7"/>
        <v>1363</v>
      </c>
      <c r="R18" s="25">
        <f t="shared" si="7"/>
        <v>1360</v>
      </c>
      <c r="S18" s="25">
        <f t="shared" si="7"/>
        <v>1925</v>
      </c>
      <c r="T18" s="25">
        <f t="shared" si="7"/>
        <v>1660</v>
      </c>
      <c r="U18" s="25">
        <f t="shared" si="7"/>
        <v>2018</v>
      </c>
      <c r="V18" s="26">
        <f>SUM(O18:U18)</f>
        <v>9763</v>
      </c>
      <c r="W18" s="28"/>
      <c r="Y18" s="33">
        <f>SUM(Y8:Y17)</f>
        <v>57.075000000000003</v>
      </c>
      <c r="Z18" s="34">
        <f>SUM(Z8:Z17)</f>
        <v>62.225000000000001</v>
      </c>
      <c r="AA18" s="35">
        <f>SUM(AA8:AA17)</f>
        <v>-5.1499999999999995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35.924999999999997</v>
      </c>
      <c r="Q19" s="21">
        <f t="shared" si="9"/>
        <v>34.075000000000003</v>
      </c>
      <c r="R19" s="21">
        <f t="shared" si="9"/>
        <v>34</v>
      </c>
      <c r="S19" s="21">
        <f t="shared" si="9"/>
        <v>48.125</v>
      </c>
      <c r="T19" s="21">
        <f t="shared" si="9"/>
        <v>41.5</v>
      </c>
      <c r="U19" s="21">
        <f t="shared" si="9"/>
        <v>50.45</v>
      </c>
      <c r="V19" s="22">
        <f>SUM(V8:V16)</f>
        <v>244.07499999999999</v>
      </c>
      <c r="W19" s="23"/>
      <c r="Y19" s="39">
        <f>Y18/40</f>
        <v>1.4268750000000001</v>
      </c>
      <c r="Z19" s="40">
        <f>Z18/40</f>
        <v>1.555625</v>
      </c>
      <c r="AA19" s="41">
        <f>AA18/40</f>
        <v>-0.12874999999999998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sheetPr codeName="Sheet23"/>
  <dimension ref="A1:AA19"/>
  <sheetViews>
    <sheetView workbookViewId="0">
      <selection activeCell="AC9" sqref="AC9:AC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>
        <v>75</v>
      </c>
      <c r="Q8" s="11">
        <v>60</v>
      </c>
      <c r="R8" s="11">
        <v>65</v>
      </c>
      <c r="S8" s="11">
        <v>205</v>
      </c>
      <c r="T8" s="11">
        <v>150</v>
      </c>
      <c r="U8" s="11">
        <v>195</v>
      </c>
      <c r="V8" s="15">
        <f>SUM(O8:U8)/40</f>
        <v>18.75</v>
      </c>
      <c r="W8" s="12">
        <v>20</v>
      </c>
      <c r="Y8" s="36">
        <f>J8</f>
        <v>0</v>
      </c>
      <c r="Z8" s="37">
        <f>V8</f>
        <v>18.75</v>
      </c>
      <c r="AA8" s="38">
        <f>Y8-Z8</f>
        <v>-18.75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>
        <v>0</v>
      </c>
      <c r="Q9" s="11">
        <v>78</v>
      </c>
      <c r="R9" s="11">
        <v>120</v>
      </c>
      <c r="S9" s="11">
        <v>1</v>
      </c>
      <c r="T9" s="11">
        <v>1</v>
      </c>
      <c r="U9" s="11">
        <v>1</v>
      </c>
      <c r="V9" s="15">
        <f>SUM(O9:U9)/40</f>
        <v>5.0250000000000004</v>
      </c>
      <c r="W9" s="12">
        <v>14</v>
      </c>
      <c r="Y9" s="36">
        <f>C9</f>
        <v>0</v>
      </c>
      <c r="Z9" s="37">
        <f t="shared" ref="Z9:Z17" si="1">V9</f>
        <v>5.0250000000000004</v>
      </c>
      <c r="AA9" s="38">
        <f t="shared" ref="AA9:AA17" si="2">Y9-Z9</f>
        <v>-5.0250000000000004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10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>
        <v>24</v>
      </c>
      <c r="Q11" s="11">
        <v>64</v>
      </c>
      <c r="R11" s="11">
        <v>26</v>
      </c>
      <c r="S11" s="11">
        <v>164</v>
      </c>
      <c r="T11" s="11">
        <v>184</v>
      </c>
      <c r="U11" s="11">
        <v>212</v>
      </c>
      <c r="V11" s="15">
        <f t="shared" si="3"/>
        <v>16.850000000000001</v>
      </c>
      <c r="W11" s="12">
        <v>5</v>
      </c>
      <c r="Y11" s="36">
        <f t="shared" si="4"/>
        <v>16.850000000000001</v>
      </c>
      <c r="Z11" s="37">
        <f t="shared" si="1"/>
        <v>16.850000000000001</v>
      </c>
      <c r="AA11" s="38">
        <f t="shared" si="2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26</v>
      </c>
      <c r="R12" s="11">
        <v>63</v>
      </c>
      <c r="S12" s="11">
        <v>82</v>
      </c>
      <c r="T12" s="11">
        <v>41</v>
      </c>
      <c r="U12" s="11">
        <v>45</v>
      </c>
      <c r="V12" s="15">
        <f t="shared" si="3"/>
        <v>7.6</v>
      </c>
      <c r="W12" s="12">
        <v>9</v>
      </c>
      <c r="Y12" s="36">
        <f t="shared" si="4"/>
        <v>0</v>
      </c>
      <c r="Z12" s="37">
        <f t="shared" si="1"/>
        <v>7.6</v>
      </c>
      <c r="AA12" s="38">
        <f t="shared" si="2"/>
        <v>-7.6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280</v>
      </c>
      <c r="R14" s="11">
        <v>320</v>
      </c>
      <c r="S14" s="11">
        <v>360</v>
      </c>
      <c r="T14" s="11">
        <v>320</v>
      </c>
      <c r="U14" s="11">
        <v>460</v>
      </c>
      <c r="V14" s="15">
        <f t="shared" si="3"/>
        <v>51.5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466</v>
      </c>
      <c r="Q18" s="25">
        <f t="shared" si="7"/>
        <v>508</v>
      </c>
      <c r="R18" s="25">
        <f t="shared" si="7"/>
        <v>594</v>
      </c>
      <c r="S18" s="25">
        <f t="shared" si="7"/>
        <v>812</v>
      </c>
      <c r="T18" s="25">
        <f t="shared" si="7"/>
        <v>696</v>
      </c>
      <c r="U18" s="25">
        <f t="shared" si="7"/>
        <v>913</v>
      </c>
      <c r="V18" s="26">
        <f>SUM(O18:U18)</f>
        <v>3989</v>
      </c>
      <c r="W18" s="28"/>
      <c r="Y18" s="33">
        <f>SUM(Y8:Y17)</f>
        <v>16.850000000000001</v>
      </c>
      <c r="Z18" s="34">
        <f>SUM(Z8:Z17)</f>
        <v>48.225000000000001</v>
      </c>
      <c r="AA18" s="35">
        <f>SUM(AA8:AA17)</f>
        <v>-31.375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11.65</v>
      </c>
      <c r="Q19" s="21">
        <f t="shared" si="9"/>
        <v>12.7</v>
      </c>
      <c r="R19" s="21">
        <f t="shared" si="9"/>
        <v>14.85</v>
      </c>
      <c r="S19" s="21">
        <f t="shared" si="9"/>
        <v>20.3</v>
      </c>
      <c r="T19" s="21">
        <f t="shared" si="9"/>
        <v>17.399999999999999</v>
      </c>
      <c r="U19" s="21">
        <f t="shared" si="9"/>
        <v>22.824999999999999</v>
      </c>
      <c r="V19" s="22">
        <f t="shared" si="9"/>
        <v>99.724999999999994</v>
      </c>
      <c r="W19" s="23"/>
      <c r="Y19" s="39">
        <f>Y18/40</f>
        <v>0.42125000000000001</v>
      </c>
      <c r="Z19" s="40">
        <f>Z18/40</f>
        <v>1.2056249999999999</v>
      </c>
      <c r="AA19" s="41">
        <f>AA18/40</f>
        <v>-0.78437500000000004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sheetPr codeName="Sheet24"/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v>15</v>
      </c>
      <c r="K8" s="12">
        <v>10</v>
      </c>
      <c r="L8" s="13"/>
      <c r="M8" s="14"/>
      <c r="N8" s="7" t="s">
        <v>30</v>
      </c>
      <c r="O8" s="11"/>
      <c r="P8" s="11">
        <v>95</v>
      </c>
      <c r="Q8" s="11">
        <v>45</v>
      </c>
      <c r="R8" s="11">
        <v>150</v>
      </c>
      <c r="S8" s="11">
        <v>80</v>
      </c>
      <c r="T8" s="11">
        <v>60</v>
      </c>
      <c r="U8" s="11">
        <v>80</v>
      </c>
      <c r="V8" s="15">
        <f>SUM(O8:U8)/40</f>
        <v>12.75</v>
      </c>
      <c r="W8" s="12">
        <v>17</v>
      </c>
      <c r="Y8" s="36">
        <f>J8</f>
        <v>15</v>
      </c>
      <c r="Z8" s="37">
        <f>V8</f>
        <v>12.75</v>
      </c>
      <c r="AA8" s="38">
        <f>Y8-Z8</f>
        <v>2.25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29</v>
      </c>
      <c r="E11" s="11">
        <v>27</v>
      </c>
      <c r="F11" s="11">
        <v>41</v>
      </c>
      <c r="G11" s="11">
        <v>108</v>
      </c>
      <c r="H11" s="11">
        <v>98</v>
      </c>
      <c r="I11" s="11">
        <v>125</v>
      </c>
      <c r="J11" s="15">
        <f t="shared" si="0"/>
        <v>10.7</v>
      </c>
      <c r="K11" s="12">
        <v>10</v>
      </c>
      <c r="L11" s="13"/>
      <c r="M11" s="16"/>
      <c r="N11" s="17" t="s">
        <v>29</v>
      </c>
      <c r="O11" s="11"/>
      <c r="P11" s="11">
        <v>17</v>
      </c>
      <c r="Q11" s="11">
        <v>15</v>
      </c>
      <c r="R11" s="11">
        <v>17</v>
      </c>
      <c r="S11" s="11">
        <v>92</v>
      </c>
      <c r="T11" s="11">
        <v>82</v>
      </c>
      <c r="U11" s="11">
        <v>97</v>
      </c>
      <c r="V11" s="15">
        <f t="shared" si="1"/>
        <v>8</v>
      </c>
      <c r="W11" s="12">
        <v>8</v>
      </c>
      <c r="Y11" s="36">
        <f t="shared" si="2"/>
        <v>10.7</v>
      </c>
      <c r="Z11" s="37">
        <f t="shared" si="3"/>
        <v>8</v>
      </c>
      <c r="AA11" s="38">
        <f t="shared" si="4"/>
        <v>2.6999999999999993</v>
      </c>
    </row>
    <row r="12" spans="1:27" x14ac:dyDescent="0.35">
      <c r="A12" s="16"/>
      <c r="B12" s="17" t="s">
        <v>28</v>
      </c>
      <c r="C12" s="11"/>
      <c r="D12" s="11">
        <v>106</v>
      </c>
      <c r="E12" s="11">
        <v>90</v>
      </c>
      <c r="F12" s="11">
        <v>110</v>
      </c>
      <c r="G12" s="11">
        <v>22</v>
      </c>
      <c r="H12" s="11">
        <v>16</v>
      </c>
      <c r="I12" s="11">
        <v>30</v>
      </c>
      <c r="J12" s="15">
        <f t="shared" si="0"/>
        <v>9.35</v>
      </c>
      <c r="K12" s="12">
        <v>8</v>
      </c>
      <c r="L12" s="13"/>
      <c r="M12" s="16"/>
      <c r="N12" s="17" t="s">
        <v>28</v>
      </c>
      <c r="O12" s="11"/>
      <c r="P12" s="11">
        <v>80</v>
      </c>
      <c r="Q12" s="11">
        <v>80</v>
      </c>
      <c r="R12" s="11">
        <v>80</v>
      </c>
      <c r="S12" s="11">
        <v>12</v>
      </c>
      <c r="T12" s="11">
        <v>16</v>
      </c>
      <c r="U12" s="11">
        <v>30</v>
      </c>
      <c r="V12" s="15">
        <f t="shared" si="1"/>
        <v>7.45</v>
      </c>
      <c r="W12" s="12">
        <v>5</v>
      </c>
      <c r="Y12" s="36">
        <f t="shared" si="2"/>
        <v>9.35</v>
      </c>
      <c r="Z12" s="37">
        <f t="shared" si="3"/>
        <v>7.45</v>
      </c>
      <c r="AA12" s="38">
        <f t="shared" si="4"/>
        <v>1.8999999999999995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184</v>
      </c>
      <c r="Q14" s="11">
        <v>682</v>
      </c>
      <c r="R14" s="11">
        <v>448</v>
      </c>
      <c r="S14" s="11">
        <v>911</v>
      </c>
      <c r="T14" s="11">
        <v>768</v>
      </c>
      <c r="U14" s="11">
        <v>950</v>
      </c>
      <c r="V14" s="15">
        <f t="shared" si="1"/>
        <v>98.575000000000003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135</v>
      </c>
      <c r="E18" s="25">
        <f t="shared" si="5"/>
        <v>117</v>
      </c>
      <c r="F18" s="25">
        <f t="shared" si="5"/>
        <v>151</v>
      </c>
      <c r="G18" s="25">
        <f t="shared" si="5"/>
        <v>130</v>
      </c>
      <c r="H18" s="25">
        <f t="shared" si="5"/>
        <v>114</v>
      </c>
      <c r="I18" s="25">
        <f t="shared" si="5"/>
        <v>155</v>
      </c>
      <c r="J18" s="26">
        <f>SUM(C18:I18)</f>
        <v>802</v>
      </c>
      <c r="K18" s="28"/>
      <c r="M18" s="1"/>
      <c r="N18" s="7"/>
      <c r="O18" s="25">
        <f t="shared" ref="O18:U18" si="6">SUM(O8:O17)</f>
        <v>0</v>
      </c>
      <c r="P18" s="25">
        <f t="shared" si="6"/>
        <v>376</v>
      </c>
      <c r="Q18" s="25">
        <f t="shared" si="6"/>
        <v>822</v>
      </c>
      <c r="R18" s="25">
        <f t="shared" si="6"/>
        <v>695</v>
      </c>
      <c r="S18" s="25">
        <f t="shared" si="6"/>
        <v>1095</v>
      </c>
      <c r="T18" s="25">
        <f t="shared" si="6"/>
        <v>926</v>
      </c>
      <c r="U18" s="25">
        <f t="shared" si="6"/>
        <v>1157</v>
      </c>
      <c r="V18" s="26">
        <f>SUM(O18:U18)</f>
        <v>5071</v>
      </c>
      <c r="W18" s="28"/>
      <c r="Y18" s="33">
        <f>SUM(Y8:Y17)</f>
        <v>35.049999999999997</v>
      </c>
      <c r="Z18" s="34">
        <f>SUM(Z8:Z17)</f>
        <v>28.2</v>
      </c>
      <c r="AA18" s="35">
        <f>SUM(AA8:AA17)</f>
        <v>6.8499999999999988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3.375</v>
      </c>
      <c r="E19" s="21">
        <f t="shared" si="7"/>
        <v>2.9249999999999998</v>
      </c>
      <c r="F19" s="21">
        <f t="shared" si="7"/>
        <v>3.7749999999999999</v>
      </c>
      <c r="G19" s="21">
        <f t="shared" si="7"/>
        <v>3.25</v>
      </c>
      <c r="H19" s="21">
        <f t="shared" si="7"/>
        <v>2.85</v>
      </c>
      <c r="I19" s="21">
        <f t="shared" si="7"/>
        <v>3.875</v>
      </c>
      <c r="J19" s="22">
        <f t="shared" si="7"/>
        <v>20.05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9.4</v>
      </c>
      <c r="Q19" s="21">
        <f t="shared" si="8"/>
        <v>20.55</v>
      </c>
      <c r="R19" s="21">
        <f t="shared" si="8"/>
        <v>17.375</v>
      </c>
      <c r="S19" s="21">
        <f t="shared" si="8"/>
        <v>27.375</v>
      </c>
      <c r="T19" s="21">
        <f t="shared" si="8"/>
        <v>23.15</v>
      </c>
      <c r="U19" s="21">
        <f t="shared" si="8"/>
        <v>28.925000000000001</v>
      </c>
      <c r="V19" s="22">
        <f t="shared" si="8"/>
        <v>126.77500000000001</v>
      </c>
      <c r="W19" s="23"/>
      <c r="Y19" s="39">
        <f>Y18/40</f>
        <v>0.87624999999999997</v>
      </c>
      <c r="Z19" s="40">
        <f>Z18/40</f>
        <v>0.70499999999999996</v>
      </c>
      <c r="AA19" s="41">
        <f>AA18/40</f>
        <v>0.17124999999999996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sheetPr codeName="Sheet25"/>
  <dimension ref="A1:AA19"/>
  <sheetViews>
    <sheetView topLeftCell="A3" workbookViewId="0">
      <selection activeCell="L15" sqref="L15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/>
      <c r="K8" s="8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/>
      <c r="W8" s="8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43"/>
      <c r="D9" s="43"/>
      <c r="E9" s="43"/>
      <c r="F9" s="43"/>
      <c r="G9" s="43"/>
      <c r="H9" s="43"/>
      <c r="I9" s="43"/>
      <c r="J9" s="74"/>
      <c r="K9" s="82"/>
      <c r="L9" s="13"/>
      <c r="M9" s="14"/>
      <c r="N9" s="7" t="s">
        <v>31</v>
      </c>
      <c r="O9" s="43"/>
      <c r="P9" s="43"/>
      <c r="Q9" s="43"/>
      <c r="R9" s="43"/>
      <c r="S9" s="43"/>
      <c r="T9" s="43"/>
      <c r="U9" s="43"/>
      <c r="V9" s="74"/>
      <c r="W9" s="82"/>
      <c r="Y9" s="36">
        <f t="shared" ref="Y9:Y17" si="0">J9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32</v>
      </c>
      <c r="C10" s="43"/>
      <c r="D10" s="43"/>
      <c r="E10" s="43"/>
      <c r="F10" s="43"/>
      <c r="G10" s="43"/>
      <c r="H10" s="43"/>
      <c r="I10" s="43"/>
      <c r="J10" s="74"/>
      <c r="K10" s="82"/>
      <c r="L10" s="13"/>
      <c r="M10" s="14"/>
      <c r="N10" s="7" t="s">
        <v>32</v>
      </c>
      <c r="O10" s="43"/>
      <c r="P10" s="43"/>
      <c r="Q10" s="43"/>
      <c r="R10" s="43"/>
      <c r="S10" s="43"/>
      <c r="T10" s="43"/>
      <c r="U10" s="43"/>
      <c r="V10" s="74"/>
      <c r="W10" s="82"/>
      <c r="Y10" s="36">
        <f t="shared" si="0"/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/>
      <c r="K11" s="8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/>
      <c r="W11" s="82"/>
      <c r="Y11" s="36">
        <f t="shared" si="0"/>
        <v>0</v>
      </c>
      <c r="Z11" s="37">
        <f t="shared" si="1"/>
        <v>0</v>
      </c>
      <c r="AA11" s="38">
        <f t="shared" si="2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/>
      <c r="K12" s="8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/>
      <c r="W12" s="82"/>
      <c r="Y12" s="36">
        <f t="shared" si="0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/>
      <c r="K13" s="8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/>
      <c r="W13" s="8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/>
      <c r="K14" s="8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/>
      <c r="W14" s="8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/>
      <c r="K15" s="8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/>
      <c r="W15" s="8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/>
      <c r="K16" s="8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/>
      <c r="W16" s="8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ref="J17" si="3">SUM(C17:I17)/40</f>
        <v>0</v>
      </c>
      <c r="K17" s="83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83"/>
      <c r="Y17" s="36">
        <f t="shared" si="0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79">
        <f t="shared" ref="C18:I18" si="4">SUM(C8:C17)</f>
        <v>0</v>
      </c>
      <c r="D18" s="79">
        <f t="shared" si="4"/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80">
        <f>SUM(C18:I18)</f>
        <v>0</v>
      </c>
      <c r="K18" s="81"/>
      <c r="M18" s="1"/>
      <c r="N18" s="7"/>
      <c r="O18" s="79"/>
      <c r="P18" s="79"/>
      <c r="Q18" s="79"/>
      <c r="R18" s="79"/>
      <c r="S18" s="79"/>
      <c r="T18" s="79"/>
      <c r="U18" s="79"/>
      <c r="V18" s="80"/>
      <c r="W18" s="81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84">
        <f t="shared" ref="C19:J19" si="5">C18/40</f>
        <v>0</v>
      </c>
      <c r="D19" s="84">
        <f t="shared" si="5"/>
        <v>0</v>
      </c>
      <c r="E19" s="84">
        <f t="shared" si="5"/>
        <v>0</v>
      </c>
      <c r="F19" s="84">
        <f t="shared" si="5"/>
        <v>0</v>
      </c>
      <c r="G19" s="84">
        <f t="shared" si="5"/>
        <v>0</v>
      </c>
      <c r="H19" s="84">
        <f t="shared" si="5"/>
        <v>0</v>
      </c>
      <c r="I19" s="84">
        <f t="shared" si="5"/>
        <v>0</v>
      </c>
      <c r="J19" s="85">
        <f t="shared" si="5"/>
        <v>0</v>
      </c>
      <c r="K19" s="86"/>
      <c r="M19" s="1"/>
      <c r="N19" s="20" t="s">
        <v>18</v>
      </c>
      <c r="O19" s="84"/>
      <c r="P19" s="84"/>
      <c r="Q19" s="84"/>
      <c r="R19" s="84"/>
      <c r="S19" s="84"/>
      <c r="T19" s="84"/>
      <c r="U19" s="84"/>
      <c r="V19" s="85"/>
      <c r="W19" s="86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sheetPr codeName="Sheet26"/>
  <dimension ref="A1:AA19"/>
  <sheetViews>
    <sheetView workbookViewId="0">
      <selection activeCell="AC8" sqref="AC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130</v>
      </c>
      <c r="E8" s="11">
        <v>120</v>
      </c>
      <c r="F8" s="11">
        <v>120</v>
      </c>
      <c r="G8" s="11">
        <v>160</v>
      </c>
      <c r="H8" s="11">
        <v>120</v>
      </c>
      <c r="I8" s="11">
        <v>160</v>
      </c>
      <c r="J8" s="15">
        <f>SUM(C8:I8)/40</f>
        <v>20.25</v>
      </c>
      <c r="K8" s="12">
        <v>15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80</v>
      </c>
      <c r="S8" s="11">
        <v>120</v>
      </c>
      <c r="T8" s="11">
        <v>80</v>
      </c>
      <c r="U8" s="11">
        <v>120</v>
      </c>
      <c r="V8" s="15">
        <f>SUM(O8:U8)/40</f>
        <v>14</v>
      </c>
      <c r="W8" s="12">
        <v>13</v>
      </c>
      <c r="Y8" s="36">
        <f>J8</f>
        <v>20.25</v>
      </c>
      <c r="Z8" s="37">
        <f>V8</f>
        <v>14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>
        <v>72</v>
      </c>
      <c r="Q9" s="11">
        <v>32</v>
      </c>
      <c r="R9" s="11">
        <v>52</v>
      </c>
      <c r="S9" s="11">
        <v>70</v>
      </c>
      <c r="T9" s="11">
        <v>70</v>
      </c>
      <c r="U9" s="11">
        <v>145</v>
      </c>
      <c r="V9" s="15">
        <f t="shared" ref="V9:V16" si="1">SUM(O9:U9)/40</f>
        <v>11.025</v>
      </c>
      <c r="W9" s="12">
        <v>7</v>
      </c>
      <c r="Y9" s="36">
        <f t="shared" ref="Y9:Y17" si="2">J9</f>
        <v>0</v>
      </c>
      <c r="Z9" s="37">
        <f t="shared" ref="Z9:Z17" si="3">V9</f>
        <v>11.025</v>
      </c>
      <c r="AA9" s="38">
        <f t="shared" ref="AA9:AA17" si="4">Y9-Z9</f>
        <v>-11.025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69</v>
      </c>
      <c r="E11" s="11">
        <v>69</v>
      </c>
      <c r="F11" s="11">
        <v>72</v>
      </c>
      <c r="G11" s="11">
        <v>81</v>
      </c>
      <c r="H11" s="11">
        <v>81</v>
      </c>
      <c r="I11" s="11">
        <v>85</v>
      </c>
      <c r="J11" s="15">
        <f t="shared" si="0"/>
        <v>11.425000000000001</v>
      </c>
      <c r="K11" s="12">
        <v>6</v>
      </c>
      <c r="L11" s="13"/>
      <c r="M11" s="16"/>
      <c r="N11" s="17" t="s">
        <v>29</v>
      </c>
      <c r="O11" s="11"/>
      <c r="P11" s="11">
        <v>44</v>
      </c>
      <c r="Q11" s="11">
        <v>84</v>
      </c>
      <c r="R11" s="11">
        <v>4</v>
      </c>
      <c r="S11" s="11">
        <v>56</v>
      </c>
      <c r="T11" s="11">
        <v>96</v>
      </c>
      <c r="U11" s="11">
        <v>57</v>
      </c>
      <c r="V11" s="15">
        <f t="shared" si="1"/>
        <v>8.5250000000000004</v>
      </c>
      <c r="W11" s="12">
        <v>5</v>
      </c>
      <c r="Y11" s="36">
        <f t="shared" si="2"/>
        <v>11.425000000000001</v>
      </c>
      <c r="Z11" s="37">
        <f t="shared" si="3"/>
        <v>8.5250000000000004</v>
      </c>
      <c r="AA11" s="38">
        <f t="shared" si="4"/>
        <v>2.9000000000000004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80</v>
      </c>
      <c r="Q14" s="11">
        <v>80</v>
      </c>
      <c r="R14" s="11"/>
      <c r="S14" s="11">
        <v>120</v>
      </c>
      <c r="T14" s="11">
        <v>120</v>
      </c>
      <c r="U14" s="11">
        <v>120</v>
      </c>
      <c r="V14" s="15">
        <f t="shared" si="1"/>
        <v>13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199</v>
      </c>
      <c r="E18" s="25">
        <f t="shared" si="5"/>
        <v>189</v>
      </c>
      <c r="F18" s="25">
        <f t="shared" si="5"/>
        <v>192</v>
      </c>
      <c r="G18" s="25">
        <f t="shared" si="5"/>
        <v>241</v>
      </c>
      <c r="H18" s="25">
        <f t="shared" si="5"/>
        <v>201</v>
      </c>
      <c r="I18" s="25">
        <f t="shared" si="5"/>
        <v>245</v>
      </c>
      <c r="J18" s="26">
        <f>SUM(C18:I18)</f>
        <v>1267</v>
      </c>
      <c r="K18" s="28"/>
      <c r="M18" s="1"/>
      <c r="N18" s="7"/>
      <c r="O18" s="25">
        <f t="shared" ref="O18:U18" si="6">SUM(O8:O17)</f>
        <v>0</v>
      </c>
      <c r="P18" s="25">
        <f t="shared" si="6"/>
        <v>276</v>
      </c>
      <c r="Q18" s="25">
        <f t="shared" si="6"/>
        <v>276</v>
      </c>
      <c r="R18" s="25">
        <f t="shared" si="6"/>
        <v>136</v>
      </c>
      <c r="S18" s="25">
        <f t="shared" si="6"/>
        <v>366</v>
      </c>
      <c r="T18" s="25">
        <f t="shared" si="6"/>
        <v>366</v>
      </c>
      <c r="U18" s="25">
        <f t="shared" si="6"/>
        <v>442</v>
      </c>
      <c r="V18" s="26">
        <f>SUM(O18:U18)</f>
        <v>1862</v>
      </c>
      <c r="W18" s="28"/>
      <c r="Y18" s="33">
        <f>SUM(Y8:Y17)</f>
        <v>31.675000000000001</v>
      </c>
      <c r="Z18" s="34">
        <f>SUM(Z8:Z17)</f>
        <v>33.549999999999997</v>
      </c>
      <c r="AA18" s="35">
        <f>SUM(AA8:AA17)</f>
        <v>-1.875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4.9749999999999996</v>
      </c>
      <c r="E19" s="21">
        <f t="shared" si="7"/>
        <v>4.7249999999999996</v>
      </c>
      <c r="F19" s="21">
        <f t="shared" si="7"/>
        <v>4.8</v>
      </c>
      <c r="G19" s="21">
        <f t="shared" si="7"/>
        <v>6.0250000000000004</v>
      </c>
      <c r="H19" s="21">
        <f t="shared" si="7"/>
        <v>5.0250000000000004</v>
      </c>
      <c r="I19" s="21">
        <f t="shared" si="7"/>
        <v>6.125</v>
      </c>
      <c r="J19" s="22">
        <f t="shared" si="7"/>
        <v>31.675000000000001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6.9</v>
      </c>
      <c r="Q19" s="21">
        <f t="shared" si="8"/>
        <v>6.9</v>
      </c>
      <c r="R19" s="21">
        <f t="shared" si="8"/>
        <v>3.4</v>
      </c>
      <c r="S19" s="21">
        <f t="shared" si="8"/>
        <v>9.15</v>
      </c>
      <c r="T19" s="21">
        <f t="shared" si="8"/>
        <v>9.15</v>
      </c>
      <c r="U19" s="21">
        <f t="shared" si="8"/>
        <v>11.05</v>
      </c>
      <c r="V19" s="22">
        <f t="shared" si="8"/>
        <v>46.55</v>
      </c>
      <c r="W19" s="23"/>
      <c r="Y19" s="39">
        <f>Y18/40</f>
        <v>0.791875</v>
      </c>
      <c r="Z19" s="40">
        <f>Z18/40</f>
        <v>0.83874999999999988</v>
      </c>
      <c r="AA19" s="41">
        <f>AA18/40</f>
        <v>-4.6875E-2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sheetPr codeName="Sheet27"/>
  <dimension ref="A1:AA22"/>
  <sheetViews>
    <sheetView topLeftCell="A5" workbookViewId="0">
      <selection activeCell="M17" sqref="M1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20</v>
      </c>
      <c r="Q8" s="11">
        <v>0</v>
      </c>
      <c r="R8" s="11">
        <v>0</v>
      </c>
      <c r="S8" s="11">
        <v>40</v>
      </c>
      <c r="T8" s="11">
        <v>20</v>
      </c>
      <c r="U8" s="11">
        <v>60</v>
      </c>
      <c r="V8" s="15">
        <f>SUM(O8:U8)/40</f>
        <v>3.5</v>
      </c>
      <c r="W8" s="12">
        <v>11</v>
      </c>
      <c r="Y8" s="36">
        <f>J8</f>
        <v>0</v>
      </c>
      <c r="Z8" s="37">
        <f>V8</f>
        <v>3.5</v>
      </c>
      <c r="AA8" s="38">
        <f>Y8-Z8</f>
        <v>-3.5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20</v>
      </c>
      <c r="Q9" s="11">
        <v>20</v>
      </c>
      <c r="R9" s="11">
        <v>0</v>
      </c>
      <c r="S9" s="11">
        <v>116</v>
      </c>
      <c r="T9" s="11">
        <v>70</v>
      </c>
      <c r="U9" s="11">
        <v>292</v>
      </c>
      <c r="V9" s="15">
        <f t="shared" ref="V9:V16" si="1">SUM(O9:U9)/40</f>
        <v>12.95</v>
      </c>
      <c r="W9" s="12">
        <v>16</v>
      </c>
      <c r="Y9" s="36">
        <f t="shared" ref="Y9:Y20" si="2">J9</f>
        <v>0</v>
      </c>
      <c r="Z9" s="37">
        <f t="shared" ref="Z9:Z20" si="3">V9</f>
        <v>12.95</v>
      </c>
      <c r="AA9" s="38">
        <f t="shared" ref="AA9:AA20" si="4">Y9-Z9</f>
        <v>-12.95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20</v>
      </c>
      <c r="Q11" s="11">
        <v>20</v>
      </c>
      <c r="R11" s="11">
        <v>0</v>
      </c>
      <c r="S11" s="11">
        <v>68</v>
      </c>
      <c r="T11" s="11">
        <v>128</v>
      </c>
      <c r="U11" s="11">
        <v>59</v>
      </c>
      <c r="V11" s="15">
        <f t="shared" si="1"/>
        <v>7.375</v>
      </c>
      <c r="W11" s="12">
        <v>6</v>
      </c>
      <c r="Y11" s="36">
        <f t="shared" si="2"/>
        <v>0</v>
      </c>
      <c r="Z11" s="37">
        <f t="shared" si="3"/>
        <v>7.375</v>
      </c>
      <c r="AA11" s="38">
        <f t="shared" si="4"/>
        <v>-7.375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6</v>
      </c>
      <c r="Q12" s="11">
        <v>6</v>
      </c>
      <c r="R12" s="11">
        <v>0</v>
      </c>
      <c r="S12" s="11">
        <v>18</v>
      </c>
      <c r="T12" s="11">
        <v>24</v>
      </c>
      <c r="U12" s="11">
        <v>32</v>
      </c>
      <c r="V12" s="15">
        <f t="shared" si="1"/>
        <v>2.15</v>
      </c>
      <c r="W12" s="12">
        <v>4</v>
      </c>
      <c r="Y12" s="36">
        <f t="shared" si="2"/>
        <v>0</v>
      </c>
      <c r="Z12" s="37">
        <f t="shared" si="3"/>
        <v>2.15</v>
      </c>
      <c r="AA12" s="38">
        <f t="shared" si="4"/>
        <v>-2.15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320</v>
      </c>
      <c r="Q14" s="11">
        <v>359</v>
      </c>
      <c r="R14" s="11">
        <v>120</v>
      </c>
      <c r="S14" s="11">
        <v>440</v>
      </c>
      <c r="T14" s="11">
        <v>600</v>
      </c>
      <c r="U14" s="11">
        <v>1520</v>
      </c>
      <c r="V14" s="15">
        <f t="shared" si="1"/>
        <v>83.974999999999994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386</v>
      </c>
      <c r="Q21" s="25">
        <f t="shared" si="6"/>
        <v>405</v>
      </c>
      <c r="R21" s="25">
        <f t="shared" si="6"/>
        <v>120</v>
      </c>
      <c r="S21" s="25">
        <f t="shared" si="6"/>
        <v>682</v>
      </c>
      <c r="T21" s="25">
        <f t="shared" si="6"/>
        <v>842</v>
      </c>
      <c r="U21" s="25">
        <f t="shared" si="6"/>
        <v>1963</v>
      </c>
      <c r="V21" s="26">
        <f>SUM(O21:U21)</f>
        <v>4398</v>
      </c>
      <c r="W21" s="28"/>
      <c r="Y21" s="33">
        <f>SUM(Y8:Y20)</f>
        <v>0</v>
      </c>
      <c r="Z21" s="34">
        <f>SUM(Z8:Z20)</f>
        <v>25.974999999999998</v>
      </c>
      <c r="AA21" s="35">
        <f>SUM(AA8:AA20)</f>
        <v>-25.974999999999998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9.65</v>
      </c>
      <c r="Q22" s="21">
        <f t="shared" si="8"/>
        <v>10.125</v>
      </c>
      <c r="R22" s="21">
        <f t="shared" si="8"/>
        <v>3</v>
      </c>
      <c r="S22" s="21">
        <f t="shared" si="8"/>
        <v>17.05</v>
      </c>
      <c r="T22" s="21">
        <f t="shared" si="8"/>
        <v>21.05</v>
      </c>
      <c r="U22" s="21">
        <f t="shared" si="8"/>
        <v>49.075000000000003</v>
      </c>
      <c r="V22" s="22">
        <f t="shared" si="8"/>
        <v>109.95</v>
      </c>
      <c r="W22" s="23"/>
      <c r="Y22" s="39">
        <f>Y21/40</f>
        <v>0</v>
      </c>
      <c r="Z22" s="40">
        <f>Z21/40</f>
        <v>0.64937499999999992</v>
      </c>
      <c r="AA22" s="41">
        <f>AA21/40</f>
        <v>-0.64937499999999992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sheetPr codeName="Sheet28"/>
  <dimension ref="A1:AA22"/>
  <sheetViews>
    <sheetView workbookViewId="0">
      <selection activeCell="N1" sqref="N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80</v>
      </c>
      <c r="E8" s="11">
        <v>40</v>
      </c>
      <c r="F8" s="11">
        <v>0</v>
      </c>
      <c r="G8" s="11">
        <v>255</v>
      </c>
      <c r="H8" s="11">
        <v>110</v>
      </c>
      <c r="I8" s="11">
        <v>155</v>
      </c>
      <c r="J8" s="15">
        <f>SUM(C8:I8)/40</f>
        <v>16</v>
      </c>
      <c r="K8" s="12">
        <v>8</v>
      </c>
      <c r="L8" s="13"/>
      <c r="M8" s="14"/>
      <c r="N8" s="7" t="s">
        <v>30</v>
      </c>
      <c r="O8" s="11"/>
      <c r="P8" s="11">
        <v>80</v>
      </c>
      <c r="Q8" s="11">
        <v>40</v>
      </c>
      <c r="R8" s="11">
        <v>0</v>
      </c>
      <c r="S8" s="11">
        <v>245</v>
      </c>
      <c r="T8" s="11">
        <v>110</v>
      </c>
      <c r="U8" s="11">
        <v>125</v>
      </c>
      <c r="V8" s="15">
        <f>SUM(O8:U8)/40</f>
        <v>15</v>
      </c>
      <c r="W8" s="12">
        <v>8</v>
      </c>
      <c r="Y8" s="36">
        <f>J8</f>
        <v>16</v>
      </c>
      <c r="Z8" s="37">
        <f>V8</f>
        <v>15</v>
      </c>
      <c r="AA8" s="38">
        <f>Y8-Z8</f>
        <v>1</v>
      </c>
    </row>
    <row r="9" spans="1:27" x14ac:dyDescent="0.35">
      <c r="A9" s="14"/>
      <c r="B9" s="7" t="s">
        <v>31</v>
      </c>
      <c r="C9" s="11">
        <v>20</v>
      </c>
      <c r="D9" s="11">
        <v>200</v>
      </c>
      <c r="E9" s="11">
        <v>150</v>
      </c>
      <c r="F9" s="11">
        <v>0</v>
      </c>
      <c r="G9" s="11">
        <v>90</v>
      </c>
      <c r="H9" s="11">
        <v>40</v>
      </c>
      <c r="I9" s="11">
        <v>140</v>
      </c>
      <c r="J9" s="15">
        <f t="shared" ref="J9:J15" si="0">SUM(C9:I9)/40</f>
        <v>16</v>
      </c>
      <c r="K9" s="12">
        <v>25</v>
      </c>
      <c r="L9" s="13"/>
      <c r="M9" s="14"/>
      <c r="N9" s="7" t="s">
        <v>31</v>
      </c>
      <c r="O9" s="11"/>
      <c r="P9" s="11">
        <v>140</v>
      </c>
      <c r="Q9" s="11">
        <v>90</v>
      </c>
      <c r="R9" s="11">
        <v>0</v>
      </c>
      <c r="S9" s="11">
        <v>70</v>
      </c>
      <c r="T9" s="11">
        <v>30</v>
      </c>
      <c r="U9" s="11">
        <v>120</v>
      </c>
      <c r="V9" s="15">
        <f t="shared" ref="V9:V16" si="1">SUM(O9:U9)/40</f>
        <v>11.25</v>
      </c>
      <c r="W9" s="12">
        <v>22</v>
      </c>
      <c r="Y9" s="36">
        <f t="shared" ref="Y9:Y17" si="2">J9</f>
        <v>16</v>
      </c>
      <c r="Z9" s="37">
        <f t="shared" ref="Z9:Z17" si="3">V9</f>
        <v>11.25</v>
      </c>
      <c r="AA9" s="38">
        <f t="shared" ref="AA9:AA17" si="4">Y9-Z9</f>
        <v>4.75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72</v>
      </c>
      <c r="H11" s="11">
        <v>67</v>
      </c>
      <c r="I11" s="11">
        <v>109</v>
      </c>
      <c r="J11" s="15">
        <f t="shared" si="0"/>
        <v>6.8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12</v>
      </c>
      <c r="R11" s="11">
        <v>0</v>
      </c>
      <c r="S11" s="11">
        <v>72</v>
      </c>
      <c r="T11" s="11">
        <v>67</v>
      </c>
      <c r="U11" s="11">
        <v>109</v>
      </c>
      <c r="V11" s="15">
        <f t="shared" si="1"/>
        <v>6.8</v>
      </c>
      <c r="W11" s="12">
        <v>5</v>
      </c>
      <c r="Y11" s="36">
        <f t="shared" si="2"/>
        <v>6.8</v>
      </c>
      <c r="Z11" s="37">
        <f t="shared" si="3"/>
        <v>6.8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34</v>
      </c>
      <c r="E12" s="11">
        <v>34</v>
      </c>
      <c r="F12" s="11">
        <v>0</v>
      </c>
      <c r="G12" s="11">
        <v>51</v>
      </c>
      <c r="H12" s="11">
        <v>42</v>
      </c>
      <c r="I12" s="11">
        <v>31</v>
      </c>
      <c r="J12" s="15">
        <f t="shared" si="0"/>
        <v>4.8</v>
      </c>
      <c r="K12" s="12">
        <v>7</v>
      </c>
      <c r="L12" s="13"/>
      <c r="M12" s="16"/>
      <c r="N12" s="17" t="s">
        <v>28</v>
      </c>
      <c r="O12" s="11"/>
      <c r="P12" s="11">
        <v>34</v>
      </c>
      <c r="Q12" s="11">
        <v>34</v>
      </c>
      <c r="R12" s="11">
        <v>0</v>
      </c>
      <c r="S12" s="11">
        <v>51</v>
      </c>
      <c r="T12" s="11">
        <v>42</v>
      </c>
      <c r="U12" s="11">
        <v>31</v>
      </c>
      <c r="V12" s="15">
        <f t="shared" si="1"/>
        <v>4.8</v>
      </c>
      <c r="W12" s="12">
        <v>7</v>
      </c>
      <c r="X12" s="87"/>
      <c r="Y12" s="36">
        <f t="shared" si="2"/>
        <v>4.8</v>
      </c>
      <c r="Z12" s="37">
        <f t="shared" si="3"/>
        <v>4.8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160</v>
      </c>
      <c r="Q14" s="11">
        <v>275</v>
      </c>
      <c r="R14" s="11">
        <v>0</v>
      </c>
      <c r="S14" s="11">
        <v>61</v>
      </c>
      <c r="T14" s="11">
        <v>279</v>
      </c>
      <c r="U14" s="11">
        <v>480</v>
      </c>
      <c r="V14" s="15">
        <f t="shared" si="1"/>
        <v>31.375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20</v>
      </c>
      <c r="D21" s="25">
        <f t="shared" si="5"/>
        <v>326</v>
      </c>
      <c r="E21" s="25">
        <f t="shared" si="5"/>
        <v>236</v>
      </c>
      <c r="F21" s="25">
        <f t="shared" si="5"/>
        <v>0</v>
      </c>
      <c r="G21" s="25">
        <f t="shared" si="5"/>
        <v>468</v>
      </c>
      <c r="H21" s="25">
        <f t="shared" si="5"/>
        <v>259</v>
      </c>
      <c r="I21" s="25">
        <f t="shared" si="5"/>
        <v>435</v>
      </c>
      <c r="J21" s="26">
        <f>SUM(C21:I21)</f>
        <v>1744</v>
      </c>
      <c r="K21" s="28"/>
      <c r="M21" s="1"/>
      <c r="N21" s="7"/>
      <c r="O21" s="25">
        <f t="shared" ref="O21:U21" si="6">SUM(O8:O17)</f>
        <v>0</v>
      </c>
      <c r="P21" s="25">
        <f t="shared" si="6"/>
        <v>426</v>
      </c>
      <c r="Q21" s="25">
        <f t="shared" si="6"/>
        <v>451</v>
      </c>
      <c r="R21" s="25">
        <f t="shared" si="6"/>
        <v>0</v>
      </c>
      <c r="S21" s="25">
        <f t="shared" si="6"/>
        <v>499</v>
      </c>
      <c r="T21" s="25">
        <f t="shared" si="6"/>
        <v>528</v>
      </c>
      <c r="U21" s="25">
        <f t="shared" si="6"/>
        <v>865</v>
      </c>
      <c r="V21" s="26">
        <f>SUM(O21:U21)</f>
        <v>2769</v>
      </c>
      <c r="W21" s="28"/>
      <c r="Y21" s="33">
        <f>SUM(Y8:Y17)</f>
        <v>43.599999999999994</v>
      </c>
      <c r="Z21" s="34">
        <f>SUM(Z8:Z17)</f>
        <v>37.849999999999994</v>
      </c>
      <c r="AA21" s="35">
        <f>SUM(AA8:AA17)</f>
        <v>5.75</v>
      </c>
    </row>
    <row r="22" spans="1:27" ht="15" thickBot="1" x14ac:dyDescent="0.4">
      <c r="A22" s="1"/>
      <c r="B22" s="20" t="s">
        <v>18</v>
      </c>
      <c r="C22" s="21">
        <f t="shared" ref="C22:I22" si="7">C21/40</f>
        <v>0.5</v>
      </c>
      <c r="D22" s="21">
        <f t="shared" si="7"/>
        <v>8.15</v>
      </c>
      <c r="E22" s="21">
        <f t="shared" si="7"/>
        <v>5.9</v>
      </c>
      <c r="F22" s="21">
        <f t="shared" si="7"/>
        <v>0</v>
      </c>
      <c r="G22" s="21">
        <f t="shared" si="7"/>
        <v>11.7</v>
      </c>
      <c r="H22" s="21">
        <f t="shared" si="7"/>
        <v>6.4749999999999996</v>
      </c>
      <c r="I22" s="21">
        <f t="shared" si="7"/>
        <v>10.875</v>
      </c>
      <c r="J22" s="22">
        <f>SUM(J8:J20)</f>
        <v>43.599999999999994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10.65</v>
      </c>
      <c r="Q22" s="21">
        <f t="shared" si="8"/>
        <v>11.275</v>
      </c>
      <c r="R22" s="21">
        <f t="shared" si="8"/>
        <v>0</v>
      </c>
      <c r="S22" s="21">
        <f t="shared" si="8"/>
        <v>12.475</v>
      </c>
      <c r="T22" s="21">
        <f t="shared" si="8"/>
        <v>13.2</v>
      </c>
      <c r="U22" s="21">
        <f t="shared" si="8"/>
        <v>21.625</v>
      </c>
      <c r="V22" s="22">
        <f t="shared" si="8"/>
        <v>69.224999999999994</v>
      </c>
      <c r="W22" s="23"/>
      <c r="Y22" s="39">
        <f>Y21/40</f>
        <v>1.0899999999999999</v>
      </c>
      <c r="Z22" s="40">
        <f>Z21/40</f>
        <v>0.94624999999999981</v>
      </c>
      <c r="AA22" s="41">
        <f>AA21/40</f>
        <v>0.14374999999999999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sheetPr codeName="Sheet29"/>
  <dimension ref="A1:AA22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2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>
        <v>60</v>
      </c>
      <c r="Q8" s="11">
        <v>70</v>
      </c>
      <c r="R8" s="11">
        <v>0</v>
      </c>
      <c r="S8" s="11">
        <v>0</v>
      </c>
      <c r="T8" s="11">
        <v>90</v>
      </c>
      <c r="U8" s="11">
        <v>330</v>
      </c>
      <c r="V8" s="15">
        <f>SUM(O8:U8)/40</f>
        <v>13.75</v>
      </c>
      <c r="W8" s="12">
        <v>14</v>
      </c>
      <c r="Y8" s="36">
        <f>J8</f>
        <v>0</v>
      </c>
      <c r="Z8" s="37">
        <f>V8</f>
        <v>13.75</v>
      </c>
      <c r="AA8" s="38">
        <f>Y8-Z8</f>
        <v>-13.75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>
        <v>82</v>
      </c>
      <c r="Q9" s="11">
        <v>86</v>
      </c>
      <c r="R9" s="11">
        <v>6</v>
      </c>
      <c r="S9" s="11">
        <v>30</v>
      </c>
      <c r="T9" s="11">
        <v>87</v>
      </c>
      <c r="U9" s="11">
        <v>92</v>
      </c>
      <c r="V9" s="15">
        <f t="shared" ref="V9:V20" si="1">SUM(O9:U9)/40</f>
        <v>9.5749999999999993</v>
      </c>
      <c r="W9" s="12">
        <v>15</v>
      </c>
      <c r="Y9" s="36">
        <f t="shared" ref="Y9:Y20" si="2">J9</f>
        <v>0</v>
      </c>
      <c r="Z9" s="37">
        <f t="shared" ref="Z9:Z20" si="3">V9</f>
        <v>9.5749999999999993</v>
      </c>
      <c r="AA9" s="38">
        <f t="shared" ref="AA9:AA20" si="4">Y9-Z9</f>
        <v>-9.5749999999999993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80</v>
      </c>
      <c r="V11" s="15">
        <f t="shared" si="1"/>
        <v>2</v>
      </c>
      <c r="W11" s="12">
        <v>2</v>
      </c>
      <c r="Y11" s="36">
        <f t="shared" si="2"/>
        <v>0</v>
      </c>
      <c r="Z11" s="37">
        <f t="shared" si="3"/>
        <v>2</v>
      </c>
      <c r="AA11" s="38">
        <f t="shared" si="4"/>
        <v>-2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47</v>
      </c>
      <c r="Q12" s="11">
        <v>30</v>
      </c>
      <c r="R12" s="11">
        <v>0</v>
      </c>
      <c r="S12" s="11">
        <v>0</v>
      </c>
      <c r="T12" s="11">
        <v>38</v>
      </c>
      <c r="U12" s="11">
        <v>63</v>
      </c>
      <c r="V12" s="15">
        <f t="shared" si="1"/>
        <v>4.45</v>
      </c>
      <c r="W12" s="12">
        <v>7</v>
      </c>
      <c r="Y12" s="36">
        <f t="shared" si="2"/>
        <v>0</v>
      </c>
      <c r="Z12" s="37">
        <f t="shared" si="3"/>
        <v>4.45</v>
      </c>
      <c r="AA12" s="38">
        <f t="shared" si="4"/>
        <v>-4.45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>
        <v>320</v>
      </c>
      <c r="U14" s="11">
        <v>1120</v>
      </c>
      <c r="V14" s="15">
        <f t="shared" si="1"/>
        <v>36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54</v>
      </c>
      <c r="O15" s="11">
        <v>4000</v>
      </c>
      <c r="P15" s="11">
        <v>1000</v>
      </c>
      <c r="Q15" s="11">
        <v>1000</v>
      </c>
      <c r="R15" s="11"/>
      <c r="S15" s="11"/>
      <c r="T15" s="11">
        <v>3200</v>
      </c>
      <c r="U15" s="11">
        <v>4800</v>
      </c>
      <c r="V15" s="15">
        <f t="shared" si="1"/>
        <v>350</v>
      </c>
      <c r="W15" s="12">
        <v>1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4000</v>
      </c>
      <c r="P21" s="25">
        <f t="shared" si="6"/>
        <v>1189</v>
      </c>
      <c r="Q21" s="25">
        <f t="shared" si="6"/>
        <v>1186</v>
      </c>
      <c r="R21" s="25">
        <f t="shared" si="6"/>
        <v>6</v>
      </c>
      <c r="S21" s="25">
        <f t="shared" si="6"/>
        <v>30</v>
      </c>
      <c r="T21" s="25">
        <f t="shared" si="6"/>
        <v>3735</v>
      </c>
      <c r="U21" s="25">
        <f t="shared" si="6"/>
        <v>6485</v>
      </c>
      <c r="V21" s="26">
        <f>SUM(O21:U21)</f>
        <v>16631</v>
      </c>
      <c r="W21" s="28"/>
      <c r="Y21" s="33">
        <f>SUM(Y8:Y20)</f>
        <v>0</v>
      </c>
      <c r="Z21" s="34">
        <f>SUM(Z8:Z20)</f>
        <v>29.774999999999999</v>
      </c>
      <c r="AA21" s="35">
        <f>SUM(AA8:AA20)</f>
        <v>-29.774999999999999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0</v>
      </c>
      <c r="K22" s="23"/>
      <c r="M22" s="1" t="s">
        <v>37</v>
      </c>
      <c r="N22" s="20" t="s">
        <v>18</v>
      </c>
      <c r="O22" s="21">
        <f t="shared" ref="O22:V22" si="8">O21/40</f>
        <v>100</v>
      </c>
      <c r="P22" s="21">
        <f t="shared" si="8"/>
        <v>29.725000000000001</v>
      </c>
      <c r="Q22" s="21">
        <f t="shared" si="8"/>
        <v>29.65</v>
      </c>
      <c r="R22" s="21">
        <f t="shared" si="8"/>
        <v>0.15</v>
      </c>
      <c r="S22" s="21">
        <f t="shared" si="8"/>
        <v>0.75</v>
      </c>
      <c r="T22" s="21">
        <f t="shared" si="8"/>
        <v>93.375</v>
      </c>
      <c r="U22" s="21">
        <f t="shared" si="8"/>
        <v>162.125</v>
      </c>
      <c r="V22" s="22">
        <f t="shared" si="8"/>
        <v>415.77499999999998</v>
      </c>
      <c r="W22" s="23"/>
      <c r="Y22" s="39">
        <f>Y21/40</f>
        <v>0</v>
      </c>
      <c r="Z22" s="40">
        <f>Z21/40</f>
        <v>0.74437500000000001</v>
      </c>
      <c r="AA22" s="41">
        <f>AA21/40</f>
        <v>-0.74437500000000001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sheetPr codeName="Sheet30"/>
  <dimension ref="A1:AA23"/>
  <sheetViews>
    <sheetView tabSelected="1" topLeftCell="A7" workbookViewId="0">
      <selection activeCell="M16" sqref="M16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9" t="s">
        <v>0</v>
      </c>
      <c r="C2" s="89"/>
      <c r="D2" s="89"/>
      <c r="E2" s="89"/>
      <c r="F2" s="89"/>
      <c r="G2" s="89"/>
      <c r="H2" s="89"/>
      <c r="I2" s="89"/>
      <c r="J2" s="89"/>
      <c r="M2" s="1"/>
      <c r="N2" s="89" t="s">
        <v>1</v>
      </c>
      <c r="O2" s="89"/>
      <c r="P2" s="89"/>
      <c r="Q2" s="89"/>
      <c r="R2" s="89"/>
      <c r="S2" s="89"/>
      <c r="T2" s="89"/>
      <c r="U2" s="89"/>
      <c r="V2" s="89"/>
    </row>
    <row r="3" spans="1:27" ht="14.5" customHeight="1" x14ac:dyDescent="0.35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 t="s">
        <v>19</v>
      </c>
      <c r="Z3" s="94"/>
      <c r="AA3" s="94"/>
    </row>
    <row r="4" spans="1:27" ht="14.5" customHeight="1" thickBot="1" x14ac:dyDescent="0.4">
      <c r="A4" s="1"/>
      <c r="B4" s="89"/>
      <c r="C4" s="89"/>
      <c r="D4" s="89"/>
      <c r="E4" s="89"/>
      <c r="F4" s="89"/>
      <c r="G4" s="89"/>
      <c r="H4" s="89"/>
      <c r="I4" s="89"/>
      <c r="J4" s="89"/>
      <c r="M4" s="1"/>
      <c r="N4" s="89"/>
      <c r="O4" s="89"/>
      <c r="P4" s="89"/>
      <c r="Q4" s="89"/>
      <c r="R4" s="89"/>
      <c r="S4" s="89"/>
      <c r="T4" s="89"/>
      <c r="U4" s="89"/>
      <c r="V4" s="89"/>
      <c r="Y4" s="94"/>
      <c r="Z4" s="94"/>
      <c r="AA4" s="94"/>
    </row>
    <row r="5" spans="1:27" ht="15" thickBot="1" x14ac:dyDescent="0.4">
      <c r="A5" s="1"/>
      <c r="B5" s="90"/>
      <c r="C5" s="90"/>
      <c r="D5" s="90"/>
      <c r="E5" s="90"/>
      <c r="F5" s="90"/>
      <c r="G5" s="90"/>
      <c r="H5" s="90"/>
      <c r="I5" s="90"/>
      <c r="J5" s="90"/>
      <c r="M5" s="1"/>
      <c r="N5" s="90"/>
      <c r="O5" s="90"/>
      <c r="P5" s="90"/>
      <c r="Q5" s="90"/>
      <c r="R5" s="90"/>
      <c r="S5" s="90"/>
      <c r="T5" s="90"/>
      <c r="U5" s="90"/>
      <c r="V5" s="90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91" t="s">
        <v>3</v>
      </c>
      <c r="E6" s="91"/>
      <c r="F6" s="91"/>
      <c r="G6" s="91" t="s">
        <v>4</v>
      </c>
      <c r="H6" s="91"/>
      <c r="I6" s="91"/>
      <c r="J6" s="4"/>
      <c r="K6" s="5"/>
      <c r="M6" s="1"/>
      <c r="N6" s="2"/>
      <c r="O6" s="3" t="s">
        <v>55</v>
      </c>
      <c r="P6" s="91" t="s">
        <v>3</v>
      </c>
      <c r="Q6" s="91"/>
      <c r="R6" s="91"/>
      <c r="S6" s="91" t="s">
        <v>4</v>
      </c>
      <c r="T6" s="91"/>
      <c r="U6" s="91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82</v>
      </c>
      <c r="E8" s="11">
        <v>70</v>
      </c>
      <c r="F8" s="11">
        <v>40</v>
      </c>
      <c r="G8" s="11">
        <v>0</v>
      </c>
      <c r="H8" s="11">
        <v>142</v>
      </c>
      <c r="I8" s="11">
        <v>122</v>
      </c>
      <c r="J8" s="15">
        <f>SUM(C8:I8)/40</f>
        <v>11.4</v>
      </c>
      <c r="K8" s="12">
        <v>29</v>
      </c>
      <c r="L8" s="13"/>
      <c r="M8" s="14"/>
      <c r="N8" s="7" t="s">
        <v>30</v>
      </c>
      <c r="O8" s="11">
        <v>336</v>
      </c>
      <c r="P8" s="11">
        <v>82</v>
      </c>
      <c r="Q8" s="11">
        <v>70</v>
      </c>
      <c r="R8" s="11">
        <v>40</v>
      </c>
      <c r="S8" s="11">
        <v>0</v>
      </c>
      <c r="T8" s="11">
        <v>142</v>
      </c>
      <c r="U8" s="11">
        <v>122</v>
      </c>
      <c r="V8" s="15">
        <f>SUM(O8:U8)/40</f>
        <v>19.8</v>
      </c>
      <c r="W8" s="12">
        <v>27</v>
      </c>
      <c r="Y8" s="36">
        <f>J8</f>
        <v>11.4</v>
      </c>
      <c r="Z8" s="37">
        <f>V8</f>
        <v>19.8</v>
      </c>
      <c r="AA8" s="38">
        <f>Y8-Z8</f>
        <v>-8.4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>
        <v>48</v>
      </c>
      <c r="P9" s="11"/>
      <c r="Q9" s="11">
        <v>80</v>
      </c>
      <c r="R9" s="11">
        <v>40</v>
      </c>
      <c r="S9" s="11">
        <v>0</v>
      </c>
      <c r="T9" s="11">
        <v>0</v>
      </c>
      <c r="U9" s="11">
        <v>40</v>
      </c>
      <c r="V9" s="15">
        <v>80</v>
      </c>
      <c r="W9" s="12">
        <v>6</v>
      </c>
      <c r="Y9" s="36">
        <f t="shared" ref="Y9:Y21" si="1">J9</f>
        <v>0</v>
      </c>
      <c r="Z9" s="37">
        <f t="shared" ref="Z9:Z21" si="2">V9</f>
        <v>80</v>
      </c>
      <c r="AA9" s="38">
        <f t="shared" ref="AA9:AA21" si="3">Y9-Z9</f>
        <v>-80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ref="V10:V18" si="4">SUM(O10:U10)/40</f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120</v>
      </c>
      <c r="Q11" s="11">
        <v>80</v>
      </c>
      <c r="R11" s="11">
        <v>0</v>
      </c>
      <c r="S11" s="11">
        <v>0</v>
      </c>
      <c r="T11" s="11">
        <v>40</v>
      </c>
      <c r="U11" s="11">
        <v>120</v>
      </c>
      <c r="V11" s="15">
        <f t="shared" si="4"/>
        <v>9</v>
      </c>
      <c r="W11" s="12">
        <v>4</v>
      </c>
      <c r="Y11" s="36">
        <f t="shared" si="1"/>
        <v>0</v>
      </c>
      <c r="Z11" s="37">
        <f t="shared" si="2"/>
        <v>9</v>
      </c>
      <c r="AA11" s="38">
        <f t="shared" si="3"/>
        <v>-9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54</v>
      </c>
      <c r="Q12" s="11">
        <v>42</v>
      </c>
      <c r="R12" s="11">
        <v>0</v>
      </c>
      <c r="S12" s="11">
        <v>0</v>
      </c>
      <c r="T12" s="11">
        <v>42</v>
      </c>
      <c r="U12" s="11">
        <v>52</v>
      </c>
      <c r="V12" s="15">
        <f t="shared" si="4"/>
        <v>4.75</v>
      </c>
      <c r="W12" s="12">
        <v>10</v>
      </c>
      <c r="Y12" s="36">
        <f t="shared" si="1"/>
        <v>0</v>
      </c>
      <c r="Z12" s="37">
        <f t="shared" si="2"/>
        <v>4.75</v>
      </c>
      <c r="AA12" s="38">
        <f t="shared" si="3"/>
        <v>-4.75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252</v>
      </c>
      <c r="P13" s="11">
        <v>494</v>
      </c>
      <c r="Q13" s="11">
        <v>294</v>
      </c>
      <c r="R13" s="11"/>
      <c r="S13" s="11"/>
      <c r="T13" s="11">
        <v>591</v>
      </c>
      <c r="U13" s="11">
        <v>1440</v>
      </c>
      <c r="V13" s="15">
        <f t="shared" si="4"/>
        <v>76.775000000000006</v>
      </c>
      <c r="W13" s="12">
        <v>12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4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4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4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4"/>
        <v>0</v>
      </c>
      <c r="W17" s="12"/>
      <c r="Y17" s="36"/>
      <c r="Z17" s="37">
        <f t="shared" si="2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/>
      <c r="Q18" s="11"/>
      <c r="R18" s="11"/>
      <c r="S18" s="11"/>
      <c r="T18" s="11"/>
      <c r="U18" s="11"/>
      <c r="V18" s="15">
        <f t="shared" si="4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1"/>
        <v>0</v>
      </c>
      <c r="Z21" s="37">
        <f t="shared" si="2"/>
        <v>0</v>
      </c>
      <c r="AA21" s="38">
        <f t="shared" si="3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82</v>
      </c>
      <c r="E22" s="25">
        <f t="shared" si="5"/>
        <v>70</v>
      </c>
      <c r="F22" s="25">
        <f t="shared" si="5"/>
        <v>40</v>
      </c>
      <c r="G22" s="25">
        <f t="shared" si="5"/>
        <v>0</v>
      </c>
      <c r="H22" s="25">
        <f t="shared" si="5"/>
        <v>142</v>
      </c>
      <c r="I22" s="25">
        <f t="shared" si="5"/>
        <v>122</v>
      </c>
      <c r="J22" s="26">
        <f>SUM(C22:I22)</f>
        <v>456</v>
      </c>
      <c r="K22" s="28"/>
      <c r="M22" s="1"/>
      <c r="N22" s="7"/>
      <c r="O22" s="25">
        <f t="shared" ref="O22:U22" si="6">SUM(O8:O21)</f>
        <v>636</v>
      </c>
      <c r="P22" s="25">
        <f t="shared" si="6"/>
        <v>750</v>
      </c>
      <c r="Q22" s="25">
        <f t="shared" si="6"/>
        <v>566</v>
      </c>
      <c r="R22" s="25">
        <f t="shared" si="6"/>
        <v>80</v>
      </c>
      <c r="S22" s="25">
        <f t="shared" si="6"/>
        <v>0</v>
      </c>
      <c r="T22" s="25">
        <f t="shared" si="6"/>
        <v>815</v>
      </c>
      <c r="U22" s="25">
        <f t="shared" si="6"/>
        <v>1774</v>
      </c>
      <c r="V22" s="26">
        <f>SUM(O22:U22)</f>
        <v>4621</v>
      </c>
      <c r="W22" s="28"/>
      <c r="Y22" s="33">
        <f>SUM(Y8:Y21)</f>
        <v>11.4</v>
      </c>
      <c r="Z22" s="34">
        <f>SUM(Z8:Z21)</f>
        <v>113.55</v>
      </c>
      <c r="AA22" s="35">
        <f>SUM(AA8:AA21)</f>
        <v>-102.15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2.0499999999999998</v>
      </c>
      <c r="E23" s="21">
        <f t="shared" si="7"/>
        <v>1.75</v>
      </c>
      <c r="F23" s="21">
        <f t="shared" si="7"/>
        <v>1</v>
      </c>
      <c r="G23" s="21">
        <f t="shared" si="7"/>
        <v>0</v>
      </c>
      <c r="H23" s="21">
        <f t="shared" si="7"/>
        <v>3.55</v>
      </c>
      <c r="I23" s="21">
        <f t="shared" si="7"/>
        <v>3.05</v>
      </c>
      <c r="J23" s="22">
        <f>SUM(J8:J20)</f>
        <v>11.4</v>
      </c>
      <c r="K23" s="22">
        <f>SUM(K8:K20)</f>
        <v>29</v>
      </c>
      <c r="M23" s="1"/>
      <c r="N23" s="20" t="s">
        <v>18</v>
      </c>
      <c r="O23" s="21">
        <f t="shared" ref="O23:V23" si="8">O22/40</f>
        <v>15.9</v>
      </c>
      <c r="P23" s="21">
        <f t="shared" si="8"/>
        <v>18.75</v>
      </c>
      <c r="Q23" s="21">
        <f t="shared" si="8"/>
        <v>14.15</v>
      </c>
      <c r="R23" s="21">
        <f t="shared" si="8"/>
        <v>2</v>
      </c>
      <c r="S23" s="21">
        <f t="shared" si="8"/>
        <v>0</v>
      </c>
      <c r="T23" s="21">
        <f t="shared" si="8"/>
        <v>20.375</v>
      </c>
      <c r="U23" s="21">
        <f t="shared" si="8"/>
        <v>44.35</v>
      </c>
      <c r="V23" s="22">
        <f t="shared" si="8"/>
        <v>115.52500000000001</v>
      </c>
      <c r="W23" s="23"/>
      <c r="Y23" s="39">
        <f>Y22/40</f>
        <v>0.28500000000000003</v>
      </c>
      <c r="Z23" s="40">
        <f>Z22/40</f>
        <v>2.8387500000000001</v>
      </c>
      <c r="AA23" s="41">
        <f>AA22/40</f>
        <v>-2.55375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sheetPr codeName="Sheet31"/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9" t="s">
        <v>0</v>
      </c>
      <c r="C1" s="89"/>
      <c r="D1" s="89"/>
      <c r="E1" s="89"/>
      <c r="F1" s="89"/>
      <c r="G1" s="89"/>
      <c r="H1" s="89"/>
      <c r="I1" s="89"/>
      <c r="J1" s="89"/>
      <c r="M1" s="1"/>
      <c r="N1" s="89" t="s">
        <v>1</v>
      </c>
      <c r="O1" s="89"/>
      <c r="P1" s="89"/>
      <c r="Q1" s="89"/>
      <c r="R1" s="89"/>
      <c r="S1" s="89"/>
      <c r="T1" s="89"/>
      <c r="U1" s="89"/>
      <c r="V1" s="89"/>
    </row>
    <row r="2" spans="1:27" x14ac:dyDescent="0.35">
      <c r="A2" s="1"/>
      <c r="B2" s="89"/>
      <c r="C2" s="89"/>
      <c r="D2" s="89"/>
      <c r="E2" s="89"/>
      <c r="F2" s="89"/>
      <c r="G2" s="89"/>
      <c r="H2" s="89"/>
      <c r="I2" s="89"/>
      <c r="J2" s="89"/>
      <c r="M2" s="1"/>
      <c r="N2" s="89"/>
      <c r="O2" s="89"/>
      <c r="P2" s="89"/>
      <c r="Q2" s="89"/>
      <c r="R2" s="89"/>
      <c r="S2" s="89"/>
      <c r="T2" s="89"/>
      <c r="U2" s="89"/>
      <c r="V2" s="89"/>
      <c r="Y2" s="94" t="s">
        <v>19</v>
      </c>
      <c r="Z2" s="94"/>
      <c r="AA2" s="94"/>
    </row>
    <row r="3" spans="1:27" ht="14.5" customHeight="1" thickBot="1" x14ac:dyDescent="0.4">
      <c r="A3" s="1"/>
      <c r="B3" s="89"/>
      <c r="C3" s="89"/>
      <c r="D3" s="89"/>
      <c r="E3" s="89"/>
      <c r="F3" s="89"/>
      <c r="G3" s="89"/>
      <c r="H3" s="89"/>
      <c r="I3" s="89"/>
      <c r="J3" s="89"/>
      <c r="M3" s="1"/>
      <c r="N3" s="89"/>
      <c r="O3" s="89"/>
      <c r="P3" s="89"/>
      <c r="Q3" s="89"/>
      <c r="R3" s="89"/>
      <c r="S3" s="89"/>
      <c r="T3" s="89"/>
      <c r="U3" s="89"/>
      <c r="V3" s="89"/>
      <c r="Y3" s="94"/>
      <c r="Z3" s="94"/>
      <c r="AA3" s="94"/>
    </row>
    <row r="4" spans="1:27" ht="14.5" customHeight="1" thickBot="1" x14ac:dyDescent="0.4">
      <c r="A4" s="1"/>
      <c r="B4" s="90"/>
      <c r="C4" s="90"/>
      <c r="D4" s="90"/>
      <c r="E4" s="90"/>
      <c r="F4" s="90"/>
      <c r="G4" s="90"/>
      <c r="H4" s="90"/>
      <c r="I4" s="90"/>
      <c r="J4" s="90"/>
      <c r="M4" s="1"/>
      <c r="N4" s="90"/>
      <c r="O4" s="90"/>
      <c r="P4" s="90"/>
      <c r="Q4" s="90"/>
      <c r="R4" s="90"/>
      <c r="S4" s="90"/>
      <c r="T4" s="90"/>
      <c r="U4" s="90"/>
      <c r="V4" s="90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91" t="s">
        <v>3</v>
      </c>
      <c r="E5" s="91"/>
      <c r="F5" s="91"/>
      <c r="G5" s="91" t="s">
        <v>4</v>
      </c>
      <c r="H5" s="91"/>
      <c r="I5" s="91"/>
      <c r="J5" s="4"/>
      <c r="K5" s="5"/>
      <c r="M5" s="1"/>
      <c r="N5" s="2"/>
      <c r="O5" s="3" t="s">
        <v>2</v>
      </c>
      <c r="P5" s="91" t="s">
        <v>3</v>
      </c>
      <c r="Q5" s="91"/>
      <c r="R5" s="91"/>
      <c r="S5" s="91" t="s">
        <v>4</v>
      </c>
      <c r="T5" s="91"/>
      <c r="U5" s="91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2026-10-31T04:26:27Z</dcterms:modified>
</cp:coreProperties>
</file>