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352FA7C7-CA52-484F-BBB2-8B4D94A19E2B}" xr6:coauthVersionLast="47" xr6:coauthVersionMax="47" xr10:uidLastSave="{00000000-0000-0000-0000-000000000000}"/>
  <bookViews>
    <workbookView xWindow="-110" yWindow="-110" windowWidth="19420" windowHeight="10420" tabRatio="927" activeTab="1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8" i="11" l="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<sst xmlns="http://schemas.openxmlformats.org/spreadsheetml/2006/main" count="1705" uniqueCount="49">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</sst>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4" fillId="0" borderId="6" xfId="0" applyFont="1" applyFill="1" applyBorder="1" applyAlignment="1">
      <alignment horizontal="center" vertical="center"/>
    </xf>
    <xf numFmtId="0" fontId="0" fillId="0" borderId="6" xfId="0" applyFill="1" applyBorder="1"/>
    <xf numFmtId="0" fontId="4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6" fontId="4" fillId="0" borderId="0" xfId="0" applyNumberFormat="1" applyFont="1" applyFill="1"/>
    <xf numFmtId="0" fontId="4" fillId="0" borderId="5" xfId="0" applyFont="1" applyFill="1" applyBorder="1"/>
    <xf numFmtId="0" fontId="4" fillId="0" borderId="0" xfId="0" applyFont="1" applyFill="1" applyAlignment="1">
      <alignment horizontal="left"/>
    </xf>
    <xf numFmtId="0" fontId="4" fillId="0" borderId="5" xfId="0" applyFont="1" applyFill="1" applyBorder="1" applyAlignment="1">
      <alignment horizontal="lef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47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/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J9" sqref="J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</v>
      </c>
      <c r="Z8" s="37">
        <f>V8</f>
        <v>0</v>
      </c>
      <c r="AA8" s="38">
        <f>Y8-Z8</f>
        <v>12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21.9</v>
      </c>
      <c r="Z9" s="37">
        <f t="shared" ref="Z9:Z17" si="3">V9</f>
        <v>0</v>
      </c>
      <c r="AA9" s="38">
        <f t="shared" ref="AA9:AA17" si="4">Y9-Z9</f>
        <v>21.9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5.75</v>
      </c>
      <c r="Z11" s="37">
        <f t="shared" si="3"/>
        <v>0</v>
      </c>
      <c r="AA11" s="38">
        <f t="shared" si="4"/>
        <v>5.75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16.7</v>
      </c>
      <c r="Z12" s="37">
        <f t="shared" si="3"/>
        <v>0</v>
      </c>
      <c r="AA12" s="38">
        <f t="shared" si="4"/>
        <v>16.7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56.349999999999994</v>
      </c>
      <c r="Z18" s="34">
        <f>SUM(Z8:Z17)</f>
        <v>0</v>
      </c>
      <c r="AA18" s="35">
        <f>SUM(AA8:AA17)</f>
        <v>56.349999999999994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1.4087499999999999</v>
      </c>
      <c r="Z19" s="40">
        <f>Z18/40</f>
        <v>0</v>
      </c>
      <c r="AA19" s="41">
        <f>AA18/40</f>
        <v>1.4087499999999999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tabSelected="1" workbookViewId="0">
      <selection activeCell="L1" sqref="L1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90"/>
      <c r="D8" s="90">
        <v>145</v>
      </c>
      <c r="E8" s="90">
        <v>60</v>
      </c>
      <c r="F8" s="90">
        <v>105</v>
      </c>
      <c r="G8" s="90">
        <v>150</v>
      </c>
      <c r="H8" s="90">
        <v>134</v>
      </c>
      <c r="I8" s="90">
        <v>120</v>
      </c>
      <c r="J8" s="91">
        <f>SUM(C8:I8)/40</f>
        <v>17.850000000000001</v>
      </c>
      <c r="K8" s="92">
        <v>13</v>
      </c>
      <c r="L8" s="93"/>
      <c r="M8" s="94"/>
      <c r="N8" s="95" t="s">
        <v>13</v>
      </c>
      <c r="O8" s="90"/>
      <c r="P8" s="90"/>
      <c r="Q8" s="90"/>
      <c r="R8" s="90"/>
      <c r="S8" s="90"/>
      <c r="T8" s="90"/>
      <c r="U8" s="90"/>
      <c r="V8" s="91">
        <f>SUM(O8:U8)/40</f>
        <v>0</v>
      </c>
      <c r="W8" s="92"/>
      <c r="Y8" s="36">
        <f>J8</f>
        <v>17.850000000000001</v>
      </c>
      <c r="Z8" s="37">
        <f>V8</f>
        <v>0</v>
      </c>
      <c r="AA8" s="38">
        <f>Y8-Z8</f>
        <v>17.850000000000001</v>
      </c>
    </row>
    <row r="9" spans="1:27" x14ac:dyDescent="0.35">
      <c r="A9" s="14"/>
      <c r="B9" s="7" t="s">
        <v>14</v>
      </c>
      <c r="C9" s="90"/>
      <c r="D9" s="90">
        <v>100</v>
      </c>
      <c r="E9" s="90">
        <v>30</v>
      </c>
      <c r="F9" s="90">
        <v>92</v>
      </c>
      <c r="G9" s="90">
        <v>92</v>
      </c>
      <c r="H9" s="90">
        <v>46</v>
      </c>
      <c r="I9" s="90">
        <v>61</v>
      </c>
      <c r="J9" s="91">
        <f t="shared" ref="J9:J17" si="0">SUM(C9:I9)/40</f>
        <v>10.525</v>
      </c>
      <c r="K9" s="92">
        <v>7</v>
      </c>
      <c r="L9" s="93"/>
      <c r="M9" s="94"/>
      <c r="N9" s="95" t="s">
        <v>14</v>
      </c>
      <c r="O9" s="90"/>
      <c r="P9" s="90"/>
      <c r="Q9" s="90"/>
      <c r="R9" s="90"/>
      <c r="S9" s="90"/>
      <c r="T9" s="90"/>
      <c r="U9" s="90"/>
      <c r="V9" s="91">
        <f t="shared" ref="V9:V17" si="1">SUM(O9:U9)/40</f>
        <v>0</v>
      </c>
      <c r="W9" s="92"/>
      <c r="Y9" s="36">
        <f t="shared" ref="Y9:Y17" si="2">J9</f>
        <v>10.525</v>
      </c>
      <c r="Z9" s="37">
        <f t="shared" ref="Z9:Z17" si="3">V9</f>
        <v>0</v>
      </c>
      <c r="AA9" s="38">
        <f t="shared" ref="AA9:AA17" si="4">Y9-Z9</f>
        <v>10.525</v>
      </c>
    </row>
    <row r="10" spans="1:27" x14ac:dyDescent="0.35">
      <c r="A10" s="14"/>
      <c r="B10" s="7" t="s">
        <v>15</v>
      </c>
      <c r="C10" s="90"/>
      <c r="D10" s="90"/>
      <c r="E10" s="90"/>
      <c r="F10" s="90"/>
      <c r="G10" s="90"/>
      <c r="H10" s="90"/>
      <c r="I10" s="90"/>
      <c r="J10" s="91">
        <f t="shared" si="0"/>
        <v>0</v>
      </c>
      <c r="K10" s="92"/>
      <c r="L10" s="93"/>
      <c r="M10" s="94"/>
      <c r="N10" s="95" t="s">
        <v>15</v>
      </c>
      <c r="O10" s="90"/>
      <c r="P10" s="90"/>
      <c r="Q10" s="90"/>
      <c r="R10" s="90"/>
      <c r="S10" s="90"/>
      <c r="T10" s="90"/>
      <c r="U10" s="90"/>
      <c r="V10" s="91">
        <f t="shared" si="1"/>
        <v>0</v>
      </c>
      <c r="W10" s="9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90"/>
      <c r="D11" s="90">
        <v>23</v>
      </c>
      <c r="E11" s="90">
        <v>17</v>
      </c>
      <c r="F11" s="90">
        <v>33</v>
      </c>
      <c r="G11" s="90">
        <v>154</v>
      </c>
      <c r="H11" s="90">
        <v>86</v>
      </c>
      <c r="I11" s="90">
        <v>113</v>
      </c>
      <c r="J11" s="91">
        <f t="shared" si="0"/>
        <v>10.65</v>
      </c>
      <c r="K11" s="92">
        <v>10</v>
      </c>
      <c r="L11" s="93"/>
      <c r="M11" s="96"/>
      <c r="N11" s="97" t="s">
        <v>29</v>
      </c>
      <c r="O11" s="90"/>
      <c r="P11" s="90"/>
      <c r="Q11" s="90"/>
      <c r="R11" s="90"/>
      <c r="S11" s="90"/>
      <c r="T11" s="90"/>
      <c r="U11" s="90"/>
      <c r="V11" s="91">
        <f t="shared" si="1"/>
        <v>0</v>
      </c>
      <c r="W11" s="92"/>
      <c r="Y11" s="36">
        <f t="shared" si="2"/>
        <v>10.65</v>
      </c>
      <c r="Z11" s="37">
        <f t="shared" si="3"/>
        <v>0</v>
      </c>
      <c r="AA11" s="38">
        <f t="shared" si="4"/>
        <v>10.65</v>
      </c>
    </row>
    <row r="12" spans="1:27" x14ac:dyDescent="0.35">
      <c r="A12" s="16"/>
      <c r="B12" s="17" t="s">
        <v>28</v>
      </c>
      <c r="C12" s="90"/>
      <c r="D12" s="90">
        <v>40</v>
      </c>
      <c r="E12" s="90">
        <v>39</v>
      </c>
      <c r="F12" s="90">
        <v>101</v>
      </c>
      <c r="G12" s="90">
        <v>101</v>
      </c>
      <c r="H12" s="90">
        <v>67</v>
      </c>
      <c r="I12" s="90">
        <v>97</v>
      </c>
      <c r="J12" s="91">
        <f t="shared" si="0"/>
        <v>11.125</v>
      </c>
      <c r="K12" s="92">
        <v>11</v>
      </c>
      <c r="L12" s="93"/>
      <c r="M12" s="96"/>
      <c r="N12" s="97" t="s">
        <v>28</v>
      </c>
      <c r="O12" s="90"/>
      <c r="P12" s="90"/>
      <c r="Q12" s="90"/>
      <c r="R12" s="90"/>
      <c r="S12" s="90"/>
      <c r="T12" s="90"/>
      <c r="U12" s="90"/>
      <c r="V12" s="91">
        <f t="shared" si="1"/>
        <v>0</v>
      </c>
      <c r="W12" s="92"/>
      <c r="Y12" s="36">
        <f t="shared" si="2"/>
        <v>11.125</v>
      </c>
      <c r="Z12" s="37">
        <f t="shared" si="3"/>
        <v>0</v>
      </c>
      <c r="AA12" s="38">
        <f t="shared" si="4"/>
        <v>11.125</v>
      </c>
    </row>
    <row r="13" spans="1:27" x14ac:dyDescent="0.35">
      <c r="A13" s="16"/>
      <c r="B13" s="17" t="s">
        <v>43</v>
      </c>
      <c r="C13" s="90"/>
      <c r="D13" s="90"/>
      <c r="E13" s="90"/>
      <c r="F13" s="90"/>
      <c r="G13" s="90"/>
      <c r="H13" s="90"/>
      <c r="I13" s="90"/>
      <c r="J13" s="91">
        <f t="shared" si="0"/>
        <v>0</v>
      </c>
      <c r="K13" s="92"/>
      <c r="L13" s="93"/>
      <c r="M13" s="96"/>
      <c r="N13" s="97" t="s">
        <v>43</v>
      </c>
      <c r="O13" s="90"/>
      <c r="P13" s="90"/>
      <c r="Q13" s="90"/>
      <c r="R13" s="90"/>
      <c r="S13" s="90"/>
      <c r="T13" s="90"/>
      <c r="U13" s="90"/>
      <c r="V13" s="91">
        <f t="shared" si="1"/>
        <v>0</v>
      </c>
      <c r="W13" s="92"/>
      <c r="Y13" s="36"/>
      <c r="Z13" s="37"/>
      <c r="AA13" s="38"/>
    </row>
    <row r="14" spans="1:27" x14ac:dyDescent="0.35">
      <c r="A14" s="16"/>
      <c r="B14" s="17" t="s">
        <v>17</v>
      </c>
      <c r="C14" s="90"/>
      <c r="D14" s="90"/>
      <c r="E14" s="90"/>
      <c r="F14" s="90"/>
      <c r="G14" s="90"/>
      <c r="H14" s="90"/>
      <c r="I14" s="90"/>
      <c r="J14" s="91">
        <f t="shared" si="0"/>
        <v>0</v>
      </c>
      <c r="K14" s="92"/>
      <c r="L14" s="93"/>
      <c r="M14" s="96"/>
      <c r="N14" s="97" t="s">
        <v>17</v>
      </c>
      <c r="O14" s="90"/>
      <c r="P14" s="90"/>
      <c r="Q14" s="90"/>
      <c r="R14" s="90"/>
      <c r="S14" s="90"/>
      <c r="T14" s="90"/>
      <c r="U14" s="90"/>
      <c r="V14" s="91">
        <f t="shared" si="1"/>
        <v>0</v>
      </c>
      <c r="W14" s="92"/>
      <c r="Y14" s="36"/>
      <c r="Z14" s="37"/>
      <c r="AA14" s="38"/>
    </row>
    <row r="15" spans="1:27" x14ac:dyDescent="0.35">
      <c r="A15" s="16"/>
      <c r="B15" s="17" t="s">
        <v>35</v>
      </c>
      <c r="C15" s="90"/>
      <c r="D15" s="90"/>
      <c r="E15" s="90"/>
      <c r="F15" s="90"/>
      <c r="G15" s="90"/>
      <c r="H15" s="90"/>
      <c r="I15" s="90"/>
      <c r="J15" s="91">
        <f t="shared" si="0"/>
        <v>0</v>
      </c>
      <c r="K15" s="92"/>
      <c r="L15" s="93"/>
      <c r="M15" s="96"/>
      <c r="N15" s="97" t="s">
        <v>35</v>
      </c>
      <c r="O15" s="90"/>
      <c r="P15" s="90"/>
      <c r="Q15" s="90"/>
      <c r="R15" s="90"/>
      <c r="S15" s="90"/>
      <c r="T15" s="90"/>
      <c r="U15" s="90"/>
      <c r="V15" s="91">
        <f t="shared" si="1"/>
        <v>0</v>
      </c>
      <c r="W15" s="92"/>
      <c r="Y15" s="36"/>
      <c r="Z15" s="37"/>
      <c r="AA15" s="38"/>
    </row>
    <row r="16" spans="1:27" x14ac:dyDescent="0.35">
      <c r="A16" s="16"/>
      <c r="B16" s="17" t="s">
        <v>36</v>
      </c>
      <c r="C16" s="90"/>
      <c r="D16" s="90"/>
      <c r="E16" s="90"/>
      <c r="F16" s="90"/>
      <c r="G16" s="90"/>
      <c r="H16" s="90"/>
      <c r="I16" s="90"/>
      <c r="J16" s="91">
        <f t="shared" si="0"/>
        <v>0</v>
      </c>
      <c r="K16" s="92"/>
      <c r="L16" s="93"/>
      <c r="M16" s="96"/>
      <c r="N16" s="97" t="s">
        <v>36</v>
      </c>
      <c r="O16" s="90"/>
      <c r="P16" s="90"/>
      <c r="Q16" s="90"/>
      <c r="R16" s="90"/>
      <c r="S16" s="90"/>
      <c r="T16" s="90"/>
      <c r="U16" s="90"/>
      <c r="V16" s="91">
        <f t="shared" si="1"/>
        <v>0</v>
      </c>
      <c r="W16" s="92"/>
      <c r="Y16" s="36"/>
      <c r="Z16" s="37"/>
      <c r="AA16" s="38"/>
    </row>
    <row r="17" spans="1:27" x14ac:dyDescent="0.35">
      <c r="A17" s="16"/>
      <c r="B17" s="17" t="s">
        <v>38</v>
      </c>
      <c r="C17" s="90"/>
      <c r="D17" s="90"/>
      <c r="E17" s="90"/>
      <c r="F17" s="90"/>
      <c r="G17" s="90"/>
      <c r="H17" s="90"/>
      <c r="I17" s="90"/>
      <c r="J17" s="91">
        <f t="shared" si="0"/>
        <v>0</v>
      </c>
      <c r="K17" s="92"/>
      <c r="L17" s="98"/>
      <c r="M17" s="96"/>
      <c r="N17" s="97" t="s">
        <v>38</v>
      </c>
      <c r="O17" s="90"/>
      <c r="P17" s="90"/>
      <c r="Q17" s="90"/>
      <c r="R17" s="90"/>
      <c r="S17" s="90"/>
      <c r="T17" s="90"/>
      <c r="U17" s="90"/>
      <c r="V17" s="91">
        <f t="shared" si="1"/>
        <v>0</v>
      </c>
      <c r="W17" s="9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50.15</v>
      </c>
      <c r="Z18" s="34">
        <f>SUM(Z8:Z17)</f>
        <v>0</v>
      </c>
      <c r="AA18" s="35">
        <f>SUM(AA8:AA17)</f>
        <v>50.15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1.2537499999999999</v>
      </c>
      <c r="Z19" s="40">
        <f>Z18/40</f>
        <v>0</v>
      </c>
      <c r="AA19" s="41">
        <f>AA18/40</f>
        <v>1.2537499999999999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43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2026-10-12T12:13:52Z</dcterms:modified>
</cp:coreProperties>
</file>