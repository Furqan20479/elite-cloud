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5E8B19D6-CAC9-4B0D-8634-E674E9F462EC}" xr6:coauthVersionLast="47" xr6:coauthVersionMax="47" xr10:uidLastSave="{00000000-0000-0000-0000-000000000000}"/>
  <bookViews>
    <workbookView xWindow="-110" yWindow="-110" windowWidth="19420" windowHeight="10420" tabRatio="927" activeTab="2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7" i="4" l="1"/>
  <c r="J17" i="5"/>
  <c r="J17" i="6"/>
  <c r="J17" i="12"/>
  <c r="J17" i="13"/>
  <c r="J17" i="14"/>
  <c r="J17" i="16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11" i="16" l="1"/>
  <c r="J9" i="16"/>
  <c r="W10" i="15" l="1"/>
  <c r="J8" i="15" l="1"/>
  <c r="J10" i="15" l="1"/>
  <c r="J19" i="11" l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Y10" i="9"/>
  <c r="Y11" i="9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9" i="9" l="1"/>
  <c r="AA9" i="9" s="1"/>
  <c r="J19" i="9"/>
  <c r="AA12" i="14"/>
  <c r="AA12" i="4"/>
  <c r="Z8" i="22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<sst xmlns="http://schemas.openxmlformats.org/spreadsheetml/2006/main" count="1706" uniqueCount="46">
  <si>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</si>
  <si>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</si>
  <si>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</si>
  <si>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</si>
  <si>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</si>
  <si>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</si>
  <si>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</si>
  <si>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</si>
  <si>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</si>
  <si>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</si>
  <si>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</si>
  <si>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</si>
  <si>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</si>
  <si>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</si>
  <si>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</si>
  <si>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</si>
  <si>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</si>
  <si>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</si>
  <si>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</si>
  <si>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</si>
  <si>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</si>
  <si>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</si>
  <si>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</si>
  <si>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</si>
  <si>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</si>
  <si>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</si>
  <si>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</si>
  <si>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</si>
  <si>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Negotiate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</si>
  <si>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</si>
  <si>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</si>
  <si>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</si>
  <si>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</si>
  <si>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</si>
  <si>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</si>
  <si>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</si>
  <si>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</si>
  <si>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</si>
  <si>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</si>
  <si>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</si>
  <si>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</si>
  <si>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</si>
  <si>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</si>
  <si>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</si>
  <si>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Aqib</t>
  </si>
  <si>
    <t xml:space="preserve">Aqib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</si>
</sst>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80">
        <v>46032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30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30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29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29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37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37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39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39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0">
        <v>46063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30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30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29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29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37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37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39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39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tabSelected="1" workbookViewId="0">
      <selection activeCell="M10" sqref="M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30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30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29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29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131</v>
      </c>
      <c r="Q18" s="25">
        <f t="shared" si="6"/>
        <v>123</v>
      </c>
      <c r="R18" s="25">
        <f t="shared" si="6"/>
        <v>176</v>
      </c>
      <c r="S18" s="25">
        <f t="shared" si="6"/>
        <v>287</v>
      </c>
      <c r="T18" s="25">
        <f t="shared" si="6"/>
        <v>155</v>
      </c>
      <c r="U18" s="25">
        <f t="shared" si="6"/>
        <v>313</v>
      </c>
      <c r="V18" s="26">
        <f>SUM(O18:U18)</f>
        <v>1185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3.2749999999999999</v>
      </c>
      <c r="Q19" s="21">
        <f t="shared" si="8"/>
        <v>3.0750000000000002</v>
      </c>
      <c r="R19" s="21">
        <f t="shared" si="8"/>
        <v>4.4000000000000004</v>
      </c>
      <c r="S19" s="21">
        <f t="shared" si="8"/>
        <v>7.1749999999999998</v>
      </c>
      <c r="T19" s="21">
        <f t="shared" si="8"/>
        <v>3.875</v>
      </c>
      <c r="U19" s="21">
        <f t="shared" si="8"/>
        <v>7.8250000000000002</v>
      </c>
      <c r="V19" s="22">
        <f t="shared" si="8"/>
        <v>29.625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/>
      <c r="Q8" s="11"/>
      <c r="R8" s="11"/>
      <c r="S8" s="11"/>
      <c r="T8" s="11"/>
      <c r="U8" s="11"/>
      <c r="V8" s="15">
        <f>SUM(O8:U8)/40</f>
        <v>2.1</v>
      </c>
      <c r="W8" s="12">
        <v>12</v>
      </c>
      <c r="Y8" s="36">
        <f>J8</f>
        <v>0</v>
      </c>
      <c r="Z8" s="37">
        <f>V8</f>
        <v>2.1</v>
      </c>
      <c r="AA8" s="38">
        <f>Y8-Z8</f>
        <v>-2.1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7" si="4">SUM(C10:I10)/40</f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30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29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4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84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84</v>
      </c>
      <c r="W18" s="28"/>
      <c r="Y18" s="33">
        <f>SUM(Y8:Y17)</f>
        <v>0</v>
      </c>
      <c r="Z18" s="34">
        <f>SUM(Z8:Z17)</f>
        <v>2.1</v>
      </c>
      <c r="AA18" s="35">
        <f>SUM(AA8:AA17)</f>
        <v>-2.1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2.1</v>
      </c>
      <c r="W19" s="23"/>
      <c r="Y19" s="39">
        <f>Y18/40</f>
        <v>0</v>
      </c>
      <c r="Z19" s="40">
        <f>Z18/40</f>
        <v>5.2500000000000005E-2</v>
      </c>
      <c r="AA19" s="41">
        <f>AA18/40</f>
        <v>-5.2500000000000005E-2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3" t="s">
        <v>3</v>
      </c>
      <c r="E6" s="83"/>
      <c r="F6" s="83"/>
      <c r="G6" s="83" t="s">
        <v>4</v>
      </c>
      <c r="H6" s="83"/>
      <c r="I6" s="83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/>
      <c r="Q8" s="11"/>
      <c r="R8" s="11"/>
      <c r="S8" s="11"/>
      <c r="T8" s="11"/>
      <c r="U8" s="11"/>
      <c r="V8" s="15">
        <f>SUM(O8:U8)/40</f>
        <v>1</v>
      </c>
      <c r="W8" s="12">
        <v>19</v>
      </c>
      <c r="Y8" s="36">
        <f>J8</f>
        <v>0</v>
      </c>
      <c r="Z8" s="37">
        <f>V8</f>
        <v>1</v>
      </c>
      <c r="AA8" s="38">
        <f>Y8-Z8</f>
        <v>-1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7" si="0">SUM(C9:I9)/40</f>
        <v>0</v>
      </c>
      <c r="K9" s="55"/>
      <c r="L9" s="56"/>
      <c r="M9" s="14"/>
      <c r="N9" s="50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16</v>
      </c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59"/>
      <c r="B11" s="60" t="s">
        <v>30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17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59"/>
      <c r="B12" s="60" t="s">
        <v>29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59"/>
      <c r="B13" s="60" t="s">
        <v>45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37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39</v>
      </c>
      <c r="C17" s="54"/>
      <c r="D17" s="54"/>
      <c r="E17" s="54"/>
      <c r="F17" s="54"/>
      <c r="G17" s="54"/>
      <c r="H17" s="54"/>
      <c r="I17" s="54"/>
      <c r="J17" s="58">
        <f t="shared" si="0"/>
        <v>0</v>
      </c>
      <c r="K17" s="61"/>
      <c r="L17" s="44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40</v>
      </c>
      <c r="W18" s="28"/>
      <c r="Y18" s="33">
        <f>SUM(Y8:Y17)</f>
        <v>0</v>
      </c>
      <c r="Z18" s="34">
        <f>SUM(Z8:Z17)</f>
        <v>1</v>
      </c>
      <c r="AA18" s="35">
        <f>SUM(AA8:AA17)</f>
        <v>-1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</v>
      </c>
      <c r="W19" s="23"/>
      <c r="Y19" s="39">
        <f>Y18/40</f>
        <v>0</v>
      </c>
      <c r="Z19" s="40">
        <f>Z18/40</f>
        <v>2.5000000000000001E-2</v>
      </c>
      <c r="AA19" s="41">
        <f>AA18/40</f>
        <v>-2.5000000000000001E-2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30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29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 t="s">
        <v>28</v>
      </c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3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6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6</v>
      </c>
      <c r="Z10" s="37">
        <f t="shared" si="3"/>
        <v>0</v>
      </c>
      <c r="AA10" s="38">
        <f t="shared" si="4"/>
        <v>6</v>
      </c>
    </row>
    <row r="11" spans="1:27" x14ac:dyDescent="0.35">
      <c r="A11" s="16"/>
      <c r="B11" s="17" t="s">
        <v>30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29</v>
      </c>
      <c r="C12" s="11"/>
      <c r="D12" s="11"/>
      <c r="E12" s="11"/>
      <c r="F12" s="11"/>
      <c r="G12" s="11"/>
      <c r="H12" s="11"/>
      <c r="I12" s="11"/>
      <c r="J12" s="15">
        <v>5</v>
      </c>
      <c r="K12" s="12"/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5</v>
      </c>
      <c r="Z12" s="37">
        <f t="shared" si="3"/>
        <v>0</v>
      </c>
      <c r="AA12" s="38">
        <f t="shared" si="4"/>
        <v>5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12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20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v>5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v>5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5</v>
      </c>
      <c r="Z17" s="37">
        <f t="shared" si="3"/>
        <v>0</v>
      </c>
      <c r="AA17" s="38">
        <f t="shared" si="4"/>
        <v>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>SUM(O8:O16)</f>
        <v>0</v>
      </c>
      <c r="P18" s="25">
        <f t="shared" ref="P18:U18" si="6">SUM(P8:P16)</f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16</v>
      </c>
      <c r="Z18" s="34">
        <f>SUM(Z8:Z17)</f>
        <v>0</v>
      </c>
      <c r="AA18" s="35">
        <f>SUM(AA8:AA17)</f>
        <v>16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48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</v>
      </c>
      <c r="Z19" s="40">
        <f>Z18/40</f>
        <v>0</v>
      </c>
      <c r="AA19" s="41">
        <f>AA18/40</f>
        <v>0.4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120</v>
      </c>
      <c r="P8" s="11"/>
      <c r="Q8" s="11"/>
      <c r="R8" s="11"/>
      <c r="S8" s="11"/>
      <c r="T8" s="11"/>
      <c r="U8" s="11"/>
      <c r="V8" s="15">
        <f>SUM(O8:U8)/40</f>
        <v>3</v>
      </c>
      <c r="W8" s="12">
        <v>11</v>
      </c>
      <c r="Y8" s="36">
        <f>J8</f>
        <v>0</v>
      </c>
      <c r="Z8" s="37">
        <f>V8</f>
        <v>3</v>
      </c>
      <c r="AA8" s="38">
        <f>Y8-Z8</f>
        <v>-3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3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14</v>
      </c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11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30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29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11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13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6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v>11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v>11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11</v>
      </c>
      <c r="Z17" s="37">
        <f t="shared" si="3"/>
        <v>0</v>
      </c>
      <c r="AA17" s="38">
        <f t="shared" si="4"/>
        <v>11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120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120</v>
      </c>
      <c r="W18" s="28"/>
      <c r="Y18" s="33">
        <f>SUM(Y8:Y17)</f>
        <v>11</v>
      </c>
      <c r="Z18" s="34">
        <f>SUM(Z8:Z17)</f>
        <v>3</v>
      </c>
      <c r="AA18" s="35">
        <f>SUM(AA8:AA17)</f>
        <v>8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30</v>
      </c>
      <c r="K19" s="23"/>
      <c r="M19" s="1"/>
      <c r="N19" s="20" t="s">
        <v>18</v>
      </c>
      <c r="O19" s="21">
        <f t="shared" ref="O19:V19" si="8">O18/40</f>
        <v>3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3</v>
      </c>
      <c r="W19" s="23"/>
      <c r="Y19" s="39">
        <f>Y18/40</f>
        <v>0.27500000000000002</v>
      </c>
      <c r="Z19" s="40">
        <f>Z18/40</f>
        <v>7.4999999999999997E-2</v>
      </c>
      <c r="AA19" s="41">
        <f>AA18/40</f>
        <v>0.2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50</v>
      </c>
      <c r="P8" s="11"/>
      <c r="Q8" s="11"/>
      <c r="R8" s="11"/>
      <c r="S8" s="11"/>
      <c r="T8" s="11"/>
      <c r="U8" s="11"/>
      <c r="V8" s="15">
        <f>SUM(O8:U8)/40</f>
        <v>1.25</v>
      </c>
      <c r="W8" s="12">
        <v>19</v>
      </c>
      <c r="Y8" s="36">
        <f>J8</f>
        <v>0</v>
      </c>
      <c r="Z8" s="37">
        <f>V8</f>
        <v>1.25</v>
      </c>
      <c r="AA8" s="38">
        <f>Y8-Z8</f>
        <v>-1.25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20</v>
      </c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11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30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29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v>192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12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10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50</v>
      </c>
      <c r="W18" s="28"/>
      <c r="Y18" s="33">
        <f>SUM(Y8:Y17)</f>
        <v>6</v>
      </c>
      <c r="Z18" s="34">
        <f>SUM(Z8:Z17)</f>
        <v>1.25</v>
      </c>
      <c r="AA18" s="35">
        <f>SUM(AA8:AA17)</f>
        <v>4.75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220</v>
      </c>
      <c r="K19" s="23"/>
      <c r="M19" s="1"/>
      <c r="N19" s="20" t="s">
        <v>18</v>
      </c>
      <c r="O19" s="21">
        <f t="shared" ref="O19:V19" si="8">O18/40</f>
        <v>1.25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1.25</v>
      </c>
      <c r="W19" s="23"/>
      <c r="Y19" s="39">
        <f>Y18/40</f>
        <v>0.15</v>
      </c>
      <c r="Z19" s="40">
        <f>Z18/40</f>
        <v>3.125E-2</v>
      </c>
      <c r="AA19" s="41">
        <f>AA18/40</f>
        <v>0.11874999999999999</v>
      </c>
    </row>
    <row r="22" spans="1:27" x14ac:dyDescent="0.35">
      <c r="J22" t="s">
        <v>40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/>
      <c r="Q8" s="11"/>
      <c r="R8" s="11"/>
      <c r="S8" s="11"/>
      <c r="T8" s="11"/>
      <c r="U8" s="11"/>
      <c r="V8" s="15">
        <f>SUM(O8:U8)/40</f>
        <v>0.25</v>
      </c>
      <c r="W8" s="12">
        <v>14</v>
      </c>
      <c r="Y8" s="36">
        <f>J8</f>
        <v>13</v>
      </c>
      <c r="Z8" s="37">
        <f>V8</f>
        <v>0.25</v>
      </c>
      <c r="AA8" s="38">
        <f>Y8-Z8</f>
        <v>12.75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21</v>
      </c>
      <c r="Y9" s="36">
        <f t="shared" ref="Y9:Y17" si="2">J9</f>
        <v>12</v>
      </c>
      <c r="Z9" s="37">
        <f t="shared" ref="Z9:Z17" si="3">V9</f>
        <v>0</v>
      </c>
      <c r="AA9" s="38">
        <f t="shared" ref="AA9:AA17" si="4">Y9-Z9</f>
        <v>12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4</v>
      </c>
      <c r="Y10" s="36">
        <f t="shared" si="2"/>
        <v>13.25</v>
      </c>
      <c r="Z10" s="37">
        <f t="shared" si="3"/>
        <v>0</v>
      </c>
      <c r="AA10" s="38">
        <f t="shared" si="4"/>
        <v>13.25</v>
      </c>
    </row>
    <row r="11" spans="1:27" x14ac:dyDescent="0.35">
      <c r="A11" s="16"/>
      <c r="B11" s="17" t="s">
        <v>30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10</v>
      </c>
      <c r="Y11" s="36">
        <f t="shared" si="2"/>
        <v>9.0250000000000004</v>
      </c>
      <c r="Z11" s="37">
        <f t="shared" si="3"/>
        <v>0</v>
      </c>
      <c r="AA11" s="38">
        <f t="shared" si="4"/>
        <v>9.0250000000000004</v>
      </c>
    </row>
    <row r="12" spans="1:27" x14ac:dyDescent="0.35">
      <c r="A12" s="16"/>
      <c r="B12" s="17" t="s">
        <v>29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9</v>
      </c>
      <c r="Y12" s="36">
        <f t="shared" si="2"/>
        <v>6.15</v>
      </c>
      <c r="Z12" s="37">
        <f t="shared" si="3"/>
        <v>0</v>
      </c>
      <c r="AA12" s="38">
        <f t="shared" si="4"/>
        <v>6.15</v>
      </c>
    </row>
    <row r="13" spans="1:27" x14ac:dyDescent="0.35">
      <c r="A13" s="16"/>
      <c r="B13" s="17" t="s">
        <v>45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10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10</v>
      </c>
      <c r="W18" s="28"/>
      <c r="Y18" s="33">
        <f>SUM(Y8:Y17)</f>
        <v>59.424999999999997</v>
      </c>
      <c r="Z18" s="34">
        <f>SUM(Z8:Z17)</f>
        <v>0.25</v>
      </c>
      <c r="AA18" s="35">
        <f>SUM(AA8:AA17)</f>
        <v>59.174999999999997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0.25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0.25</v>
      </c>
      <c r="W19" s="23"/>
      <c r="Y19" s="39">
        <f>Y18/40</f>
        <v>1.485625</v>
      </c>
      <c r="Z19" s="40">
        <f>Z18/40</f>
        <v>6.2500000000000003E-3</v>
      </c>
      <c r="AA19" s="41">
        <f>AA18/40</f>
        <v>1.4793749999999999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15</v>
      </c>
      <c r="Y9" s="36">
        <f t="shared" ref="Y9:Y17" si="2">J9</f>
        <v>8</v>
      </c>
      <c r="Z9" s="37">
        <f t="shared" ref="Z9:Z17" si="3">V9</f>
        <v>0</v>
      </c>
      <c r="AA9" s="38">
        <f t="shared" ref="AA9:AA17" si="4">Y9-Z9</f>
        <v>8</v>
      </c>
    </row>
    <row r="10" spans="1:27" ht="15.5" x14ac:dyDescent="0.35">
      <c r="A10" s="14"/>
      <c r="B10" s="7" t="s">
        <v>15</v>
      </c>
      <c r="C10" s="84" t="s">
        <v>41</v>
      </c>
      <c r="D10" s="85"/>
      <c r="E10" s="85"/>
      <c r="F10" s="85"/>
      <c r="G10" s="85"/>
      <c r="H10" s="85"/>
      <c r="I10" s="86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30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11.2</v>
      </c>
      <c r="Z11" s="37">
        <f t="shared" si="3"/>
        <v>0</v>
      </c>
      <c r="AA11" s="38">
        <f t="shared" si="4"/>
        <v>11.2</v>
      </c>
    </row>
    <row r="12" spans="1:27" x14ac:dyDescent="0.35">
      <c r="A12" s="16"/>
      <c r="B12" s="17" t="s">
        <v>29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6.75</v>
      </c>
      <c r="Z12" s="37">
        <f t="shared" si="3"/>
        <v>0</v>
      </c>
      <c r="AA12" s="38">
        <f t="shared" si="4"/>
        <v>6.75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36.950000000000003</v>
      </c>
      <c r="Z18" s="34">
        <f>SUM(Z8:Z17)</f>
        <v>0</v>
      </c>
      <c r="AA18" s="35">
        <f>SUM(AA8:AA17)</f>
        <v>36.950000000000003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0.92375000000000007</v>
      </c>
      <c r="Z19" s="40">
        <f>Z18/40</f>
        <v>0</v>
      </c>
      <c r="AA19" s="41">
        <f>AA18/40</f>
        <v>0.92375000000000007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/>
      <c r="Q8" s="11"/>
      <c r="R8" s="11"/>
      <c r="S8" s="11"/>
      <c r="T8" s="11"/>
      <c r="U8" s="11"/>
      <c r="V8" s="15">
        <f>SUM(O8:U8)/40</f>
        <v>2</v>
      </c>
      <c r="W8" s="12">
        <v>13</v>
      </c>
      <c r="Y8" s="36">
        <f>J8</f>
        <v>15</v>
      </c>
      <c r="Z8" s="37">
        <f>V8</f>
        <v>2</v>
      </c>
      <c r="AA8" s="38">
        <f>Y8-Z8</f>
        <v>13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9</v>
      </c>
      <c r="Y9" s="36">
        <f t="shared" ref="Y9:Y17" si="2">J9</f>
        <v>18.824999999999999</v>
      </c>
      <c r="Z9" s="37">
        <f t="shared" ref="Z9:Z17" si="3">V9</f>
        <v>0</v>
      </c>
      <c r="AA9" s="38">
        <f t="shared" ref="AA9:AA17" si="4">Y9-Z9</f>
        <v>18.824999999999999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9</v>
      </c>
      <c r="Y10" s="36">
        <f t="shared" si="2"/>
        <v>5.625</v>
      </c>
      <c r="Z10" s="37">
        <f t="shared" si="3"/>
        <v>0</v>
      </c>
      <c r="AA10" s="38">
        <f t="shared" si="4"/>
        <v>5.625</v>
      </c>
    </row>
    <row r="11" spans="1:27" x14ac:dyDescent="0.35">
      <c r="A11" s="16"/>
      <c r="B11" s="17" t="s">
        <v>30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11</v>
      </c>
      <c r="Y11" s="36">
        <f t="shared" si="2"/>
        <v>9.5749999999999993</v>
      </c>
      <c r="Z11" s="37">
        <f t="shared" si="3"/>
        <v>0</v>
      </c>
      <c r="AA11" s="38">
        <f t="shared" si="4"/>
        <v>9.5749999999999993</v>
      </c>
    </row>
    <row r="12" spans="1:27" x14ac:dyDescent="0.35">
      <c r="A12" s="16"/>
      <c r="B12" s="17" t="s">
        <v>29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2.6</v>
      </c>
      <c r="Z12" s="37">
        <f t="shared" si="3"/>
        <v>0</v>
      </c>
      <c r="AA12" s="38">
        <f t="shared" si="4"/>
        <v>2.6</v>
      </c>
    </row>
    <row r="13" spans="1:27" x14ac:dyDescent="0.35">
      <c r="A13" s="16"/>
      <c r="B13" s="17" t="s">
        <v>45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80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80</v>
      </c>
      <c r="W18" s="28"/>
      <c r="Y18" s="33">
        <f>SUM(Y8:Y17)</f>
        <v>51.625000000000007</v>
      </c>
      <c r="Z18" s="34">
        <f>SUM(Z8:Z17)</f>
        <v>2</v>
      </c>
      <c r="AA18" s="35">
        <f>SUM(AA8:AA17)</f>
        <v>49.625000000000007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</v>
      </c>
      <c r="W19" s="23"/>
      <c r="Y19" s="39">
        <f>Y18/40</f>
        <v>1.2906250000000001</v>
      </c>
      <c r="Z19" s="40">
        <f>Z18/40</f>
        <v>0.05</v>
      </c>
      <c r="AA19" s="41">
        <f>AA18/40</f>
        <v>1.2406250000000001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42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30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30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29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29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45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45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43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/>
      <c r="Q8" s="11"/>
      <c r="R8" s="11"/>
      <c r="S8" s="11"/>
      <c r="T8" s="11"/>
      <c r="U8" s="11"/>
      <c r="V8" s="15">
        <f>SUM(O8:U8)/40</f>
        <v>1</v>
      </c>
      <c r="W8" s="12">
        <v>21</v>
      </c>
      <c r="Y8" s="36">
        <f>J8</f>
        <v>18.324999999999999</v>
      </c>
      <c r="Z8" s="37">
        <f>V8</f>
        <v>1</v>
      </c>
      <c r="AA8" s="38">
        <f>Y8-Z8</f>
        <v>17.324999999999999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2"/>
      <c r="P10" s="72"/>
      <c r="Q10" s="72"/>
      <c r="R10" s="72"/>
      <c r="S10" s="72"/>
      <c r="T10" s="72"/>
      <c r="U10" s="72"/>
      <c r="V10" s="73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30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14.6</v>
      </c>
      <c r="Z11" s="37">
        <f t="shared" si="3"/>
        <v>0</v>
      </c>
      <c r="AA11" s="38">
        <f t="shared" si="4"/>
        <v>14.6</v>
      </c>
    </row>
    <row r="12" spans="1:27" x14ac:dyDescent="0.35">
      <c r="A12" s="16"/>
      <c r="B12" s="17" t="s">
        <v>29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10</v>
      </c>
      <c r="Y12" s="36">
        <f t="shared" si="2"/>
        <v>11.1</v>
      </c>
      <c r="Z12" s="37">
        <f t="shared" si="3"/>
        <v>0</v>
      </c>
      <c r="AA12" s="38">
        <f t="shared" si="4"/>
        <v>11.1</v>
      </c>
    </row>
    <row r="13" spans="1:27" x14ac:dyDescent="0.35">
      <c r="A13" s="16"/>
      <c r="B13" s="17" t="s">
        <v>45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40</v>
      </c>
      <c r="W18" s="28"/>
      <c r="Y18" s="33">
        <f>SUM(Y8:Y17)</f>
        <v>75.424999999999983</v>
      </c>
      <c r="Z18" s="34">
        <f>SUM(Z8:Z17)</f>
        <v>1</v>
      </c>
      <c r="AA18" s="35">
        <f>SUM(AA8:AA17)</f>
        <v>74.424999999999997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</v>
      </c>
      <c r="W19" s="23"/>
      <c r="Y19" s="39">
        <f>Y18/40</f>
        <v>1.8856249999999997</v>
      </c>
      <c r="Z19" s="40">
        <f>Z18/40</f>
        <v>2.5000000000000001E-2</v>
      </c>
      <c r="AA19" s="41">
        <f>AA18/40</f>
        <v>1.860625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/>
      <c r="Q8" s="11"/>
      <c r="R8" s="11"/>
      <c r="S8" s="11"/>
      <c r="T8" s="11"/>
      <c r="U8" s="11"/>
      <c r="V8" s="15">
        <f>SUM(O8:U8)/40</f>
        <v>2.0750000000000002</v>
      </c>
      <c r="W8" s="12">
        <v>21</v>
      </c>
      <c r="Y8" s="36">
        <f>J8</f>
        <v>12.025</v>
      </c>
      <c r="Z8" s="37">
        <f>V8</f>
        <v>2.0750000000000002</v>
      </c>
      <c r="AA8" s="38">
        <f>Y8-Z8</f>
        <v>9.9499999999999993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3" si="0">SUM(C9:I9)/40</f>
        <v>10.025</v>
      </c>
      <c r="K9" s="12">
        <v>16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14</v>
      </c>
      <c r="Y9" s="36">
        <f t="shared" ref="Y9:Y17" si="2">J9</f>
        <v>10.025</v>
      </c>
      <c r="Z9" s="37">
        <f t="shared" ref="Z9:Z17" si="3">V9</f>
        <v>0</v>
      </c>
      <c r="AA9" s="38">
        <f t="shared" ref="AA9:AA17" si="4">Y9-Z9</f>
        <v>10.025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f>7+9</f>
        <v>16</v>
      </c>
      <c r="Y10" s="36">
        <f t="shared" si="2"/>
        <v>10.7</v>
      </c>
      <c r="Z10" s="37">
        <f t="shared" si="3"/>
        <v>0</v>
      </c>
      <c r="AA10" s="38">
        <f t="shared" si="4"/>
        <v>10.7</v>
      </c>
    </row>
    <row r="11" spans="1:27" x14ac:dyDescent="0.35">
      <c r="A11" s="16"/>
      <c r="B11" s="17" t="s">
        <v>30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9</v>
      </c>
      <c r="Y11" s="36">
        <f t="shared" si="2"/>
        <v>14.574999999999999</v>
      </c>
      <c r="Z11" s="37">
        <f t="shared" si="3"/>
        <v>0</v>
      </c>
      <c r="AA11" s="38">
        <f t="shared" si="4"/>
        <v>14.574999999999999</v>
      </c>
    </row>
    <row r="12" spans="1:27" x14ac:dyDescent="0.35">
      <c r="A12" s="16"/>
      <c r="B12" s="17" t="s">
        <v>29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</v>
      </c>
      <c r="Y12" s="36">
        <f t="shared" si="2"/>
        <v>12.925000000000001</v>
      </c>
      <c r="Z12" s="37">
        <f t="shared" si="3"/>
        <v>0</v>
      </c>
      <c r="AA12" s="38">
        <f t="shared" si="4"/>
        <v>12.925000000000001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83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83</v>
      </c>
      <c r="W18" s="28"/>
      <c r="Y18" s="33">
        <f>SUM(Y8:Y17)</f>
        <v>68.25</v>
      </c>
      <c r="Z18" s="34">
        <f>SUM(Z8:Z17)</f>
        <v>2.0750000000000002</v>
      </c>
      <c r="AA18" s="35">
        <f>SUM(AA8:AA17)</f>
        <v>66.174999999999997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2.0750000000000002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2.0750000000000002</v>
      </c>
      <c r="W19" s="23"/>
      <c r="Y19" s="39">
        <f>Y18/40</f>
        <v>1.70625</v>
      </c>
      <c r="Z19" s="40">
        <f>Z18/40</f>
        <v>5.1875000000000004E-2</v>
      </c>
      <c r="AA19" s="41">
        <f>AA18/40</f>
        <v>1.6543749999999999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/>
      <c r="Q8" s="11"/>
      <c r="R8" s="11"/>
      <c r="S8" s="11"/>
      <c r="T8" s="11"/>
      <c r="U8" s="11"/>
      <c r="V8" s="15">
        <f>SUM(O8:U8)/40</f>
        <v>3.375</v>
      </c>
      <c r="W8" s="12">
        <v>21</v>
      </c>
      <c r="Y8" s="36">
        <f>J8</f>
        <v>14.8</v>
      </c>
      <c r="Z8" s="37">
        <f>V8</f>
        <v>3.375</v>
      </c>
      <c r="AA8" s="38">
        <f>Y8-Z8</f>
        <v>11.425000000000001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>
        <v>21</v>
      </c>
      <c r="Y9" s="36">
        <f t="shared" ref="Y9:Y17" si="1">J9</f>
        <v>17</v>
      </c>
      <c r="Z9" s="37">
        <f t="shared" ref="Z9:Z17" si="2">V9</f>
        <v>0</v>
      </c>
      <c r="AA9" s="38">
        <f t="shared" ref="AA9:AA17" si="3">Y9-Z9</f>
        <v>17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7" si="4">SUM(C10:I10)/40</f>
        <v>7.7750000000000004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6</v>
      </c>
      <c r="Y10" s="36">
        <f t="shared" si="1"/>
        <v>7.7750000000000004</v>
      </c>
      <c r="Z10" s="37">
        <f t="shared" si="2"/>
        <v>0</v>
      </c>
      <c r="AA10" s="38">
        <f t="shared" si="3"/>
        <v>7.7750000000000004</v>
      </c>
    </row>
    <row r="11" spans="1:27" x14ac:dyDescent="0.35">
      <c r="A11" s="16"/>
      <c r="B11" s="17" t="s">
        <v>30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1"/>
        <v>7.1</v>
      </c>
      <c r="Z11" s="37">
        <f t="shared" si="2"/>
        <v>0</v>
      </c>
      <c r="AA11" s="38">
        <f t="shared" si="3"/>
        <v>7.1</v>
      </c>
    </row>
    <row r="12" spans="1:27" x14ac:dyDescent="0.35">
      <c r="A12" s="16"/>
      <c r="B12" s="17" t="s">
        <v>29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5</v>
      </c>
      <c r="Y12" s="36">
        <f t="shared" si="1"/>
        <v>7.3250000000000002</v>
      </c>
      <c r="Z12" s="37">
        <f t="shared" si="2"/>
        <v>0</v>
      </c>
      <c r="AA12" s="38">
        <f t="shared" si="3"/>
        <v>7.3250000000000002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4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135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135</v>
      </c>
      <c r="W18" s="28"/>
      <c r="Y18" s="33">
        <f>SUM(Y8:Y17)</f>
        <v>54.000000000000007</v>
      </c>
      <c r="Z18" s="34">
        <f>SUM(Z8:Z17)</f>
        <v>3.375</v>
      </c>
      <c r="AA18" s="35">
        <f>SUM(AA8:AA17)</f>
        <v>50.625000000000007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3.375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3.375</v>
      </c>
      <c r="W19" s="23"/>
      <c r="Y19" s="39">
        <f>Y18/40</f>
        <v>1.35</v>
      </c>
      <c r="Z19" s="40">
        <f>Z18/40</f>
        <v>8.4375000000000006E-2</v>
      </c>
      <c r="AA19" s="41">
        <f>AA18/40</f>
        <v>1.2656250000000002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4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12</v>
      </c>
      <c r="Y9" s="36">
        <f t="shared" ref="Y9:Y17" si="2">J9</f>
        <v>6.5</v>
      </c>
      <c r="Z9" s="37">
        <f t="shared" ref="Z9:Z17" si="3">V9</f>
        <v>0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7.65</v>
      </c>
      <c r="Z10" s="37">
        <f t="shared" si="3"/>
        <v>0</v>
      </c>
      <c r="AA10" s="38">
        <f t="shared" si="4"/>
        <v>7.65</v>
      </c>
    </row>
    <row r="11" spans="1:27" x14ac:dyDescent="0.35">
      <c r="A11" s="16"/>
      <c r="B11" s="17" t="s">
        <v>30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10</v>
      </c>
      <c r="Y11" s="36">
        <f t="shared" si="2"/>
        <v>13.3</v>
      </c>
      <c r="Z11" s="37">
        <f t="shared" si="3"/>
        <v>0</v>
      </c>
      <c r="AA11" s="38">
        <f t="shared" si="4"/>
        <v>13.3</v>
      </c>
    </row>
    <row r="12" spans="1:27" x14ac:dyDescent="0.35">
      <c r="A12" s="16"/>
      <c r="B12" s="17" t="s">
        <v>29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8.5500000000000007</v>
      </c>
      <c r="Z12" s="37">
        <f t="shared" si="3"/>
        <v>0</v>
      </c>
      <c r="AA12" s="38">
        <f t="shared" si="4"/>
        <v>8.5500000000000007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</v>
      </c>
      <c r="Z18" s="34">
        <f>SUM(Z8:Z17)</f>
        <v>0</v>
      </c>
      <c r="AA18" s="35">
        <f>SUM(AA8:AA17)</f>
        <v>40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</v>
      </c>
      <c r="Z19" s="40">
        <f>Z18/40</f>
        <v>0</v>
      </c>
      <c r="AA19" s="41">
        <f>AA18/40</f>
        <v>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6</v>
      </c>
      <c r="Z8" s="37">
        <f>V8</f>
        <v>0</v>
      </c>
      <c r="AA8" s="38">
        <f>Y8-Z8</f>
        <v>6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7" si="0">SUM(C9:I9)/40</f>
        <v>5.7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13</v>
      </c>
      <c r="Y9" s="36">
        <f t="shared" ref="Y9:Y17" si="2">J9</f>
        <v>5.7</v>
      </c>
      <c r="Z9" s="37">
        <f t="shared" ref="Z9:Z17" si="3">V9</f>
        <v>0</v>
      </c>
      <c r="AA9" s="38">
        <f t="shared" ref="AA9:AA17" si="4">Y9-Z9</f>
        <v>5.7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3.45</v>
      </c>
      <c r="Z10" s="37">
        <f t="shared" si="3"/>
        <v>0</v>
      </c>
      <c r="AA10" s="38">
        <f t="shared" si="4"/>
        <v>3.45</v>
      </c>
    </row>
    <row r="11" spans="1:27" x14ac:dyDescent="0.35">
      <c r="A11" s="16"/>
      <c r="B11" s="17" t="s">
        <v>30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29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4</v>
      </c>
      <c r="Y12" s="36">
        <f t="shared" si="2"/>
        <v>6.9</v>
      </c>
      <c r="Z12" s="37">
        <f t="shared" si="3"/>
        <v>0</v>
      </c>
      <c r="AA12" s="38">
        <f t="shared" si="4"/>
        <v>6.9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25.65</v>
      </c>
      <c r="Z18" s="34">
        <f>SUM(Z8:Z17)</f>
        <v>0</v>
      </c>
      <c r="AA18" s="35">
        <f>SUM(AA8:AA17)</f>
        <v>25.65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0.64124999999999999</v>
      </c>
      <c r="Z19" s="40">
        <f>Z18/40</f>
        <v>0</v>
      </c>
      <c r="AA19" s="41">
        <f>AA18/40</f>
        <v>0.64124999999999999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12</v>
      </c>
      <c r="Y8" s="36">
        <f>J8</f>
        <v>11</v>
      </c>
      <c r="Z8" s="37">
        <f>V8</f>
        <v>0</v>
      </c>
      <c r="AA8" s="38">
        <f>Y8-Z8</f>
        <v>11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7" si="0">SUM(C9:I9)/40</f>
        <v>6.6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19</v>
      </c>
      <c r="Y9" s="36">
        <f t="shared" ref="Y9:Y17" si="2">J9</f>
        <v>6.6</v>
      </c>
      <c r="Z9" s="37">
        <f t="shared" ref="Z9:Z17" si="3">V9</f>
        <v>0</v>
      </c>
      <c r="AA9" s="38">
        <f t="shared" ref="AA9:AA17" si="4">Y9-Z9</f>
        <v>6.6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4.5</v>
      </c>
      <c r="Z10" s="37">
        <f t="shared" si="3"/>
        <v>0</v>
      </c>
      <c r="AA10" s="38">
        <f t="shared" si="4"/>
        <v>4.5</v>
      </c>
    </row>
    <row r="11" spans="1:27" x14ac:dyDescent="0.35">
      <c r="A11" s="16"/>
      <c r="B11" s="17" t="s">
        <v>30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3</v>
      </c>
      <c r="Y11" s="36">
        <f t="shared" si="2"/>
        <v>12.1</v>
      </c>
      <c r="Z11" s="37">
        <f t="shared" si="3"/>
        <v>0</v>
      </c>
      <c r="AA11" s="38">
        <f t="shared" si="4"/>
        <v>12.1</v>
      </c>
    </row>
    <row r="12" spans="1:27" x14ac:dyDescent="0.35">
      <c r="A12" s="16"/>
      <c r="B12" s="17" t="s">
        <v>29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34.200000000000003</v>
      </c>
      <c r="Z18" s="34">
        <f>SUM(Z8:Z17)</f>
        <v>0</v>
      </c>
      <c r="AA18" s="35">
        <f>SUM(AA8:AA17)</f>
        <v>34.200000000000003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0.85500000000000009</v>
      </c>
      <c r="Z19" s="40">
        <f>Z18/40</f>
        <v>0</v>
      </c>
      <c r="AA19" s="41">
        <f>AA18/40</f>
        <v>0.85500000000000009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30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30</v>
      </c>
      <c r="O11" s="43"/>
      <c r="P11" s="43"/>
      <c r="Q11" s="43"/>
      <c r="R11" s="43"/>
      <c r="S11" s="43"/>
      <c r="T11" s="43"/>
      <c r="U11" s="43"/>
      <c r="V11" s="74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29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29</v>
      </c>
      <c r="O12" s="43"/>
      <c r="P12" s="43"/>
      <c r="Q12" s="43"/>
      <c r="R12" s="43"/>
      <c r="S12" s="43"/>
      <c r="T12" s="43"/>
      <c r="U12" s="43"/>
      <c r="V12" s="74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45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45</v>
      </c>
      <c r="O13" s="43"/>
      <c r="P13" s="43"/>
      <c r="Q13" s="43"/>
      <c r="R13" s="43"/>
      <c r="S13" s="43"/>
      <c r="T13" s="43"/>
      <c r="U13" s="43"/>
      <c r="V13" s="74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36</v>
      </c>
      <c r="O15" s="43"/>
      <c r="P15" s="43"/>
      <c r="Q15" s="43"/>
      <c r="R15" s="43"/>
      <c r="S15" s="43"/>
      <c r="T15" s="43"/>
      <c r="U15" s="43"/>
      <c r="V15" s="74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37</v>
      </c>
      <c r="O16" s="43"/>
      <c r="P16" s="43"/>
      <c r="Q16" s="43"/>
      <c r="R16" s="43"/>
      <c r="S16" s="43"/>
      <c r="T16" s="43"/>
      <c r="U16" s="43"/>
      <c r="V16" s="74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39</v>
      </c>
      <c r="O17" s="43"/>
      <c r="P17" s="43"/>
      <c r="Q17" s="43"/>
      <c r="R17" s="43"/>
      <c r="S17" s="43"/>
      <c r="T17" s="43"/>
      <c r="U17" s="43"/>
      <c r="V17" s="74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0">
        <f>SUM(O8:O18)</f>
        <v>0</v>
      </c>
      <c r="P19" s="70">
        <f t="shared" ref="P19:U19" si="9">SUM(P8:P18)</f>
        <v>0</v>
      </c>
      <c r="Q19" s="70">
        <f t="shared" si="9"/>
        <v>0</v>
      </c>
      <c r="R19" s="70">
        <f t="shared" si="9"/>
        <v>0</v>
      </c>
      <c r="S19" s="70">
        <f t="shared" si="9"/>
        <v>0</v>
      </c>
      <c r="T19" s="70">
        <f t="shared" si="9"/>
        <v>0</v>
      </c>
      <c r="U19" s="70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11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7" si="0">SUM(C9:I9)/40</f>
        <v>6</v>
      </c>
      <c r="K9" s="12">
        <v>10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10</v>
      </c>
      <c r="Y9" s="36">
        <f t="shared" ref="Y9:Y17" si="2">J9</f>
        <v>6</v>
      </c>
      <c r="Z9" s="37">
        <f t="shared" ref="Z9:Z17" si="3">V9</f>
        <v>0</v>
      </c>
      <c r="AA9" s="38">
        <f t="shared" ref="AA9:AA17" si="4">Y9-Z9</f>
        <v>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6</v>
      </c>
      <c r="Y10" s="36">
        <f t="shared" si="2"/>
        <v>5.95</v>
      </c>
      <c r="Z10" s="37">
        <f t="shared" si="3"/>
        <v>0</v>
      </c>
      <c r="AA10" s="38">
        <f t="shared" si="4"/>
        <v>5.95</v>
      </c>
    </row>
    <row r="11" spans="1:27" x14ac:dyDescent="0.35">
      <c r="A11" s="16"/>
      <c r="B11" s="17" t="s">
        <v>30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13</v>
      </c>
      <c r="Z11" s="37">
        <f t="shared" si="3"/>
        <v>0</v>
      </c>
      <c r="AA11" s="38">
        <f t="shared" si="4"/>
        <v>13</v>
      </c>
    </row>
    <row r="12" spans="1:27" x14ac:dyDescent="0.35">
      <c r="A12" s="16"/>
      <c r="B12" s="17" t="s">
        <v>29</v>
      </c>
      <c r="C12" s="11"/>
      <c r="D12" s="87" t="s">
        <v>41</v>
      </c>
      <c r="E12" s="88"/>
      <c r="F12" s="88"/>
      <c r="G12" s="88"/>
      <c r="H12" s="88"/>
      <c r="I12" s="88"/>
      <c r="J12" s="89"/>
      <c r="K12" s="12"/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29.95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0.74875000000000003</v>
      </c>
      <c r="Z19" s="40">
        <f>Z18/40</f>
        <v>0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19</v>
      </c>
      <c r="Y8" s="36">
        <f>J8</f>
        <v>19.875</v>
      </c>
      <c r="Z8" s="37">
        <f>V8</f>
        <v>0</v>
      </c>
      <c r="AA8" s="38">
        <f>Y8-Z8</f>
        <v>19.875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1" si="0">SUM(C9:I9)/40</f>
        <v>9.1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>
        <v>18</v>
      </c>
      <c r="Y9" s="36">
        <f t="shared" ref="Y9:Y17" si="2">J9</f>
        <v>9.1</v>
      </c>
      <c r="Z9" s="37">
        <f t="shared" ref="Z9:Z17" si="3">V9</f>
        <v>0</v>
      </c>
      <c r="AA9" s="38">
        <f t="shared" ref="AA9:AA17" si="4">Y9-Z9</f>
        <v>9.1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6.625</v>
      </c>
      <c r="Z10" s="37">
        <f t="shared" si="3"/>
        <v>0</v>
      </c>
      <c r="AA10" s="38">
        <f t="shared" si="4"/>
        <v>6.625</v>
      </c>
    </row>
    <row r="11" spans="1:27" x14ac:dyDescent="0.35">
      <c r="A11" s="16"/>
      <c r="B11" s="17" t="s">
        <v>30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13.9</v>
      </c>
      <c r="Z11" s="37">
        <f t="shared" si="3"/>
        <v>0</v>
      </c>
      <c r="AA11" s="38">
        <f t="shared" si="4"/>
        <v>13.9</v>
      </c>
    </row>
    <row r="12" spans="1:27" x14ac:dyDescent="0.35">
      <c r="A12" s="16"/>
      <c r="B12" s="17" t="s">
        <v>29</v>
      </c>
      <c r="C12" s="87" t="s">
        <v>41</v>
      </c>
      <c r="D12" s="88"/>
      <c r="E12" s="88"/>
      <c r="F12" s="88"/>
      <c r="G12" s="88"/>
      <c r="H12" s="88"/>
      <c r="I12" s="88"/>
      <c r="J12" s="89"/>
      <c r="K12" s="12"/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v>7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7</v>
      </c>
      <c r="Z17" s="37">
        <f t="shared" si="3"/>
        <v>0</v>
      </c>
      <c r="AA17" s="38">
        <f t="shared" si="4"/>
        <v>7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56.5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>SUM(V8:V16)</f>
        <v>36</v>
      </c>
      <c r="W19" s="23"/>
      <c r="Y19" s="39">
        <f>Y18/40</f>
        <v>1.4125000000000001</v>
      </c>
      <c r="Z19" s="40">
        <f>Z18/40</f>
        <v>0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87" t="s">
        <v>41</v>
      </c>
      <c r="D9" s="88"/>
      <c r="E9" s="88"/>
      <c r="F9" s="88"/>
      <c r="G9" s="88"/>
      <c r="H9" s="88"/>
      <c r="I9" s="88"/>
      <c r="J9" s="89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7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4</v>
      </c>
      <c r="Y10" s="36">
        <f t="shared" ref="Y10:Y17" si="4">J10</f>
        <v>2.4500000000000002</v>
      </c>
      <c r="Z10" s="37">
        <f t="shared" si="1"/>
        <v>0</v>
      </c>
      <c r="AA10" s="38">
        <f t="shared" si="2"/>
        <v>2.4500000000000002</v>
      </c>
    </row>
    <row r="11" spans="1:27" x14ac:dyDescent="0.35">
      <c r="A11" s="16"/>
      <c r="B11" s="17" t="s">
        <v>30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4"/>
        <v>3.375</v>
      </c>
      <c r="Z11" s="37">
        <f t="shared" si="1"/>
        <v>0</v>
      </c>
      <c r="AA11" s="38">
        <f t="shared" si="2"/>
        <v>3.375</v>
      </c>
    </row>
    <row r="12" spans="1:27" x14ac:dyDescent="0.35">
      <c r="A12" s="16"/>
      <c r="B12" s="17" t="s">
        <v>29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6</v>
      </c>
      <c r="Y12" s="36">
        <f t="shared" si="4"/>
        <v>8.6</v>
      </c>
      <c r="Z12" s="37">
        <f t="shared" si="1"/>
        <v>0</v>
      </c>
      <c r="AA12" s="38">
        <f t="shared" si="2"/>
        <v>8.6</v>
      </c>
    </row>
    <row r="13" spans="1:27" x14ac:dyDescent="0.35">
      <c r="A13" s="16"/>
      <c r="B13" s="17" t="s">
        <v>45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3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18.424999999999997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0.46062499999999995</v>
      </c>
      <c r="Z19" s="40">
        <f>Z18/40</f>
        <v>0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31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31</v>
      </c>
      <c r="O8" s="11">
        <v>17</v>
      </c>
      <c r="P8" s="11"/>
      <c r="Q8" s="11"/>
      <c r="R8" s="11"/>
      <c r="S8" s="11"/>
      <c r="T8" s="11"/>
      <c r="U8" s="11"/>
      <c r="V8" s="15">
        <f>SUM(O8:U8)/40</f>
        <v>0.42499999999999999</v>
      </c>
      <c r="W8" s="12">
        <v>8</v>
      </c>
      <c r="Y8" s="36">
        <f>J8</f>
        <v>14.425000000000001</v>
      </c>
      <c r="Z8" s="37">
        <f>V8</f>
        <v>0.42499999999999999</v>
      </c>
      <c r="AA8" s="38">
        <f>Y8-Z8</f>
        <v>14</v>
      </c>
    </row>
    <row r="9" spans="1:27" x14ac:dyDescent="0.35">
      <c r="A9" s="14"/>
      <c r="B9" s="7" t="s">
        <v>32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32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21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33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33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7</v>
      </c>
      <c r="Z10" s="37">
        <f t="shared" si="3"/>
        <v>0</v>
      </c>
      <c r="AA10" s="38">
        <f t="shared" si="4"/>
        <v>7</v>
      </c>
    </row>
    <row r="11" spans="1:27" x14ac:dyDescent="0.35">
      <c r="A11" s="16"/>
      <c r="B11" s="17" t="s">
        <v>30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29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4.3</v>
      </c>
      <c r="Z12" s="37">
        <f t="shared" si="3"/>
        <v>0</v>
      </c>
      <c r="AA12" s="38">
        <f t="shared" si="4"/>
        <v>4.3</v>
      </c>
    </row>
    <row r="13" spans="1:27" x14ac:dyDescent="0.35">
      <c r="A13" s="16"/>
      <c r="B13" s="17" t="s">
        <v>45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17</v>
      </c>
      <c r="W18" s="28"/>
      <c r="Y18" s="33">
        <f>SUM(Y8:Y17)</f>
        <v>46.824999999999996</v>
      </c>
      <c r="Z18" s="34">
        <f>SUM(Z8:Z17)</f>
        <v>0.42499999999999999</v>
      </c>
      <c r="AA18" s="35">
        <f>SUM(AA8:AA17)</f>
        <v>46.4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0.42499999999999999</v>
      </c>
      <c r="W19" s="23"/>
      <c r="Y19" s="39">
        <f>Y18/40</f>
        <v>1.1706249999999998</v>
      </c>
      <c r="Z19" s="40">
        <f>Z18/40</f>
        <v>1.0624999999999999E-2</v>
      </c>
      <c r="AA19" s="41">
        <f>AA18/40</f>
        <v>1.1599999999999999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32</v>
      </c>
      <c r="C9" s="11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32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33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33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30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29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30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29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31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31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32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32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33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33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30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29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31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31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32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32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33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33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30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29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45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36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37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35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31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31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32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32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33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33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30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29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45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39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39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36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36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37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37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35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35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38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31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31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32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32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33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33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30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29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37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37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39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39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36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44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37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37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35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35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2" t="s">
        <v>19</v>
      </c>
      <c r="Z2" s="82"/>
      <c r="AA2" s="82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/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31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31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32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32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33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33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29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39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39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37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2026-10-03T10:01:42Z</dcterms:modified>
</cp:coreProperties>
</file>