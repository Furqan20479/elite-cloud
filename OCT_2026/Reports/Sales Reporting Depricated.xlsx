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OCT_2026\Reports\"/>
    </mc:Choice>
  </mc:AlternateContent>
  <xr:revisionPtr revIDLastSave="0" documentId="13_ncr:1_{A7AC1029-E5D4-4929-A01C-C6E1158078D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Today Performance" sheetId="1" r:id="rId1"/>
    <sheet name="Till Todate 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2" l="1"/>
  <c r="L12" i="2"/>
  <c r="L11" i="2"/>
  <c r="M4" i="2" l="1"/>
  <c r="N4" i="2"/>
  <c r="P4" i="2"/>
  <c r="I13" i="2"/>
  <c r="I12" i="2"/>
  <c r="I11" i="2"/>
  <c r="I10" i="2"/>
  <c r="I8" i="2"/>
  <c r="I7" i="2"/>
  <c r="I5" i="2"/>
  <c r="I4" i="2"/>
  <c r="L20" i="1" l="1"/>
  <c r="R4" i="1" l="1"/>
  <c r="U4" i="1"/>
  <c r="V4" i="1"/>
  <c r="P16" i="2"/>
  <c r="I17" i="2"/>
  <c r="T20" i="1" l="1"/>
  <c r="S20" i="1"/>
  <c r="Q20" i="1"/>
  <c r="P20" i="1"/>
  <c r="K20" i="1"/>
  <c r="G17" i="2"/>
  <c r="P15" i="2"/>
  <c r="P14" i="2" l="1"/>
  <c r="P9" i="2" l="1"/>
  <c r="M9" i="2"/>
  <c r="J9" i="2"/>
  <c r="M4" i="1" l="1"/>
  <c r="N4" i="1"/>
  <c r="L17" i="2"/>
  <c r="K17" i="2"/>
  <c r="H31" i="1" l="1"/>
  <c r="H26" i="1"/>
  <c r="H20" i="1"/>
  <c r="H32" i="1" l="1"/>
  <c r="H17" i="2" l="1"/>
  <c r="H23" i="2"/>
  <c r="Q17" i="2"/>
  <c r="W31" i="1"/>
  <c r="W26" i="1"/>
  <c r="W20" i="1"/>
  <c r="O20" i="1"/>
  <c r="V30" i="1"/>
  <c r="V29" i="1"/>
  <c r="V28" i="1"/>
  <c r="V27" i="1"/>
  <c r="V25" i="1"/>
  <c r="V24" i="1"/>
  <c r="V23" i="1"/>
  <c r="V22" i="1"/>
  <c r="V21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N30" i="1"/>
  <c r="N29" i="1"/>
  <c r="N28" i="1"/>
  <c r="N27" i="1"/>
  <c r="N25" i="1"/>
  <c r="N24" i="1"/>
  <c r="N23" i="1"/>
  <c r="N22" i="1"/>
  <c r="N21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J27" i="2"/>
  <c r="J26" i="2"/>
  <c r="J25" i="2"/>
  <c r="J24" i="2"/>
  <c r="J22" i="2"/>
  <c r="J21" i="2"/>
  <c r="J20" i="2"/>
  <c r="J19" i="2"/>
  <c r="J18" i="2"/>
  <c r="J16" i="2"/>
  <c r="J15" i="2"/>
  <c r="J14" i="2"/>
  <c r="J13" i="2"/>
  <c r="J12" i="2"/>
  <c r="J11" i="2"/>
  <c r="J10" i="2"/>
  <c r="J8" i="2"/>
  <c r="J7" i="2"/>
  <c r="J6" i="2"/>
  <c r="J5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8" i="2"/>
  <c r="M7" i="2"/>
  <c r="M6" i="2"/>
  <c r="M5" i="2"/>
  <c r="J4" i="2"/>
  <c r="U30" i="1"/>
  <c r="U29" i="1"/>
  <c r="U28" i="1"/>
  <c r="U27" i="1"/>
  <c r="U25" i="1"/>
  <c r="U24" i="1"/>
  <c r="U23" i="1"/>
  <c r="U22" i="1"/>
  <c r="U21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R30" i="1"/>
  <c r="R29" i="1"/>
  <c r="R28" i="1"/>
  <c r="R27" i="1"/>
  <c r="R25" i="1"/>
  <c r="R24" i="1"/>
  <c r="R23" i="1"/>
  <c r="R22" i="1"/>
  <c r="R21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M32" i="1"/>
  <c r="M31" i="1"/>
  <c r="M30" i="1"/>
  <c r="J30" i="1"/>
  <c r="M29" i="1"/>
  <c r="J29" i="1"/>
  <c r="M28" i="1"/>
  <c r="J28" i="1"/>
  <c r="M27" i="1"/>
  <c r="J27" i="1"/>
  <c r="M26" i="1"/>
  <c r="M25" i="1"/>
  <c r="J25" i="1"/>
  <c r="M24" i="1"/>
  <c r="J24" i="1"/>
  <c r="M23" i="1"/>
  <c r="J23" i="1"/>
  <c r="M22" i="1"/>
  <c r="J22" i="1"/>
  <c r="M21" i="1"/>
  <c r="J21" i="1"/>
  <c r="M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J4" i="1"/>
  <c r="H29" i="2" l="1"/>
  <c r="W32" i="1"/>
  <c r="Q28" i="2"/>
  <c r="N28" i="2"/>
  <c r="I28" i="2"/>
  <c r="G28" i="2"/>
  <c r="P27" i="2"/>
  <c r="N27" i="2"/>
  <c r="P26" i="2"/>
  <c r="N26" i="2"/>
  <c r="P25" i="2"/>
  <c r="N25" i="2"/>
  <c r="P24" i="2"/>
  <c r="N24" i="2"/>
  <c r="Q23" i="2"/>
  <c r="N23" i="2"/>
  <c r="I23" i="2"/>
  <c r="G23" i="2"/>
  <c r="P22" i="2"/>
  <c r="N22" i="2"/>
  <c r="P21" i="2"/>
  <c r="N21" i="2"/>
  <c r="P20" i="2"/>
  <c r="N20" i="2"/>
  <c r="P19" i="2"/>
  <c r="N19" i="2"/>
  <c r="P18" i="2"/>
  <c r="N18" i="2"/>
  <c r="N16" i="2"/>
  <c r="N15" i="2"/>
  <c r="N14" i="2"/>
  <c r="P13" i="2"/>
  <c r="N13" i="2"/>
  <c r="P12" i="2"/>
  <c r="N12" i="2"/>
  <c r="P11" i="2"/>
  <c r="N11" i="2"/>
  <c r="P10" i="2"/>
  <c r="N10" i="2"/>
  <c r="P8" i="2"/>
  <c r="N8" i="2"/>
  <c r="P7" i="2"/>
  <c r="N7" i="2"/>
  <c r="P6" i="2"/>
  <c r="N6" i="2"/>
  <c r="P5" i="2"/>
  <c r="N5" i="2"/>
  <c r="D2" i="2"/>
  <c r="C2" i="2"/>
  <c r="I20" i="1"/>
  <c r="G20" i="1"/>
  <c r="T31" i="1"/>
  <c r="S31" i="1"/>
  <c r="Q31" i="1"/>
  <c r="P31" i="1"/>
  <c r="O31" i="1"/>
  <c r="I31" i="1"/>
  <c r="G31" i="1"/>
  <c r="T26" i="1"/>
  <c r="S26" i="1"/>
  <c r="Q26" i="1"/>
  <c r="P26" i="1"/>
  <c r="O26" i="1"/>
  <c r="I26" i="1"/>
  <c r="G26" i="1"/>
  <c r="O9" i="2" l="1"/>
  <c r="O4" i="2"/>
  <c r="R31" i="1"/>
  <c r="R26" i="1"/>
  <c r="O24" i="2"/>
  <c r="O26" i="2"/>
  <c r="U31" i="1"/>
  <c r="V31" i="1"/>
  <c r="J17" i="2"/>
  <c r="J23" i="2"/>
  <c r="J28" i="2"/>
  <c r="G29" i="2"/>
  <c r="V26" i="1"/>
  <c r="U26" i="1"/>
  <c r="O28" i="2"/>
  <c r="J26" i="1"/>
  <c r="N26" i="1"/>
  <c r="N31" i="1"/>
  <c r="J31" i="1"/>
  <c r="J20" i="1"/>
  <c r="N20" i="1"/>
  <c r="R20" i="1"/>
  <c r="U20" i="1"/>
  <c r="V20" i="1"/>
  <c r="P28" i="2"/>
  <c r="N17" i="2"/>
  <c r="O17" i="2" s="1"/>
  <c r="O14" i="2"/>
  <c r="O6" i="2"/>
  <c r="O8" i="2"/>
  <c r="O10" i="2"/>
  <c r="O12" i="2"/>
  <c r="O15" i="2"/>
  <c r="O21" i="2"/>
  <c r="O7" i="2"/>
  <c r="P17" i="2"/>
  <c r="O23" i="2"/>
  <c r="P23" i="2"/>
  <c r="O25" i="2"/>
  <c r="O27" i="2"/>
  <c r="O19" i="2"/>
  <c r="O11" i="2"/>
  <c r="O18" i="2"/>
  <c r="O20" i="2"/>
  <c r="I29" i="2"/>
  <c r="O5" i="2"/>
  <c r="O13" i="2"/>
  <c r="O16" i="2"/>
  <c r="O22" i="2"/>
  <c r="S32" i="1"/>
  <c r="P32" i="1"/>
  <c r="G32" i="1"/>
  <c r="T32" i="1"/>
  <c r="I32" i="1"/>
  <c r="Q32" i="1"/>
  <c r="J29" i="2" l="1"/>
  <c r="R32" i="1"/>
  <c r="J32" i="1"/>
  <c r="N32" i="1"/>
  <c r="V32" i="1"/>
  <c r="U32" i="1"/>
  <c r="N29" i="2"/>
  <c r="O29" i="2" s="1"/>
  <c r="Q29" i="2"/>
  <c r="P29" i="2"/>
  <c r="O32" i="1"/>
</calcChain>
</file>

<file path=xl/sharedStrings.xml><?xml version="1.0" encoding="utf-8"?>
<sst xmlns="http://schemas.openxmlformats.org/spreadsheetml/2006/main" count="363" uniqueCount="77">
  <si>
    <t>Booking</t>
  </si>
  <si>
    <t>Execution</t>
  </si>
  <si>
    <t>Productivity</t>
  </si>
  <si>
    <t>Sales</t>
  </si>
  <si>
    <t>Region</t>
  </si>
  <si>
    <t>Area</t>
  </si>
  <si>
    <t>ASM Name</t>
  </si>
  <si>
    <t>TSO Name</t>
  </si>
  <si>
    <t>Distribution Name</t>
  </si>
  <si>
    <t>OB Name</t>
  </si>
  <si>
    <t>Plan Shop</t>
  </si>
  <si>
    <t>Booked Orders</t>
  </si>
  <si>
    <t>%</t>
  </si>
  <si>
    <t>Plan Booking</t>
  </si>
  <si>
    <t>Boooked CTN</t>
  </si>
  <si>
    <t>Drop Size</t>
  </si>
  <si>
    <t>SKU/Bills</t>
  </si>
  <si>
    <t>Remarks</t>
  </si>
  <si>
    <t>Total</t>
  </si>
  <si>
    <t xml:space="preserve">VACANT </t>
  </si>
  <si>
    <t>Lahore</t>
  </si>
  <si>
    <t>Rana Bilal</t>
  </si>
  <si>
    <t>Elite Marketing</t>
  </si>
  <si>
    <t>Zeeshan Maharban</t>
  </si>
  <si>
    <t>Salman Butt</t>
  </si>
  <si>
    <t>Shakoor LMT</t>
  </si>
  <si>
    <t>AHMED</t>
  </si>
  <si>
    <t xml:space="preserve">WASEEM BROTHER </t>
  </si>
  <si>
    <t>Ghulam Ahmed</t>
  </si>
  <si>
    <t>M Shahzad</t>
  </si>
  <si>
    <t>Usman Akbar</t>
  </si>
  <si>
    <t xml:space="preserve">ZOHAIB </t>
  </si>
  <si>
    <t xml:space="preserve">DOLPHIN TRADER </t>
  </si>
  <si>
    <t>Lahore Total</t>
  </si>
  <si>
    <t>Unique Productivity</t>
  </si>
  <si>
    <t>KPI's</t>
  </si>
  <si>
    <t>Target</t>
  </si>
  <si>
    <t>Ach(CTN)</t>
  </si>
  <si>
    <t>Nouman</t>
  </si>
  <si>
    <t>Shahzad Nayyar</t>
  </si>
  <si>
    <t>Muhammad Hassan</t>
  </si>
  <si>
    <t>Delivered Orders</t>
  </si>
  <si>
    <t>Booked CTN</t>
  </si>
  <si>
    <t>Delivered CTN</t>
  </si>
  <si>
    <t>Total Day</t>
  </si>
  <si>
    <t>Day Gone</t>
  </si>
  <si>
    <t>Day Gone %</t>
  </si>
  <si>
    <t>Remaining Day</t>
  </si>
  <si>
    <t>Secondary Sales Update</t>
  </si>
  <si>
    <t>Balance</t>
  </si>
  <si>
    <t>RPD</t>
  </si>
  <si>
    <t>Visit Shop</t>
  </si>
  <si>
    <t>Productive Shop</t>
  </si>
  <si>
    <t>Jabbar</t>
  </si>
  <si>
    <t>Rana Maqbool /Jan Muhamamd</t>
  </si>
  <si>
    <t>Jan Muhamamd</t>
  </si>
  <si>
    <t>M Salah /Muhammad Awais</t>
  </si>
  <si>
    <t>Azeem Arshad</t>
  </si>
  <si>
    <t xml:space="preserve">Umair </t>
  </si>
  <si>
    <t>Furqan</t>
  </si>
  <si>
    <t>Aqeel Malik (SD)</t>
  </si>
  <si>
    <t xml:space="preserve">Qasim Khan </t>
  </si>
  <si>
    <t xml:space="preserve">Yasir </t>
  </si>
  <si>
    <t>Nabeel Traders</t>
  </si>
  <si>
    <t xml:space="preserve">Qamar Ijaz </t>
  </si>
  <si>
    <t xml:space="preserve">Zeshan </t>
  </si>
  <si>
    <t>Umair Rehman</t>
  </si>
  <si>
    <t>Shakoor Husain</t>
  </si>
  <si>
    <t>Vacant</t>
  </si>
  <si>
    <t xml:space="preserve">Aqeel </t>
  </si>
  <si>
    <t xml:space="preserve">Qasim </t>
  </si>
  <si>
    <t>Sohail Kasoor SD</t>
  </si>
  <si>
    <t>ABSENT</t>
  </si>
  <si>
    <t>Abdullah Traders SD</t>
  </si>
  <si>
    <t>Kasur SD</t>
  </si>
  <si>
    <t>Nabeel Traders SD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</si>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</sst>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1"/>
      <color rgb="FF000000"/>
      <name val="Arial Unicode MS"/>
      <family val="2"/>
    </font>
    <font>
      <b/>
      <sz val="11"/>
      <color rgb="FFFF0000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Arial Unicode MS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2">
    <xf numFmtId="0" fontId="0" fillId="0" borderId="0" xfId="0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9" fontId="0" fillId="0" borderId="15" xfId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8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9" fontId="0" fillId="0" borderId="19" xfId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6" borderId="12" xfId="0" applyFill="1" applyBorder="1" applyAlignment="1">
      <alignment vertical="center"/>
    </xf>
    <xf numFmtId="0" fontId="0" fillId="6" borderId="16" xfId="0" applyFill="1" applyBorder="1" applyAlignment="1">
      <alignment vertical="center"/>
    </xf>
    <xf numFmtId="0" fontId="3" fillId="6" borderId="17" xfId="0" applyFont="1" applyFill="1" applyBorder="1"/>
    <xf numFmtId="0" fontId="4" fillId="6" borderId="17" xfId="0" applyFont="1" applyFill="1" applyBorder="1"/>
    <xf numFmtId="0" fontId="0" fillId="6" borderId="21" xfId="0" applyFill="1" applyBorder="1" applyAlignment="1">
      <alignment vertical="center"/>
    </xf>
    <xf numFmtId="1" fontId="2" fillId="7" borderId="7" xfId="0" applyNumberFormat="1" applyFont="1" applyFill="1" applyBorder="1" applyAlignment="1">
      <alignment horizontal="center"/>
    </xf>
    <xf numFmtId="1" fontId="2" fillId="7" borderId="8" xfId="0" applyNumberFormat="1" applyFont="1" applyFill="1" applyBorder="1" applyAlignment="1">
      <alignment horizontal="center"/>
    </xf>
    <xf numFmtId="9" fontId="2" fillId="7" borderId="10" xfId="1" applyFont="1" applyFill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21" xfId="0" applyFont="1" applyFill="1" applyBorder="1" applyAlignment="1">
      <alignment vertical="center" wrapText="1"/>
    </xf>
    <xf numFmtId="0" fontId="0" fillId="6" borderId="20" xfId="0" applyFill="1" applyBorder="1" applyAlignment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0" fillId="0" borderId="29" xfId="0" applyBorder="1"/>
    <xf numFmtId="1" fontId="0" fillId="0" borderId="29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9" fontId="0" fillId="0" borderId="33" xfId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0" fontId="0" fillId="0" borderId="34" xfId="0" applyBorder="1"/>
    <xf numFmtId="0" fontId="0" fillId="0" borderId="18" xfId="0" applyBorder="1"/>
    <xf numFmtId="1" fontId="0" fillId="0" borderId="23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9" fontId="0" fillId="0" borderId="24" xfId="1" applyFont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2" fillId="5" borderId="7" xfId="0" applyNumberFormat="1" applyFont="1" applyFill="1" applyBorder="1" applyAlignment="1">
      <alignment horizontal="center"/>
    </xf>
    <xf numFmtId="1" fontId="2" fillId="5" borderId="8" xfId="0" applyNumberFormat="1" applyFont="1" applyFill="1" applyBorder="1" applyAlignment="1">
      <alignment horizontal="center"/>
    </xf>
    <xf numFmtId="9" fontId="2" fillId="5" borderId="10" xfId="1" applyFont="1" applyFill="1" applyBorder="1" applyAlignment="1">
      <alignment horizontal="center"/>
    </xf>
    <xf numFmtId="1" fontId="2" fillId="5" borderId="10" xfId="0" applyNumberFormat="1" applyFont="1" applyFill="1" applyBorder="1" applyAlignment="1">
      <alignment horizontal="center"/>
    </xf>
    <xf numFmtId="1" fontId="2" fillId="5" borderId="28" xfId="0" applyNumberFormat="1" applyFont="1" applyFill="1" applyBorder="1" applyAlignment="1">
      <alignment horizontal="center"/>
    </xf>
    <xf numFmtId="0" fontId="0" fillId="0" borderId="35" xfId="0" applyBorder="1"/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vertical="center"/>
    </xf>
    <xf numFmtId="0" fontId="3" fillId="6" borderId="32" xfId="0" applyFont="1" applyFill="1" applyBorder="1"/>
    <xf numFmtId="0" fontId="5" fillId="6" borderId="17" xfId="0" applyFont="1" applyFill="1" applyBorder="1"/>
    <xf numFmtId="0" fontId="5" fillId="6" borderId="22" xfId="0" applyFont="1" applyFill="1" applyBorder="1"/>
    <xf numFmtId="0" fontId="0" fillId="6" borderId="17" xfId="0" applyFill="1" applyBorder="1" applyAlignment="1">
      <alignment vertical="center"/>
    </xf>
    <xf numFmtId="0" fontId="4" fillId="6" borderId="13" xfId="0" applyFont="1" applyFill="1" applyBorder="1"/>
    <xf numFmtId="0" fontId="4" fillId="6" borderId="22" xfId="0" applyFont="1" applyFill="1" applyBorder="1"/>
    <xf numFmtId="0" fontId="0" fillId="6" borderId="25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9" fontId="0" fillId="0" borderId="32" xfId="1" applyFon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9" fontId="0" fillId="0" borderId="17" xfId="1" applyFont="1" applyBorder="1" applyAlignment="1">
      <alignment horizontal="center"/>
    </xf>
    <xf numFmtId="9" fontId="0" fillId="0" borderId="16" xfId="1" applyFont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9" fontId="0" fillId="0" borderId="40" xfId="1" applyFon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9" fontId="2" fillId="5" borderId="9" xfId="1" applyFont="1" applyFill="1" applyBorder="1" applyAlignment="1">
      <alignment horizontal="center"/>
    </xf>
    <xf numFmtId="1" fontId="2" fillId="5" borderId="36" xfId="0" applyNumberFormat="1" applyFont="1" applyFill="1" applyBorder="1" applyAlignment="1">
      <alignment horizontal="center"/>
    </xf>
    <xf numFmtId="1" fontId="2" fillId="5" borderId="37" xfId="0" applyNumberFormat="1" applyFont="1" applyFill="1" applyBorder="1" applyAlignment="1">
      <alignment horizontal="center"/>
    </xf>
    <xf numFmtId="9" fontId="2" fillId="5" borderId="37" xfId="1" applyFont="1" applyFill="1" applyBorder="1" applyAlignment="1">
      <alignment horizontal="center"/>
    </xf>
    <xf numFmtId="1" fontId="2" fillId="5" borderId="38" xfId="0" applyNumberFormat="1" applyFont="1" applyFill="1" applyBorder="1" applyAlignment="1">
      <alignment horizontal="center"/>
    </xf>
    <xf numFmtId="1" fontId="2" fillId="5" borderId="11" xfId="0" applyNumberFormat="1" applyFont="1" applyFill="1" applyBorder="1" applyAlignment="1">
      <alignment horizontal="center"/>
    </xf>
    <xf numFmtId="9" fontId="0" fillId="0" borderId="13" xfId="1" applyFont="1" applyBorder="1" applyAlignment="1">
      <alignment horizontal="center"/>
    </xf>
    <xf numFmtId="9" fontId="0" fillId="0" borderId="12" xfId="1" applyFont="1" applyBorder="1" applyAlignment="1">
      <alignment horizontal="center"/>
    </xf>
    <xf numFmtId="9" fontId="2" fillId="7" borderId="9" xfId="1" applyFont="1" applyFill="1" applyBorder="1" applyAlignment="1">
      <alignment horizontal="center"/>
    </xf>
    <xf numFmtId="1" fontId="2" fillId="7" borderId="36" xfId="0" applyNumberFormat="1" applyFont="1" applyFill="1" applyBorder="1" applyAlignment="1">
      <alignment horizontal="center"/>
    </xf>
    <xf numFmtId="1" fontId="2" fillId="7" borderId="37" xfId="0" applyNumberFormat="1" applyFont="1" applyFill="1" applyBorder="1" applyAlignment="1">
      <alignment horizontal="center"/>
    </xf>
    <xf numFmtId="9" fontId="2" fillId="7" borderId="37" xfId="1" applyFont="1" applyFill="1" applyBorder="1" applyAlignment="1">
      <alignment horizontal="center"/>
    </xf>
    <xf numFmtId="1" fontId="2" fillId="7" borderId="38" xfId="0" applyNumberFormat="1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5" borderId="28" xfId="0" applyNumberFormat="1" applyFont="1" applyFill="1" applyBorder="1"/>
    <xf numFmtId="1" fontId="0" fillId="0" borderId="33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0" fontId="6" fillId="6" borderId="13" xfId="0" applyFont="1" applyFill="1" applyBorder="1"/>
    <xf numFmtId="1" fontId="0" fillId="0" borderId="42" xfId="0" applyNumberFormat="1" applyBorder="1" applyAlignment="1">
      <alignment horizontal="center"/>
    </xf>
    <xf numFmtId="0" fontId="6" fillId="6" borderId="17" xfId="0" applyFont="1" applyFill="1" applyBorder="1"/>
    <xf numFmtId="0" fontId="6" fillId="6" borderId="22" xfId="0" applyFont="1" applyFill="1" applyBorder="1"/>
    <xf numFmtId="0" fontId="3" fillId="6" borderId="13" xfId="0" applyFont="1" applyFill="1" applyBorder="1"/>
    <xf numFmtId="0" fontId="7" fillId="6" borderId="17" xfId="0" applyFont="1" applyFill="1" applyBorder="1"/>
    <xf numFmtId="0" fontId="7" fillId="6" borderId="22" xfId="0" applyFont="1" applyFill="1" applyBorder="1"/>
    <xf numFmtId="0" fontId="2" fillId="5" borderId="34" xfId="0" applyFont="1" applyFill="1" applyBorder="1"/>
    <xf numFmtId="0" fontId="2" fillId="0" borderId="34" xfId="0" applyFont="1" applyBorder="1" applyAlignment="1">
      <alignment horizontal="center"/>
    </xf>
    <xf numFmtId="0" fontId="2" fillId="0" borderId="34" xfId="0" applyFont="1" applyBorder="1"/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2"/>
  <sheetViews>
    <sheetView topLeftCell="E1" zoomScale="85" zoomScaleNormal="85" workbookViewId="0">
      <selection activeCell="L12" sqref="L12"/>
    </sheetView>
  </sheetViews>
  <sheetFormatPr defaultRowHeight="14.5" x14ac:dyDescent="0.35"/>
  <cols>
    <col min="1" max="1" width="13.54296875" bestFit="1" customWidth="1"/>
    <col min="2" max="2" width="14.7265625" bestFit="1" customWidth="1"/>
    <col min="3" max="3" width="15.26953125" bestFit="1" customWidth="1"/>
    <col min="4" max="4" width="18.26953125" bestFit="1" customWidth="1"/>
    <col min="5" max="5" width="23.7265625" bestFit="1" customWidth="1"/>
    <col min="6" max="6" width="28.6328125" bestFit="1" customWidth="1"/>
    <col min="7" max="7" width="5.453125" style="24" bestFit="1" customWidth="1"/>
    <col min="8" max="8" width="5.453125" style="24" customWidth="1"/>
    <col min="9" max="9" width="7.7265625" bestFit="1" customWidth="1"/>
    <col min="10" max="10" width="5.54296875" customWidth="1"/>
    <col min="11" max="11" width="8.1796875" bestFit="1" customWidth="1"/>
    <col min="12" max="12" width="8.81640625" bestFit="1" customWidth="1"/>
    <col min="13" max="13" width="7.81640625" bestFit="1" customWidth="1"/>
    <col min="14" max="14" width="5.26953125" customWidth="1"/>
    <col min="15" max="15" width="8.54296875" bestFit="1" customWidth="1"/>
    <col min="16" max="16" width="7.7265625" bestFit="1" customWidth="1"/>
    <col min="17" max="17" width="9.453125" customWidth="1"/>
    <col min="18" max="18" width="5.54296875" bestFit="1" customWidth="1"/>
    <col min="19" max="19" width="7.7265625" bestFit="1" customWidth="1"/>
    <col min="20" max="20" width="9.7265625" customWidth="1"/>
    <col min="21" max="21" width="5.54296875" bestFit="1" customWidth="1"/>
    <col min="22" max="22" width="5.7265625" customWidth="1"/>
    <col min="23" max="23" width="5.453125" bestFit="1" customWidth="1"/>
    <col min="24" max="24" width="20.453125" customWidth="1"/>
  </cols>
  <sheetData>
    <row r="1" spans="1:24" ht="15" thickBot="1" x14ac:dyDescent="0.4">
      <c r="G1" s="111" t="s">
        <v>0</v>
      </c>
      <c r="H1" s="112"/>
      <c r="I1" s="112"/>
      <c r="J1" s="112"/>
      <c r="K1" s="112"/>
      <c r="L1" s="112"/>
      <c r="M1" s="112"/>
      <c r="N1" s="112"/>
      <c r="O1" s="113"/>
      <c r="P1" s="114" t="s">
        <v>1</v>
      </c>
      <c r="Q1" s="115"/>
      <c r="R1" s="115"/>
      <c r="S1" s="115"/>
      <c r="T1" s="115"/>
      <c r="U1" s="115"/>
      <c r="V1" s="115"/>
      <c r="W1" s="116"/>
    </row>
    <row r="2" spans="1:24" ht="15" thickBot="1" x14ac:dyDescent="0.4">
      <c r="F2" s="89">
        <v>46312</v>
      </c>
      <c r="G2" s="117" t="s">
        <v>2</v>
      </c>
      <c r="H2" s="118"/>
      <c r="I2" s="118"/>
      <c r="J2" s="119"/>
      <c r="K2" s="118" t="s">
        <v>3</v>
      </c>
      <c r="L2" s="118"/>
      <c r="M2" s="119"/>
      <c r="N2" s="1"/>
      <c r="O2" s="2"/>
      <c r="P2" s="117" t="s">
        <v>2</v>
      </c>
      <c r="Q2" s="118"/>
      <c r="R2" s="119"/>
      <c r="S2" s="118" t="s">
        <v>3</v>
      </c>
      <c r="T2" s="118"/>
      <c r="U2" s="119"/>
      <c r="V2" s="1"/>
      <c r="W2" s="2"/>
    </row>
    <row r="3" spans="1:24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3" t="s">
        <v>10</v>
      </c>
      <c r="H3" s="6" t="s">
        <v>51</v>
      </c>
      <c r="I3" s="4" t="s">
        <v>11</v>
      </c>
      <c r="J3" s="5" t="s">
        <v>12</v>
      </c>
      <c r="K3" s="6" t="s">
        <v>13</v>
      </c>
      <c r="L3" s="4" t="s">
        <v>14</v>
      </c>
      <c r="M3" s="5" t="s">
        <v>12</v>
      </c>
      <c r="N3" s="6" t="s">
        <v>15</v>
      </c>
      <c r="O3" s="5" t="s">
        <v>16</v>
      </c>
      <c r="P3" s="3" t="s">
        <v>11</v>
      </c>
      <c r="Q3" s="4" t="s">
        <v>41</v>
      </c>
      <c r="R3" s="5" t="s">
        <v>12</v>
      </c>
      <c r="S3" s="6" t="s">
        <v>42</v>
      </c>
      <c r="T3" s="4" t="s">
        <v>43</v>
      </c>
      <c r="U3" s="5" t="s">
        <v>12</v>
      </c>
      <c r="V3" s="6" t="s">
        <v>15</v>
      </c>
      <c r="W3" s="5" t="s">
        <v>16</v>
      </c>
      <c r="X3" s="28" t="s">
        <v>17</v>
      </c>
    </row>
    <row r="4" spans="1:24" ht="17" thickBot="1" x14ac:dyDescent="0.5">
      <c r="A4" s="29" t="s">
        <v>20</v>
      </c>
      <c r="B4" s="46" t="s">
        <v>20</v>
      </c>
      <c r="C4" s="47" t="s">
        <v>21</v>
      </c>
      <c r="D4" s="47" t="s">
        <v>64</v>
      </c>
      <c r="E4" s="47" t="s">
        <v>22</v>
      </c>
      <c r="F4" s="48" t="s">
        <v>65</v>
      </c>
      <c r="G4" s="30">
        <v>50</v>
      </c>
      <c r="H4" s="68">
        <v>40</v>
      </c>
      <c r="I4" s="12">
        <v>10</v>
      </c>
      <c r="J4" s="32">
        <f>IFERROR(I4/G4,0)</f>
        <v>0.2</v>
      </c>
      <c r="K4" s="30">
        <v>40</v>
      </c>
      <c r="L4" s="12">
        <v>11.5</v>
      </c>
      <c r="M4" s="32">
        <f>IFERROR(L4/K4,0)</f>
        <v>0.28749999999999998</v>
      </c>
      <c r="N4" s="90">
        <f>IFERROR(L4/I4,0)</f>
        <v>1.1499999999999999</v>
      </c>
      <c r="O4" s="33"/>
      <c r="P4" s="30">
        <v>14</v>
      </c>
      <c r="Q4" s="31">
        <v>14</v>
      </c>
      <c r="R4" s="32">
        <f>IFERROR(Q4/P4,0)</f>
        <v>1</v>
      </c>
      <c r="S4" s="30">
        <v>14</v>
      </c>
      <c r="T4" s="31">
        <v>14</v>
      </c>
      <c r="U4" s="32">
        <f>IFERROR(T4/S4,0)</f>
        <v>1</v>
      </c>
      <c r="V4" s="90">
        <f>IFERROR(T4/Q4,0)</f>
        <v>1</v>
      </c>
      <c r="W4" s="33"/>
      <c r="X4" s="103"/>
    </row>
    <row r="5" spans="1:24" ht="17" thickBot="1" x14ac:dyDescent="0.5">
      <c r="A5" s="35" t="s">
        <v>20</v>
      </c>
      <c r="B5" s="26" t="s">
        <v>20</v>
      </c>
      <c r="C5" s="16" t="s">
        <v>21</v>
      </c>
      <c r="D5" s="47" t="s">
        <v>64</v>
      </c>
      <c r="E5" s="16" t="s">
        <v>22</v>
      </c>
      <c r="F5" s="17" t="s">
        <v>24</v>
      </c>
      <c r="G5" s="11">
        <v>50</v>
      </c>
      <c r="H5" s="71">
        <v>45</v>
      </c>
      <c r="I5" s="12">
        <v>20</v>
      </c>
      <c r="J5" s="13">
        <f t="shared" ref="J5:J32" si="0">IFERROR(I5/G5,0)</f>
        <v>0.4</v>
      </c>
      <c r="K5" s="11">
        <v>30</v>
      </c>
      <c r="L5" s="12">
        <v>12.025</v>
      </c>
      <c r="M5" s="70">
        <f t="shared" ref="M5:M32" si="1">IFERROR(L5/K5,0)</f>
        <v>0.40083333333333332</v>
      </c>
      <c r="N5" s="71">
        <f t="shared" ref="N5:N32" si="2">IFERROR(L5/I5,0)</f>
        <v>0.60125000000000006</v>
      </c>
      <c r="O5" s="14"/>
      <c r="P5" s="11">
        <v>20</v>
      </c>
      <c r="Q5" s="12">
        <v>19</v>
      </c>
      <c r="R5" s="13">
        <f t="shared" ref="R5:R32" si="3">IFERROR(Q5/P5,0)</f>
        <v>0.95</v>
      </c>
      <c r="S5" s="11">
        <v>10</v>
      </c>
      <c r="T5" s="12">
        <v>9</v>
      </c>
      <c r="U5" s="13">
        <f t="shared" ref="U5:U32" si="4">IFERROR(T5/S5,0)</f>
        <v>0.9</v>
      </c>
      <c r="V5" s="11">
        <f t="shared" ref="V5:V32" si="5">IFERROR(T5/Q5,0)</f>
        <v>0.47368421052631576</v>
      </c>
      <c r="W5" s="14"/>
      <c r="X5" s="103"/>
    </row>
    <row r="6" spans="1:24" ht="17" thickBot="1" x14ac:dyDescent="0.5">
      <c r="A6" s="35" t="s">
        <v>20</v>
      </c>
      <c r="B6" s="26" t="s">
        <v>20</v>
      </c>
      <c r="C6" s="16" t="s">
        <v>21</v>
      </c>
      <c r="D6" s="47" t="s">
        <v>64</v>
      </c>
      <c r="E6" s="16" t="s">
        <v>22</v>
      </c>
      <c r="F6" s="17" t="s">
        <v>66</v>
      </c>
      <c r="G6" s="11">
        <v>50</v>
      </c>
      <c r="H6" s="71">
        <v>40</v>
      </c>
      <c r="I6" s="12">
        <v>0</v>
      </c>
      <c r="J6" s="13">
        <f t="shared" si="0"/>
        <v>0</v>
      </c>
      <c r="K6" s="11">
        <v>25</v>
      </c>
      <c r="L6" s="12">
        <v>0</v>
      </c>
      <c r="M6" s="70">
        <f t="shared" si="1"/>
        <v>0</v>
      </c>
      <c r="N6" s="71">
        <f t="shared" si="2"/>
        <v>0</v>
      </c>
      <c r="O6" s="14"/>
      <c r="P6" s="11"/>
      <c r="Q6" s="12"/>
      <c r="R6" s="13">
        <f t="shared" si="3"/>
        <v>0</v>
      </c>
      <c r="S6" s="11"/>
      <c r="T6" s="12"/>
      <c r="U6" s="13">
        <f t="shared" si="4"/>
        <v>0</v>
      </c>
      <c r="V6" s="11">
        <f t="shared" si="5"/>
        <v>0</v>
      </c>
      <c r="W6" s="14"/>
      <c r="X6" s="103" t="s">
        <v>76</v>
      </c>
    </row>
    <row r="7" spans="1:24" ht="17" thickBot="1" x14ac:dyDescent="0.5">
      <c r="A7" s="35" t="s">
        <v>20</v>
      </c>
      <c r="B7" s="26" t="s">
        <v>20</v>
      </c>
      <c r="C7" s="16" t="s">
        <v>21</v>
      </c>
      <c r="D7" s="47" t="s">
        <v>64</v>
      </c>
      <c r="E7" s="16" t="s">
        <v>22</v>
      </c>
      <c r="F7" s="17" t="s">
        <v>53</v>
      </c>
      <c r="G7" s="11">
        <v>50</v>
      </c>
      <c r="H7" s="71">
        <v>45</v>
      </c>
      <c r="I7" s="12">
        <v>7</v>
      </c>
      <c r="J7" s="13">
        <f t="shared" si="0"/>
        <v>0.14000000000000001</v>
      </c>
      <c r="K7" s="11">
        <v>30</v>
      </c>
      <c r="L7" s="12">
        <v>8.6750000000000007</v>
      </c>
      <c r="M7" s="70">
        <f t="shared" si="1"/>
        <v>0.28916666666666668</v>
      </c>
      <c r="N7" s="71">
        <f t="shared" si="2"/>
        <v>1.2392857142857143</v>
      </c>
      <c r="O7" s="14"/>
      <c r="P7" s="11">
        <v>10</v>
      </c>
      <c r="Q7" s="12">
        <v>1</v>
      </c>
      <c r="R7" s="13">
        <f t="shared" si="3"/>
        <v>0.1</v>
      </c>
      <c r="S7" s="11">
        <v>9</v>
      </c>
      <c r="T7" s="12">
        <v>1</v>
      </c>
      <c r="U7" s="13">
        <f t="shared" si="4"/>
        <v>0.1111111111111111</v>
      </c>
      <c r="V7" s="11">
        <f t="shared" si="5"/>
        <v>1</v>
      </c>
      <c r="W7" s="14"/>
      <c r="X7" s="103"/>
    </row>
    <row r="8" spans="1:24" ht="17" thickBot="1" x14ac:dyDescent="0.5">
      <c r="A8" s="35" t="s">
        <v>20</v>
      </c>
      <c r="B8" s="26" t="s">
        <v>20</v>
      </c>
      <c r="C8" s="16" t="s">
        <v>21</v>
      </c>
      <c r="D8" s="47" t="s">
        <v>64</v>
      </c>
      <c r="E8" s="16" t="s">
        <v>22</v>
      </c>
      <c r="F8" s="17" t="s">
        <v>59</v>
      </c>
      <c r="G8" s="11">
        <v>50</v>
      </c>
      <c r="H8" s="71">
        <v>40</v>
      </c>
      <c r="I8" s="12">
        <v>6</v>
      </c>
      <c r="J8" s="13">
        <f t="shared" si="0"/>
        <v>0.12</v>
      </c>
      <c r="K8" s="11">
        <v>20</v>
      </c>
      <c r="L8" s="12">
        <v>22.45</v>
      </c>
      <c r="M8" s="70">
        <f t="shared" si="1"/>
        <v>1.1225000000000001</v>
      </c>
      <c r="N8" s="71">
        <f t="shared" si="2"/>
        <v>3.7416666666666667</v>
      </c>
      <c r="O8" s="14"/>
      <c r="P8" s="11">
        <v>8</v>
      </c>
      <c r="Q8" s="12">
        <v>7</v>
      </c>
      <c r="R8" s="13">
        <f t="shared" si="3"/>
        <v>0.875</v>
      </c>
      <c r="S8" s="11">
        <v>8</v>
      </c>
      <c r="T8" s="12">
        <v>6</v>
      </c>
      <c r="U8" s="13">
        <f t="shared" si="4"/>
        <v>0.75</v>
      </c>
      <c r="V8" s="11">
        <f t="shared" si="5"/>
        <v>0.8571428571428571</v>
      </c>
      <c r="W8" s="14"/>
      <c r="X8" s="103"/>
    </row>
    <row r="9" spans="1:24" ht="17" thickBot="1" x14ac:dyDescent="0.5">
      <c r="A9" s="35" t="s">
        <v>20</v>
      </c>
      <c r="B9" s="26" t="s">
        <v>20</v>
      </c>
      <c r="C9" s="16" t="s">
        <v>21</v>
      </c>
      <c r="D9" s="47" t="s">
        <v>64</v>
      </c>
      <c r="E9" s="16" t="s">
        <v>22</v>
      </c>
      <c r="F9" s="17" t="s">
        <v>68</v>
      </c>
      <c r="G9" s="11">
        <v>50</v>
      </c>
      <c r="H9" s="71">
        <v>0</v>
      </c>
      <c r="I9" s="12">
        <v>0</v>
      </c>
      <c r="J9" s="13">
        <f t="shared" si="0"/>
        <v>0</v>
      </c>
      <c r="K9" s="11">
        <v>80</v>
      </c>
      <c r="L9" s="12">
        <v>0</v>
      </c>
      <c r="M9" s="70">
        <f t="shared" si="1"/>
        <v>0</v>
      </c>
      <c r="N9" s="71">
        <f t="shared" si="2"/>
        <v>0</v>
      </c>
      <c r="O9" s="14"/>
      <c r="P9" s="11"/>
      <c r="Q9" s="12"/>
      <c r="R9" s="13">
        <f t="shared" si="3"/>
        <v>0</v>
      </c>
      <c r="S9" s="11"/>
      <c r="T9" s="12"/>
      <c r="U9" s="13">
        <f t="shared" si="4"/>
        <v>0</v>
      </c>
      <c r="V9" s="11">
        <f t="shared" si="5"/>
        <v>0</v>
      </c>
      <c r="W9" s="14"/>
      <c r="X9" s="103"/>
    </row>
    <row r="10" spans="1:24" ht="17" thickBot="1" x14ac:dyDescent="0.5">
      <c r="A10" s="35" t="s">
        <v>20</v>
      </c>
      <c r="B10" s="26" t="s">
        <v>20</v>
      </c>
      <c r="C10" s="16" t="s">
        <v>21</v>
      </c>
      <c r="D10" s="47" t="s">
        <v>64</v>
      </c>
      <c r="E10" s="16" t="s">
        <v>22</v>
      </c>
      <c r="F10" s="17" t="s">
        <v>67</v>
      </c>
      <c r="G10" s="11">
        <v>10</v>
      </c>
      <c r="H10" s="71">
        <v>10</v>
      </c>
      <c r="I10" s="12">
        <v>7</v>
      </c>
      <c r="J10" s="13">
        <f t="shared" si="0"/>
        <v>0.7</v>
      </c>
      <c r="K10" s="11">
        <v>20</v>
      </c>
      <c r="L10" s="12">
        <v>110</v>
      </c>
      <c r="M10" s="70">
        <f t="shared" si="1"/>
        <v>5.5</v>
      </c>
      <c r="N10" s="71">
        <f t="shared" si="2"/>
        <v>15.714285714285714</v>
      </c>
      <c r="O10" s="14"/>
      <c r="P10" s="11">
        <v>11</v>
      </c>
      <c r="Q10" s="12">
        <v>7</v>
      </c>
      <c r="R10" s="13">
        <f t="shared" si="3"/>
        <v>0.63636363636363635</v>
      </c>
      <c r="S10" s="11">
        <v>250</v>
      </c>
      <c r="T10" s="12">
        <v>215</v>
      </c>
      <c r="U10" s="13">
        <f t="shared" si="4"/>
        <v>0.86</v>
      </c>
      <c r="V10" s="11">
        <f t="shared" si="5"/>
        <v>30.714285714285715</v>
      </c>
      <c r="W10" s="14"/>
      <c r="X10" s="103"/>
    </row>
    <row r="11" spans="1:24" ht="17" thickBot="1" x14ac:dyDescent="0.5">
      <c r="A11" s="35" t="s">
        <v>20</v>
      </c>
      <c r="B11" s="26" t="s">
        <v>20</v>
      </c>
      <c r="C11" s="16" t="s">
        <v>21</v>
      </c>
      <c r="D11" s="47" t="s">
        <v>64</v>
      </c>
      <c r="E11" s="16" t="s">
        <v>22</v>
      </c>
      <c r="F11" s="17" t="s">
        <v>69</v>
      </c>
      <c r="G11" s="11">
        <v>50</v>
      </c>
      <c r="H11" s="71">
        <v>50</v>
      </c>
      <c r="I11" s="12">
        <v>20</v>
      </c>
      <c r="J11" s="13">
        <f t="shared" si="0"/>
        <v>0.4</v>
      </c>
      <c r="K11" s="11">
        <v>20</v>
      </c>
      <c r="L11" s="12">
        <v>18</v>
      </c>
      <c r="M11" s="70">
        <f t="shared" si="1"/>
        <v>0.9</v>
      </c>
      <c r="N11" s="71">
        <f t="shared" si="2"/>
        <v>0.9</v>
      </c>
      <c r="O11" s="14"/>
      <c r="P11" s="11">
        <v>10</v>
      </c>
      <c r="Q11" s="12">
        <v>10</v>
      </c>
      <c r="R11" s="13">
        <f t="shared" si="3"/>
        <v>1</v>
      </c>
      <c r="S11" s="11">
        <v>12</v>
      </c>
      <c r="T11" s="12">
        <v>12</v>
      </c>
      <c r="U11" s="13">
        <f t="shared" si="4"/>
        <v>1</v>
      </c>
      <c r="V11" s="11">
        <f t="shared" si="5"/>
        <v>1.2</v>
      </c>
      <c r="W11" s="14"/>
      <c r="X11" s="103"/>
    </row>
    <row r="12" spans="1:24" ht="17" thickBot="1" x14ac:dyDescent="0.5">
      <c r="A12" s="35" t="s">
        <v>20</v>
      </c>
      <c r="B12" s="26" t="s">
        <v>20</v>
      </c>
      <c r="C12" s="16" t="s">
        <v>21</v>
      </c>
      <c r="D12" s="47" t="s">
        <v>64</v>
      </c>
      <c r="E12" s="16" t="s">
        <v>22</v>
      </c>
      <c r="F12" s="17" t="s">
        <v>70</v>
      </c>
      <c r="G12" s="11">
        <v>50</v>
      </c>
      <c r="H12" s="71">
        <v>40</v>
      </c>
      <c r="I12" s="12">
        <v>10</v>
      </c>
      <c r="J12" s="13">
        <f t="shared" si="0"/>
        <v>0.2</v>
      </c>
      <c r="K12" s="11">
        <v>30</v>
      </c>
      <c r="L12" s="12">
        <v>8</v>
      </c>
      <c r="M12" s="13">
        <f t="shared" si="1"/>
        <v>0.26666666666666666</v>
      </c>
      <c r="N12" s="11">
        <f t="shared" si="2"/>
        <v>0.8</v>
      </c>
      <c r="O12" s="14"/>
      <c r="P12" s="11">
        <v>8</v>
      </c>
      <c r="Q12" s="12">
        <v>8</v>
      </c>
      <c r="R12" s="13">
        <f t="shared" si="3"/>
        <v>1</v>
      </c>
      <c r="S12" s="11">
        <v>7</v>
      </c>
      <c r="T12" s="12">
        <v>7</v>
      </c>
      <c r="U12" s="13">
        <f t="shared" si="4"/>
        <v>1</v>
      </c>
      <c r="V12" s="11">
        <f t="shared" si="5"/>
        <v>0.875</v>
      </c>
      <c r="W12" s="14"/>
      <c r="X12" s="103"/>
    </row>
    <row r="13" spans="1:24" ht="17" thickBot="1" x14ac:dyDescent="0.5">
      <c r="A13" s="35" t="s">
        <v>20</v>
      </c>
      <c r="B13" s="26" t="s">
        <v>20</v>
      </c>
      <c r="C13" s="16" t="s">
        <v>21</v>
      </c>
      <c r="D13" s="47" t="s">
        <v>64</v>
      </c>
      <c r="E13" s="16" t="s">
        <v>22</v>
      </c>
      <c r="F13" s="17" t="s">
        <v>62</v>
      </c>
      <c r="G13" s="11">
        <v>50</v>
      </c>
      <c r="H13" s="71">
        <v>40</v>
      </c>
      <c r="I13" s="12">
        <v>6</v>
      </c>
      <c r="J13" s="13">
        <f t="shared" si="0"/>
        <v>0.12</v>
      </c>
      <c r="K13" s="11">
        <v>30</v>
      </c>
      <c r="L13" s="12">
        <v>5</v>
      </c>
      <c r="M13" s="13">
        <f t="shared" si="1"/>
        <v>0.16666666666666666</v>
      </c>
      <c r="N13" s="11">
        <f t="shared" si="2"/>
        <v>0.83333333333333337</v>
      </c>
      <c r="O13" s="14"/>
      <c r="P13" s="11">
        <v>9</v>
      </c>
      <c r="Q13" s="12">
        <v>9</v>
      </c>
      <c r="R13" s="13">
        <f t="shared" si="3"/>
        <v>1</v>
      </c>
      <c r="S13" s="11">
        <v>8</v>
      </c>
      <c r="T13" s="12">
        <v>8</v>
      </c>
      <c r="U13" s="13">
        <f t="shared" si="4"/>
        <v>1</v>
      </c>
      <c r="V13" s="11">
        <f t="shared" si="5"/>
        <v>0.88888888888888884</v>
      </c>
      <c r="W13" s="14"/>
      <c r="X13" s="103"/>
    </row>
    <row r="14" spans="1:24" ht="22.5" customHeight="1" x14ac:dyDescent="0.45">
      <c r="A14" s="35" t="s">
        <v>20</v>
      </c>
      <c r="B14" s="26" t="s">
        <v>20</v>
      </c>
      <c r="C14" s="16" t="s">
        <v>21</v>
      </c>
      <c r="D14" s="47" t="s">
        <v>64</v>
      </c>
      <c r="E14" s="16" t="s">
        <v>22</v>
      </c>
      <c r="F14" s="49" t="s">
        <v>71</v>
      </c>
      <c r="G14" s="11">
        <v>1</v>
      </c>
      <c r="H14" s="71"/>
      <c r="I14" s="12"/>
      <c r="J14" s="13">
        <f t="shared" si="0"/>
        <v>0</v>
      </c>
      <c r="K14" s="11"/>
      <c r="L14" s="12"/>
      <c r="M14" s="13">
        <f t="shared" si="1"/>
        <v>0</v>
      </c>
      <c r="N14" s="11">
        <f t="shared" si="2"/>
        <v>0</v>
      </c>
      <c r="O14" s="14"/>
      <c r="P14" s="11"/>
      <c r="Q14" s="12"/>
      <c r="R14" s="13">
        <f t="shared" si="3"/>
        <v>0</v>
      </c>
      <c r="S14" s="11"/>
      <c r="T14" s="12"/>
      <c r="U14" s="13">
        <f t="shared" si="4"/>
        <v>0</v>
      </c>
      <c r="V14" s="11">
        <f t="shared" si="5"/>
        <v>0</v>
      </c>
      <c r="W14" s="14"/>
      <c r="X14" s="103"/>
    </row>
    <row r="15" spans="1:24" ht="16.5" hidden="1" x14ac:dyDescent="0.45">
      <c r="A15" s="35" t="s">
        <v>20</v>
      </c>
      <c r="B15" s="26" t="s">
        <v>20</v>
      </c>
      <c r="C15" s="16" t="s">
        <v>21</v>
      </c>
      <c r="D15" s="16" t="s">
        <v>19</v>
      </c>
      <c r="E15" s="16" t="s">
        <v>22</v>
      </c>
      <c r="F15" s="49"/>
      <c r="G15" s="11"/>
      <c r="H15" s="71"/>
      <c r="I15" s="12"/>
      <c r="J15" s="13">
        <f t="shared" si="0"/>
        <v>0</v>
      </c>
      <c r="K15" s="11">
        <v>1</v>
      </c>
      <c r="L15" s="12">
        <v>1</v>
      </c>
      <c r="M15" s="13">
        <f t="shared" si="1"/>
        <v>1</v>
      </c>
      <c r="N15" s="11">
        <f t="shared" si="2"/>
        <v>0</v>
      </c>
      <c r="O15" s="14"/>
      <c r="P15" s="11"/>
      <c r="Q15" s="12"/>
      <c r="R15" s="13">
        <f t="shared" si="3"/>
        <v>0</v>
      </c>
      <c r="S15" s="11"/>
      <c r="T15" s="12"/>
      <c r="U15" s="13">
        <f t="shared" si="4"/>
        <v>0</v>
      </c>
      <c r="V15" s="11">
        <f t="shared" si="5"/>
        <v>0</v>
      </c>
      <c r="W15" s="14"/>
      <c r="X15" s="34"/>
    </row>
    <row r="16" spans="1:24" ht="16.5" hidden="1" x14ac:dyDescent="0.45">
      <c r="A16" s="35" t="s">
        <v>20</v>
      </c>
      <c r="B16" s="26" t="s">
        <v>20</v>
      </c>
      <c r="C16" s="16" t="s">
        <v>21</v>
      </c>
      <c r="D16" s="16" t="s">
        <v>19</v>
      </c>
      <c r="E16" s="16" t="s">
        <v>22</v>
      </c>
      <c r="F16" s="49"/>
      <c r="G16" s="11"/>
      <c r="H16" s="71"/>
      <c r="I16" s="12"/>
      <c r="J16" s="13">
        <f t="shared" si="0"/>
        <v>0</v>
      </c>
      <c r="K16" s="11">
        <v>1</v>
      </c>
      <c r="L16" s="12">
        <v>1</v>
      </c>
      <c r="M16" s="13">
        <f t="shared" si="1"/>
        <v>1</v>
      </c>
      <c r="N16" s="11">
        <f t="shared" si="2"/>
        <v>0</v>
      </c>
      <c r="O16" s="14"/>
      <c r="P16" s="11"/>
      <c r="Q16" s="12"/>
      <c r="R16" s="13">
        <f t="shared" si="3"/>
        <v>0</v>
      </c>
      <c r="S16" s="11"/>
      <c r="T16" s="12"/>
      <c r="U16" s="13">
        <f t="shared" si="4"/>
        <v>0</v>
      </c>
      <c r="V16" s="11">
        <f t="shared" si="5"/>
        <v>0</v>
      </c>
      <c r="W16" s="14"/>
      <c r="X16" s="34"/>
    </row>
    <row r="17" spans="1:24" ht="16.5" hidden="1" x14ac:dyDescent="0.45">
      <c r="A17" s="35" t="s">
        <v>20</v>
      </c>
      <c r="B17" s="26" t="s">
        <v>20</v>
      </c>
      <c r="C17" s="16" t="s">
        <v>21</v>
      </c>
      <c r="D17" s="16" t="s">
        <v>19</v>
      </c>
      <c r="E17" s="16" t="s">
        <v>22</v>
      </c>
      <c r="F17" s="49"/>
      <c r="G17" s="11"/>
      <c r="H17" s="71"/>
      <c r="I17" s="12"/>
      <c r="J17" s="13">
        <f t="shared" si="0"/>
        <v>0</v>
      </c>
      <c r="K17" s="11">
        <v>1</v>
      </c>
      <c r="L17" s="12">
        <v>1</v>
      </c>
      <c r="M17" s="13">
        <f t="shared" si="1"/>
        <v>1</v>
      </c>
      <c r="N17" s="11">
        <f t="shared" si="2"/>
        <v>0</v>
      </c>
      <c r="O17" s="14"/>
      <c r="P17" s="11"/>
      <c r="Q17" s="12"/>
      <c r="R17" s="13">
        <f t="shared" si="3"/>
        <v>0</v>
      </c>
      <c r="S17" s="11"/>
      <c r="T17" s="12"/>
      <c r="U17" s="13">
        <f t="shared" si="4"/>
        <v>0</v>
      </c>
      <c r="V17" s="11">
        <f t="shared" si="5"/>
        <v>0</v>
      </c>
      <c r="W17" s="14"/>
      <c r="X17" s="34"/>
    </row>
    <row r="18" spans="1:24" ht="16.5" hidden="1" x14ac:dyDescent="0.45">
      <c r="A18" s="35" t="s">
        <v>20</v>
      </c>
      <c r="B18" s="26" t="s">
        <v>20</v>
      </c>
      <c r="C18" s="16" t="s">
        <v>21</v>
      </c>
      <c r="D18" s="16" t="s">
        <v>19</v>
      </c>
      <c r="E18" s="16" t="s">
        <v>22</v>
      </c>
      <c r="F18" s="49"/>
      <c r="G18" s="11"/>
      <c r="H18" s="71"/>
      <c r="I18" s="12"/>
      <c r="J18" s="13">
        <f t="shared" si="0"/>
        <v>0</v>
      </c>
      <c r="K18" s="11">
        <v>1</v>
      </c>
      <c r="L18" s="12">
        <v>1</v>
      </c>
      <c r="M18" s="13">
        <f t="shared" si="1"/>
        <v>1</v>
      </c>
      <c r="N18" s="11">
        <f t="shared" si="2"/>
        <v>0</v>
      </c>
      <c r="O18" s="14"/>
      <c r="P18" s="11"/>
      <c r="Q18" s="12"/>
      <c r="R18" s="13">
        <f t="shared" si="3"/>
        <v>0</v>
      </c>
      <c r="S18" s="11"/>
      <c r="T18" s="12"/>
      <c r="U18" s="13">
        <f t="shared" si="4"/>
        <v>0</v>
      </c>
      <c r="V18" s="11">
        <f t="shared" si="5"/>
        <v>0</v>
      </c>
      <c r="W18" s="14"/>
      <c r="X18" s="34"/>
    </row>
    <row r="19" spans="1:24" ht="17" thickBot="1" x14ac:dyDescent="0.5">
      <c r="A19" s="35" t="s">
        <v>20</v>
      </c>
      <c r="B19" s="26" t="s">
        <v>20</v>
      </c>
      <c r="C19" s="16" t="s">
        <v>21</v>
      </c>
      <c r="D19" s="19" t="s">
        <v>19</v>
      </c>
      <c r="E19" s="19" t="s">
        <v>22</v>
      </c>
      <c r="F19" s="50" t="s">
        <v>75</v>
      </c>
      <c r="G19" s="36">
        <v>0</v>
      </c>
      <c r="H19" s="74"/>
      <c r="I19" s="37">
        <v>0</v>
      </c>
      <c r="J19" s="38">
        <f t="shared" si="0"/>
        <v>0</v>
      </c>
      <c r="K19" s="36">
        <v>0</v>
      </c>
      <c r="L19" s="37"/>
      <c r="M19" s="38">
        <f t="shared" si="1"/>
        <v>0</v>
      </c>
      <c r="N19" s="36">
        <f t="shared" si="2"/>
        <v>0</v>
      </c>
      <c r="O19" s="39"/>
      <c r="P19" s="36">
        <v>1</v>
      </c>
      <c r="Q19" s="37">
        <v>1</v>
      </c>
      <c r="R19" s="38">
        <f t="shared" si="3"/>
        <v>1</v>
      </c>
      <c r="S19" s="36">
        <v>196</v>
      </c>
      <c r="T19" s="37">
        <v>196</v>
      </c>
      <c r="U19" s="38">
        <f t="shared" si="4"/>
        <v>1</v>
      </c>
      <c r="V19" s="36">
        <f t="shared" si="5"/>
        <v>196</v>
      </c>
      <c r="W19" s="39">
        <v>1</v>
      </c>
      <c r="X19" s="34"/>
    </row>
    <row r="20" spans="1:24" ht="15" thickBot="1" x14ac:dyDescent="0.4">
      <c r="A20" s="35" t="s">
        <v>20</v>
      </c>
      <c r="B20" s="26" t="s">
        <v>20</v>
      </c>
      <c r="C20" s="51" t="s">
        <v>21</v>
      </c>
      <c r="D20" s="105" t="s">
        <v>18</v>
      </c>
      <c r="E20" s="106"/>
      <c r="F20" s="107"/>
      <c r="G20" s="40">
        <f>SUM(G4:G19)</f>
        <v>461</v>
      </c>
      <c r="H20" s="41">
        <f>SUM(H4:H19)</f>
        <v>350</v>
      </c>
      <c r="I20" s="41">
        <f>SUM(I4:I19)</f>
        <v>86</v>
      </c>
      <c r="J20" s="42">
        <f t="shared" si="0"/>
        <v>0.18655097613882862</v>
      </c>
      <c r="K20" s="40">
        <f t="shared" ref="K20" si="6">SUM(K4:K19)</f>
        <v>329</v>
      </c>
      <c r="L20" s="40">
        <f>SUM(L4:L19)</f>
        <v>199.65</v>
      </c>
      <c r="M20" s="42">
        <f t="shared" si="1"/>
        <v>0.60683890577507604</v>
      </c>
      <c r="N20" s="40">
        <f t="shared" si="2"/>
        <v>2.3215116279069767</v>
      </c>
      <c r="O20" s="43" t="e">
        <f>AVERAGE(O4:O19)</f>
        <v>#DIV/0!</v>
      </c>
      <c r="P20" s="40">
        <f t="shared" ref="P20" si="7">SUM(P4:P19)</f>
        <v>91</v>
      </c>
      <c r="Q20" s="41">
        <f t="shared" ref="Q20" si="8">SUM(Q4:Q19)</f>
        <v>76</v>
      </c>
      <c r="R20" s="42">
        <f t="shared" si="3"/>
        <v>0.8351648351648352</v>
      </c>
      <c r="S20" s="40">
        <f t="shared" ref="S20" si="9">SUM(S4:S19)</f>
        <v>514</v>
      </c>
      <c r="T20" s="41">
        <f t="shared" ref="T20" si="10">SUM(T4:T19)</f>
        <v>468</v>
      </c>
      <c r="U20" s="42">
        <f t="shared" si="4"/>
        <v>0.91050583657587547</v>
      </c>
      <c r="V20" s="40">
        <f t="shared" si="5"/>
        <v>6.1578947368421053</v>
      </c>
      <c r="W20" s="43">
        <f>AVERAGE(W4:W19)</f>
        <v>1</v>
      </c>
      <c r="X20" s="44"/>
    </row>
    <row r="21" spans="1:24" ht="16.5" x14ac:dyDescent="0.45">
      <c r="A21" s="35" t="s">
        <v>20</v>
      </c>
      <c r="B21" s="26" t="s">
        <v>20</v>
      </c>
      <c r="C21" s="16" t="s">
        <v>21</v>
      </c>
      <c r="D21" s="15" t="s">
        <v>26</v>
      </c>
      <c r="E21" s="15" t="s">
        <v>27</v>
      </c>
      <c r="F21" s="52" t="s">
        <v>54</v>
      </c>
      <c r="G21" s="7">
        <v>1</v>
      </c>
      <c r="H21" s="8"/>
      <c r="I21" s="8"/>
      <c r="J21" s="9">
        <f t="shared" si="0"/>
        <v>0</v>
      </c>
      <c r="K21" s="7">
        <v>1</v>
      </c>
      <c r="L21" s="8">
        <v>1</v>
      </c>
      <c r="M21" s="9">
        <f t="shared" si="1"/>
        <v>1</v>
      </c>
      <c r="N21" s="7">
        <f t="shared" si="2"/>
        <v>0</v>
      </c>
      <c r="O21" s="10"/>
      <c r="P21" s="7">
        <v>1</v>
      </c>
      <c r="Q21" s="8">
        <v>1</v>
      </c>
      <c r="R21" s="9">
        <f t="shared" si="3"/>
        <v>1</v>
      </c>
      <c r="S21" s="7">
        <v>1</v>
      </c>
      <c r="T21" s="8">
        <v>1</v>
      </c>
      <c r="U21" s="9">
        <f t="shared" si="4"/>
        <v>1</v>
      </c>
      <c r="V21" s="7">
        <f t="shared" si="5"/>
        <v>1</v>
      </c>
      <c r="W21" s="10"/>
      <c r="X21" s="34"/>
    </row>
    <row r="22" spans="1:24" ht="16.5" x14ac:dyDescent="0.45">
      <c r="A22" s="35" t="s">
        <v>20</v>
      </c>
      <c r="B22" s="26" t="s">
        <v>20</v>
      </c>
      <c r="C22" s="16" t="s">
        <v>21</v>
      </c>
      <c r="D22" s="16" t="s">
        <v>26</v>
      </c>
      <c r="E22" s="16" t="s">
        <v>27</v>
      </c>
      <c r="F22" s="18" t="s">
        <v>28</v>
      </c>
      <c r="G22" s="11">
        <v>1</v>
      </c>
      <c r="H22" s="12"/>
      <c r="I22" s="12"/>
      <c r="J22" s="13">
        <f t="shared" si="0"/>
        <v>0</v>
      </c>
      <c r="K22" s="11">
        <v>1</v>
      </c>
      <c r="L22" s="12">
        <v>1</v>
      </c>
      <c r="M22" s="13">
        <f t="shared" si="1"/>
        <v>1</v>
      </c>
      <c r="N22" s="11">
        <f t="shared" si="2"/>
        <v>0</v>
      </c>
      <c r="O22" s="14"/>
      <c r="P22" s="11">
        <v>1</v>
      </c>
      <c r="Q22" s="12">
        <v>1</v>
      </c>
      <c r="R22" s="13">
        <f t="shared" si="3"/>
        <v>1</v>
      </c>
      <c r="S22" s="11">
        <v>1</v>
      </c>
      <c r="T22" s="12">
        <v>1</v>
      </c>
      <c r="U22" s="13">
        <f t="shared" si="4"/>
        <v>1</v>
      </c>
      <c r="V22" s="11">
        <f t="shared" si="5"/>
        <v>1</v>
      </c>
      <c r="W22" s="14"/>
      <c r="X22" s="34"/>
    </row>
    <row r="23" spans="1:24" ht="16.5" x14ac:dyDescent="0.45">
      <c r="A23" s="35" t="s">
        <v>20</v>
      </c>
      <c r="B23" s="26" t="s">
        <v>20</v>
      </c>
      <c r="C23" s="16" t="s">
        <v>21</v>
      </c>
      <c r="D23" s="16" t="s">
        <v>26</v>
      </c>
      <c r="E23" s="16" t="s">
        <v>27</v>
      </c>
      <c r="F23" s="18" t="s">
        <v>29</v>
      </c>
      <c r="G23" s="11">
        <v>1</v>
      </c>
      <c r="H23" s="12"/>
      <c r="I23" s="12"/>
      <c r="J23" s="13">
        <f t="shared" si="0"/>
        <v>0</v>
      </c>
      <c r="K23" s="11">
        <v>1</v>
      </c>
      <c r="L23" s="12">
        <v>1</v>
      </c>
      <c r="M23" s="13">
        <f t="shared" si="1"/>
        <v>1</v>
      </c>
      <c r="N23" s="11">
        <f t="shared" si="2"/>
        <v>0</v>
      </c>
      <c r="O23" s="14"/>
      <c r="P23" s="11">
        <v>1</v>
      </c>
      <c r="Q23" s="12">
        <v>1</v>
      </c>
      <c r="R23" s="13">
        <f t="shared" si="3"/>
        <v>1</v>
      </c>
      <c r="S23" s="11">
        <v>1</v>
      </c>
      <c r="T23" s="12">
        <v>1</v>
      </c>
      <c r="U23" s="13">
        <f t="shared" si="4"/>
        <v>1</v>
      </c>
      <c r="V23" s="11">
        <f t="shared" si="5"/>
        <v>1</v>
      </c>
      <c r="W23" s="14"/>
      <c r="X23" s="34"/>
    </row>
    <row r="24" spans="1:24" ht="16.5" x14ac:dyDescent="0.45">
      <c r="A24" s="35" t="s">
        <v>20</v>
      </c>
      <c r="B24" s="26" t="s">
        <v>20</v>
      </c>
      <c r="C24" s="16" t="s">
        <v>21</v>
      </c>
      <c r="D24" s="16" t="s">
        <v>26</v>
      </c>
      <c r="E24" s="16" t="s">
        <v>27</v>
      </c>
      <c r="F24" s="18" t="s">
        <v>30</v>
      </c>
      <c r="G24" s="11">
        <v>1</v>
      </c>
      <c r="H24" s="12"/>
      <c r="I24" s="12"/>
      <c r="J24" s="13">
        <f t="shared" si="0"/>
        <v>0</v>
      </c>
      <c r="K24" s="11">
        <v>1</v>
      </c>
      <c r="L24" s="12">
        <v>1</v>
      </c>
      <c r="M24" s="13">
        <f t="shared" si="1"/>
        <v>1</v>
      </c>
      <c r="N24" s="11">
        <f t="shared" si="2"/>
        <v>0</v>
      </c>
      <c r="O24" s="14"/>
      <c r="P24" s="11">
        <v>1</v>
      </c>
      <c r="Q24" s="12">
        <v>1</v>
      </c>
      <c r="R24" s="13">
        <f t="shared" si="3"/>
        <v>1</v>
      </c>
      <c r="S24" s="11">
        <v>1</v>
      </c>
      <c r="T24" s="12">
        <v>1</v>
      </c>
      <c r="U24" s="13">
        <f t="shared" si="4"/>
        <v>1</v>
      </c>
      <c r="V24" s="11">
        <f t="shared" si="5"/>
        <v>1</v>
      </c>
      <c r="W24" s="14"/>
      <c r="X24" s="34"/>
    </row>
    <row r="25" spans="1:24" ht="17" thickBot="1" x14ac:dyDescent="0.5">
      <c r="A25" s="35" t="s">
        <v>20</v>
      </c>
      <c r="B25" s="26" t="s">
        <v>20</v>
      </c>
      <c r="C25" s="16" t="s">
        <v>21</v>
      </c>
      <c r="D25" s="19" t="s">
        <v>26</v>
      </c>
      <c r="E25" s="19" t="s">
        <v>27</v>
      </c>
      <c r="F25" s="53" t="s">
        <v>38</v>
      </c>
      <c r="G25" s="36">
        <v>1</v>
      </c>
      <c r="H25" s="37"/>
      <c r="I25" s="37"/>
      <c r="J25" s="38">
        <f t="shared" si="0"/>
        <v>0</v>
      </c>
      <c r="K25" s="36">
        <v>1</v>
      </c>
      <c r="L25" s="37">
        <v>1</v>
      </c>
      <c r="M25" s="38">
        <f t="shared" si="1"/>
        <v>1</v>
      </c>
      <c r="N25" s="36">
        <f t="shared" si="2"/>
        <v>0</v>
      </c>
      <c r="O25" s="39">
        <v>1</v>
      </c>
      <c r="P25" s="36">
        <v>1</v>
      </c>
      <c r="Q25" s="37">
        <v>1</v>
      </c>
      <c r="R25" s="38">
        <f t="shared" si="3"/>
        <v>1</v>
      </c>
      <c r="S25" s="36">
        <v>1</v>
      </c>
      <c r="T25" s="37">
        <v>1</v>
      </c>
      <c r="U25" s="38">
        <f t="shared" si="4"/>
        <v>1</v>
      </c>
      <c r="V25" s="36">
        <f t="shared" si="5"/>
        <v>1</v>
      </c>
      <c r="W25" s="39">
        <v>1</v>
      </c>
      <c r="X25" s="34"/>
    </row>
    <row r="26" spans="1:24" ht="15" thickBot="1" x14ac:dyDescent="0.4">
      <c r="A26" s="35" t="s">
        <v>20</v>
      </c>
      <c r="B26" s="26" t="s">
        <v>20</v>
      </c>
      <c r="C26" s="51" t="s">
        <v>21</v>
      </c>
      <c r="D26" s="105" t="s">
        <v>18</v>
      </c>
      <c r="E26" s="106"/>
      <c r="F26" s="107"/>
      <c r="G26" s="40">
        <f>SUM(G21:G25)</f>
        <v>5</v>
      </c>
      <c r="H26" s="41">
        <f t="shared" ref="H26:I26" si="11">SUM(H21:H25)</f>
        <v>0</v>
      </c>
      <c r="I26" s="41">
        <f t="shared" si="11"/>
        <v>0</v>
      </c>
      <c r="J26" s="42">
        <f t="shared" si="0"/>
        <v>0</v>
      </c>
      <c r="K26" s="40">
        <v>1</v>
      </c>
      <c r="L26" s="41">
        <v>1</v>
      </c>
      <c r="M26" s="42">
        <f t="shared" si="1"/>
        <v>1</v>
      </c>
      <c r="N26" s="40">
        <f t="shared" si="2"/>
        <v>0</v>
      </c>
      <c r="O26" s="43">
        <f>AVERAGE(O21:O25)</f>
        <v>1</v>
      </c>
      <c r="P26" s="40">
        <f>SUM(P21:P25)</f>
        <v>5</v>
      </c>
      <c r="Q26" s="41">
        <f t="shared" ref="Q26" si="12">SUM(Q21:Q25)</f>
        <v>5</v>
      </c>
      <c r="R26" s="42">
        <f t="shared" si="3"/>
        <v>1</v>
      </c>
      <c r="S26" s="40">
        <f>SUM(S21:S25)</f>
        <v>5</v>
      </c>
      <c r="T26" s="41">
        <f t="shared" ref="T26" si="13">SUM(T21:T25)</f>
        <v>5</v>
      </c>
      <c r="U26" s="42">
        <f t="shared" si="4"/>
        <v>1</v>
      </c>
      <c r="V26" s="40">
        <f t="shared" si="5"/>
        <v>1</v>
      </c>
      <c r="W26" s="43">
        <f>AVERAGE(W21:W25)</f>
        <v>1</v>
      </c>
      <c r="X26" s="44"/>
    </row>
    <row r="27" spans="1:24" ht="16.5" x14ac:dyDescent="0.45">
      <c r="A27" s="35" t="s">
        <v>20</v>
      </c>
      <c r="B27" s="26" t="s">
        <v>20</v>
      </c>
      <c r="C27" s="16" t="s">
        <v>21</v>
      </c>
      <c r="D27" s="15" t="s">
        <v>31</v>
      </c>
      <c r="E27" s="15" t="s">
        <v>32</v>
      </c>
      <c r="F27" s="52" t="s">
        <v>39</v>
      </c>
      <c r="G27" s="7">
        <v>1</v>
      </c>
      <c r="H27" s="8"/>
      <c r="I27" s="8"/>
      <c r="J27" s="9">
        <f t="shared" si="0"/>
        <v>0</v>
      </c>
      <c r="K27" s="7">
        <v>1</v>
      </c>
      <c r="L27" s="8">
        <v>1</v>
      </c>
      <c r="M27" s="9">
        <f t="shared" si="1"/>
        <v>1</v>
      </c>
      <c r="N27" s="7">
        <f t="shared" si="2"/>
        <v>0</v>
      </c>
      <c r="O27" s="10">
        <v>1</v>
      </c>
      <c r="P27" s="7">
        <v>1</v>
      </c>
      <c r="Q27" s="8">
        <v>1</v>
      </c>
      <c r="R27" s="9">
        <f t="shared" si="3"/>
        <v>1</v>
      </c>
      <c r="S27" s="7">
        <v>1</v>
      </c>
      <c r="T27" s="8">
        <v>1</v>
      </c>
      <c r="U27" s="9">
        <f t="shared" si="4"/>
        <v>1</v>
      </c>
      <c r="V27" s="7">
        <f t="shared" si="5"/>
        <v>1</v>
      </c>
      <c r="W27" s="10">
        <v>1</v>
      </c>
      <c r="X27" s="34"/>
    </row>
    <row r="28" spans="1:24" ht="16.5" x14ac:dyDescent="0.45">
      <c r="A28" s="35" t="s">
        <v>20</v>
      </c>
      <c r="B28" s="26" t="s">
        <v>20</v>
      </c>
      <c r="C28" s="16" t="s">
        <v>21</v>
      </c>
      <c r="D28" s="16" t="s">
        <v>31</v>
      </c>
      <c r="E28" s="16" t="s">
        <v>32</v>
      </c>
      <c r="F28" s="18" t="s">
        <v>56</v>
      </c>
      <c r="G28" s="11">
        <v>1</v>
      </c>
      <c r="H28" s="8"/>
      <c r="I28" s="12"/>
      <c r="J28" s="13">
        <f t="shared" si="0"/>
        <v>0</v>
      </c>
      <c r="K28" s="11">
        <v>1</v>
      </c>
      <c r="L28" s="12">
        <v>1</v>
      </c>
      <c r="M28" s="13">
        <f t="shared" si="1"/>
        <v>1</v>
      </c>
      <c r="N28" s="11">
        <f t="shared" si="2"/>
        <v>0</v>
      </c>
      <c r="O28" s="14"/>
      <c r="P28" s="11">
        <v>1</v>
      </c>
      <c r="Q28" s="12">
        <v>1</v>
      </c>
      <c r="R28" s="13">
        <f t="shared" si="3"/>
        <v>1</v>
      </c>
      <c r="S28" s="11">
        <v>1</v>
      </c>
      <c r="T28" s="12">
        <v>1</v>
      </c>
      <c r="U28" s="13">
        <f t="shared" si="4"/>
        <v>1</v>
      </c>
      <c r="V28" s="11">
        <f t="shared" si="5"/>
        <v>1</v>
      </c>
      <c r="W28" s="14"/>
      <c r="X28" s="34"/>
    </row>
    <row r="29" spans="1:24" ht="16.5" x14ac:dyDescent="0.45">
      <c r="A29" s="35" t="s">
        <v>20</v>
      </c>
      <c r="B29" s="26" t="s">
        <v>20</v>
      </c>
      <c r="C29" s="16" t="s">
        <v>21</v>
      </c>
      <c r="D29" s="16" t="s">
        <v>31</v>
      </c>
      <c r="E29" s="16" t="s">
        <v>32</v>
      </c>
      <c r="F29" s="18" t="s">
        <v>40</v>
      </c>
      <c r="G29" s="11">
        <v>1</v>
      </c>
      <c r="H29" s="8"/>
      <c r="I29" s="12"/>
      <c r="J29" s="13">
        <f t="shared" si="0"/>
        <v>0</v>
      </c>
      <c r="K29" s="11">
        <v>1</v>
      </c>
      <c r="L29" s="12">
        <v>1</v>
      </c>
      <c r="M29" s="13">
        <f t="shared" si="1"/>
        <v>1</v>
      </c>
      <c r="N29" s="11">
        <f t="shared" si="2"/>
        <v>0</v>
      </c>
      <c r="O29" s="14"/>
      <c r="P29" s="11">
        <v>1</v>
      </c>
      <c r="Q29" s="12">
        <v>1</v>
      </c>
      <c r="R29" s="13">
        <f t="shared" si="3"/>
        <v>1</v>
      </c>
      <c r="S29" s="11">
        <v>1</v>
      </c>
      <c r="T29" s="12">
        <v>1</v>
      </c>
      <c r="U29" s="13">
        <f t="shared" si="4"/>
        <v>1</v>
      </c>
      <c r="V29" s="11">
        <f t="shared" si="5"/>
        <v>1</v>
      </c>
      <c r="W29" s="14"/>
      <c r="X29" s="34"/>
    </row>
    <row r="30" spans="1:24" ht="17" thickBot="1" x14ac:dyDescent="0.5">
      <c r="A30" s="35" t="s">
        <v>20</v>
      </c>
      <c r="B30" s="26" t="s">
        <v>20</v>
      </c>
      <c r="C30" s="16" t="s">
        <v>21</v>
      </c>
      <c r="D30" s="19" t="s">
        <v>31</v>
      </c>
      <c r="E30" s="19" t="s">
        <v>32</v>
      </c>
      <c r="F30" s="53" t="s">
        <v>57</v>
      </c>
      <c r="G30" s="36">
        <v>1</v>
      </c>
      <c r="H30" s="8"/>
      <c r="I30" s="37"/>
      <c r="J30" s="38">
        <f t="shared" si="0"/>
        <v>0</v>
      </c>
      <c r="K30" s="36">
        <v>1</v>
      </c>
      <c r="L30" s="37">
        <v>1</v>
      </c>
      <c r="M30" s="38">
        <f t="shared" si="1"/>
        <v>1</v>
      </c>
      <c r="N30" s="36">
        <f t="shared" si="2"/>
        <v>0</v>
      </c>
      <c r="O30" s="39"/>
      <c r="P30" s="36">
        <v>1</v>
      </c>
      <c r="Q30" s="37">
        <v>1</v>
      </c>
      <c r="R30" s="38">
        <f t="shared" si="3"/>
        <v>1</v>
      </c>
      <c r="S30" s="36">
        <v>1</v>
      </c>
      <c r="T30" s="37">
        <v>1</v>
      </c>
      <c r="U30" s="38">
        <f t="shared" si="4"/>
        <v>1</v>
      </c>
      <c r="V30" s="36">
        <f t="shared" si="5"/>
        <v>1</v>
      </c>
      <c r="W30" s="39"/>
      <c r="X30" s="34"/>
    </row>
    <row r="31" spans="1:24" ht="15" thickBot="1" x14ac:dyDescent="0.4">
      <c r="A31" s="35" t="s">
        <v>20</v>
      </c>
      <c r="B31" s="54" t="s">
        <v>20</v>
      </c>
      <c r="C31" s="55" t="s">
        <v>21</v>
      </c>
      <c r="D31" s="108" t="s">
        <v>18</v>
      </c>
      <c r="E31" s="109"/>
      <c r="F31" s="110"/>
      <c r="G31" s="40">
        <f>SUM(G27:G30)</f>
        <v>4</v>
      </c>
      <c r="H31" s="41">
        <f t="shared" ref="H31:I31" si="14">SUM(H27:H30)</f>
        <v>0</v>
      </c>
      <c r="I31" s="41">
        <f t="shared" si="14"/>
        <v>0</v>
      </c>
      <c r="J31" s="42">
        <f t="shared" si="0"/>
        <v>0</v>
      </c>
      <c r="K31" s="40">
        <v>1</v>
      </c>
      <c r="L31" s="41">
        <v>1</v>
      </c>
      <c r="M31" s="42">
        <f t="shared" si="1"/>
        <v>1</v>
      </c>
      <c r="N31" s="40">
        <f t="shared" si="2"/>
        <v>0</v>
      </c>
      <c r="O31" s="43">
        <f>AVERAGE(O27:O30)</f>
        <v>1</v>
      </c>
      <c r="P31" s="40">
        <f>SUM(P27:P30)</f>
        <v>4</v>
      </c>
      <c r="Q31" s="41">
        <f t="shared" ref="Q31" si="15">SUM(Q27:Q30)</f>
        <v>4</v>
      </c>
      <c r="R31" s="42">
        <f t="shared" si="3"/>
        <v>1</v>
      </c>
      <c r="S31" s="40">
        <f>SUM(S27:S30)</f>
        <v>4</v>
      </c>
      <c r="T31" s="41">
        <f t="shared" ref="T31" si="16">SUM(T27:T30)</f>
        <v>4</v>
      </c>
      <c r="U31" s="42">
        <f t="shared" si="4"/>
        <v>1</v>
      </c>
      <c r="V31" s="40">
        <f t="shared" si="5"/>
        <v>1</v>
      </c>
      <c r="W31" s="43">
        <f>AVERAGE(W27:W30)</f>
        <v>1</v>
      </c>
      <c r="X31" s="44"/>
    </row>
    <row r="32" spans="1:24" ht="15" thickBot="1" x14ac:dyDescent="0.4">
      <c r="A32" s="45" t="s">
        <v>20</v>
      </c>
      <c r="B32" s="56" t="s">
        <v>33</v>
      </c>
      <c r="C32" s="57"/>
      <c r="D32" s="57"/>
      <c r="E32" s="57"/>
      <c r="F32" s="57"/>
      <c r="G32" s="20">
        <f>+G31+G26+G20</f>
        <v>470</v>
      </c>
      <c r="H32" s="21">
        <f t="shared" ref="H32:I32" si="17">+H31+H26+H20</f>
        <v>350</v>
      </c>
      <c r="I32" s="21">
        <f t="shared" si="17"/>
        <v>86</v>
      </c>
      <c r="J32" s="22">
        <f t="shared" si="0"/>
        <v>0.18297872340425531</v>
      </c>
      <c r="K32" s="20">
        <v>1</v>
      </c>
      <c r="L32" s="21">
        <v>1</v>
      </c>
      <c r="M32" s="22">
        <f t="shared" si="1"/>
        <v>1</v>
      </c>
      <c r="N32" s="20">
        <f t="shared" si="2"/>
        <v>1.1627906976744186E-2</v>
      </c>
      <c r="O32" s="23" t="e">
        <f>AVERAGE(O31,O20,O26)</f>
        <v>#DIV/0!</v>
      </c>
      <c r="P32" s="20">
        <f>+P31+P26+P20</f>
        <v>100</v>
      </c>
      <c r="Q32" s="21">
        <f t="shared" ref="Q32" si="18">+Q31+Q26+Q20</f>
        <v>85</v>
      </c>
      <c r="R32" s="22">
        <f t="shared" si="3"/>
        <v>0.85</v>
      </c>
      <c r="S32" s="20">
        <f>+S31+S26+S20</f>
        <v>523</v>
      </c>
      <c r="T32" s="21">
        <f t="shared" ref="T32" si="19">+T31+T26+T20</f>
        <v>477</v>
      </c>
      <c r="U32" s="22">
        <f t="shared" si="4"/>
        <v>0.91204588910133844</v>
      </c>
      <c r="V32" s="20">
        <f t="shared" si="5"/>
        <v>5.6117647058823525</v>
      </c>
      <c r="W32" s="23">
        <f>AVERAGE(W31,W20,W26)</f>
        <v>1</v>
      </c>
      <c r="X32" s="34"/>
    </row>
  </sheetData>
  <mergeCells count="9">
    <mergeCell ref="D20:F20"/>
    <mergeCell ref="D26:F26"/>
    <mergeCell ref="D31:F31"/>
    <mergeCell ref="G1:O1"/>
    <mergeCell ref="P1:W1"/>
    <mergeCell ref="G2:J2"/>
    <mergeCell ref="K2:M2"/>
    <mergeCell ref="P2:R2"/>
    <mergeCell ref="S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3A274-C162-4D95-8CE5-F3DF4FC60319}">
  <dimension ref="A1:R29"/>
  <sheetViews>
    <sheetView tabSelected="1" workbookViewId="0">
      <selection activeCell="E2" sqref="E2"/>
    </sheetView>
  </sheetViews>
  <sheetFormatPr defaultColWidth="9.1796875" defaultRowHeight="14.5" x14ac:dyDescent="0.35"/>
  <cols>
    <col min="1" max="1" width="13.54296875" bestFit="1" customWidth="1"/>
    <col min="2" max="2" width="14.7265625" bestFit="1" customWidth="1"/>
    <col min="3" max="3" width="15.26953125" bestFit="1" customWidth="1"/>
    <col min="4" max="4" width="18.26953125" bestFit="1" customWidth="1"/>
    <col min="5" max="5" width="23.7265625" bestFit="1" customWidth="1"/>
    <col min="6" max="6" width="28.6328125" bestFit="1" customWidth="1"/>
    <col min="7" max="7" width="6.26953125" style="24" customWidth="1"/>
    <col min="8" max="8" width="6.26953125" style="24" hidden="1" customWidth="1"/>
    <col min="9" max="9" width="10.54296875" customWidth="1"/>
    <col min="10" max="10" width="5.54296875" customWidth="1"/>
    <col min="11" max="11" width="8.1796875" bestFit="1" customWidth="1"/>
    <col min="12" max="12" width="9.26953125" bestFit="1" customWidth="1"/>
    <col min="13" max="13" width="7.7265625" bestFit="1" customWidth="1"/>
    <col min="14" max="15" width="7.7265625" customWidth="1"/>
    <col min="16" max="16" width="5.26953125" customWidth="1"/>
    <col min="18" max="18" width="14.7265625" bestFit="1" customWidth="1"/>
  </cols>
  <sheetData>
    <row r="1" spans="1:18" ht="15" thickBot="1" x14ac:dyDescent="0.4">
      <c r="A1" s="61" t="s">
        <v>44</v>
      </c>
      <c r="B1" s="61" t="s">
        <v>45</v>
      </c>
      <c r="C1" s="61" t="s">
        <v>46</v>
      </c>
      <c r="D1" s="61" t="s">
        <v>47</v>
      </c>
    </row>
    <row r="2" spans="1:18" ht="15" thickBot="1" x14ac:dyDescent="0.4">
      <c r="A2" s="91">
        <v>27</v>
      </c>
      <c r="B2" s="24">
        <v>20</v>
      </c>
      <c r="C2" s="62">
        <f>+B2/A2</f>
        <v>0.7407407407407407</v>
      </c>
      <c r="D2" s="91">
        <f>+A2-B2</f>
        <v>7</v>
      </c>
      <c r="F2" s="89">
        <v>46318</v>
      </c>
      <c r="G2" s="117" t="s">
        <v>34</v>
      </c>
      <c r="H2" s="118"/>
      <c r="I2" s="118"/>
      <c r="J2" s="118"/>
      <c r="K2" s="114" t="s">
        <v>48</v>
      </c>
      <c r="L2" s="115"/>
      <c r="M2" s="115"/>
      <c r="N2" s="115"/>
      <c r="O2" s="116"/>
      <c r="P2" s="120" t="s">
        <v>35</v>
      </c>
      <c r="Q2" s="121"/>
    </row>
    <row r="3" spans="1:18" ht="29.5" thickBot="1" x14ac:dyDescent="0.4">
      <c r="A3" s="25" t="s">
        <v>4</v>
      </c>
      <c r="B3" s="25" t="s">
        <v>5</v>
      </c>
      <c r="C3" s="25" t="s">
        <v>6</v>
      </c>
      <c r="D3" s="25" t="s">
        <v>7</v>
      </c>
      <c r="E3" s="25" t="s">
        <v>8</v>
      </c>
      <c r="F3" s="27" t="s">
        <v>9</v>
      </c>
      <c r="G3" s="58" t="s">
        <v>10</v>
      </c>
      <c r="H3" s="66" t="s">
        <v>51</v>
      </c>
      <c r="I3" s="59" t="s">
        <v>52</v>
      </c>
      <c r="J3" s="27" t="s">
        <v>12</v>
      </c>
      <c r="K3" s="63" t="s">
        <v>36</v>
      </c>
      <c r="L3" s="64" t="s">
        <v>37</v>
      </c>
      <c r="M3" s="64" t="s">
        <v>12</v>
      </c>
      <c r="N3" s="64" t="s">
        <v>49</v>
      </c>
      <c r="O3" s="65" t="s">
        <v>50</v>
      </c>
      <c r="P3" s="66" t="s">
        <v>15</v>
      </c>
      <c r="Q3" s="60" t="s">
        <v>16</v>
      </c>
      <c r="R3" s="28" t="s">
        <v>17</v>
      </c>
    </row>
    <row r="4" spans="1:18" ht="17" thickBot="1" x14ac:dyDescent="0.5">
      <c r="A4" s="29" t="s">
        <v>20</v>
      </c>
      <c r="B4" s="46" t="s">
        <v>20</v>
      </c>
      <c r="C4" s="47" t="s">
        <v>21</v>
      </c>
      <c r="D4" s="47" t="s">
        <v>64</v>
      </c>
      <c r="E4" s="47" t="s">
        <v>22</v>
      </c>
      <c r="F4" s="99" t="s">
        <v>23</v>
      </c>
      <c r="G4" s="30">
        <v>325</v>
      </c>
      <c r="H4" s="68"/>
      <c r="I4" s="31">
        <f>15+13+9+11+10+11+8+12+12+8+10+12+7+29+20</f>
        <v>187</v>
      </c>
      <c r="J4" s="67">
        <f>IFERROR(I4/G4,0)</f>
        <v>0.57538461538461538</v>
      </c>
      <c r="K4" s="7">
        <v>450</v>
      </c>
      <c r="L4" s="8">
        <v>247.2</v>
      </c>
      <c r="M4" s="82">
        <f>IFERROR(L4/K4,0)</f>
        <v>0.54933333333333334</v>
      </c>
      <c r="N4" s="8">
        <f t="shared" ref="N4:N7" si="0">K4-L4</f>
        <v>202.8</v>
      </c>
      <c r="O4" s="10">
        <f t="shared" ref="O4:O7" si="1">N4/$D$2</f>
        <v>28.971428571428572</v>
      </c>
      <c r="P4" s="68">
        <f t="shared" ref="P4:P16" si="2">L4/I4</f>
        <v>1.3219251336898394</v>
      </c>
      <c r="Q4" s="33"/>
      <c r="R4" s="34"/>
    </row>
    <row r="5" spans="1:18" ht="17" thickBot="1" x14ac:dyDescent="0.5">
      <c r="A5" s="35" t="s">
        <v>20</v>
      </c>
      <c r="B5" s="26" t="s">
        <v>20</v>
      </c>
      <c r="C5" s="16" t="s">
        <v>21</v>
      </c>
      <c r="D5" s="47" t="s">
        <v>64</v>
      </c>
      <c r="E5" s="16" t="s">
        <v>22</v>
      </c>
      <c r="F5" s="17" t="s">
        <v>24</v>
      </c>
      <c r="G5" s="11">
        <v>237</v>
      </c>
      <c r="H5" s="71"/>
      <c r="I5" s="12">
        <f>6+5+5+3+3+4+3+5+10+19+20+23+20+14+13+14</f>
        <v>167</v>
      </c>
      <c r="J5" s="69">
        <f t="shared" ref="J5:J29" si="3">IFERROR(I5/G5,0)</f>
        <v>0.70464135021097052</v>
      </c>
      <c r="K5" s="11">
        <v>350</v>
      </c>
      <c r="L5" s="12">
        <v>146.44999999999999</v>
      </c>
      <c r="M5" s="70">
        <f t="shared" ref="M5:M29" si="4">IFERROR(L5/K5,0)</f>
        <v>0.41842857142857137</v>
      </c>
      <c r="N5" s="12">
        <f t="shared" si="0"/>
        <v>203.55</v>
      </c>
      <c r="O5" s="14">
        <f t="shared" si="1"/>
        <v>29.078571428571429</v>
      </c>
      <c r="P5" s="71">
        <f t="shared" si="2"/>
        <v>0.87694610778443105</v>
      </c>
      <c r="Q5" s="14"/>
      <c r="R5" s="34"/>
    </row>
    <row r="6" spans="1:18" ht="17" thickBot="1" x14ac:dyDescent="0.5">
      <c r="A6" s="35" t="s">
        <v>20</v>
      </c>
      <c r="B6" s="26" t="s">
        <v>20</v>
      </c>
      <c r="C6" s="16" t="s">
        <v>21</v>
      </c>
      <c r="D6" s="47" t="s">
        <v>64</v>
      </c>
      <c r="E6" s="16" t="s">
        <v>22</v>
      </c>
      <c r="F6" s="17" t="s">
        <v>58</v>
      </c>
      <c r="G6" s="11">
        <v>250</v>
      </c>
      <c r="H6" s="71"/>
      <c r="I6" s="12">
        <v>19</v>
      </c>
      <c r="J6" s="69">
        <f t="shared" si="3"/>
        <v>7.5999999999999998E-2</v>
      </c>
      <c r="K6" s="11">
        <v>350</v>
      </c>
      <c r="L6" s="12">
        <v>29.324999999999999</v>
      </c>
      <c r="M6" s="70">
        <f t="shared" si="4"/>
        <v>8.3785714285714283E-2</v>
      </c>
      <c r="N6" s="12">
        <f t="shared" si="0"/>
        <v>320.67500000000001</v>
      </c>
      <c r="O6" s="14">
        <f t="shared" si="1"/>
        <v>45.81071428571429</v>
      </c>
      <c r="P6" s="71">
        <f t="shared" si="2"/>
        <v>1.5434210526315788</v>
      </c>
      <c r="Q6" s="14"/>
      <c r="R6" s="102" t="s">
        <v>72</v>
      </c>
    </row>
    <row r="7" spans="1:18" ht="17" thickBot="1" x14ac:dyDescent="0.5">
      <c r="A7" s="35" t="s">
        <v>20</v>
      </c>
      <c r="B7" s="26" t="s">
        <v>20</v>
      </c>
      <c r="C7" s="16" t="s">
        <v>21</v>
      </c>
      <c r="D7" s="47" t="s">
        <v>64</v>
      </c>
      <c r="E7" s="16" t="s">
        <v>22</v>
      </c>
      <c r="F7" s="17" t="s">
        <v>53</v>
      </c>
      <c r="G7" s="11">
        <v>288</v>
      </c>
      <c r="H7" s="71"/>
      <c r="I7" s="12">
        <f>2+2+6+4+9+7+8+1+6+6+8+4+4+5</f>
        <v>72</v>
      </c>
      <c r="J7" s="69">
        <f t="shared" si="3"/>
        <v>0.25</v>
      </c>
      <c r="K7" s="11">
        <v>250</v>
      </c>
      <c r="L7" s="12">
        <v>113.325</v>
      </c>
      <c r="M7" s="70">
        <f t="shared" si="4"/>
        <v>0.45330000000000004</v>
      </c>
      <c r="N7" s="12">
        <f t="shared" si="0"/>
        <v>136.67500000000001</v>
      </c>
      <c r="O7" s="14">
        <f t="shared" si="1"/>
        <v>19.525000000000002</v>
      </c>
      <c r="P7" s="71">
        <f t="shared" si="2"/>
        <v>1.5739583333333333</v>
      </c>
      <c r="Q7" s="14"/>
      <c r="R7" s="34"/>
    </row>
    <row r="8" spans="1:18" ht="17" thickBot="1" x14ac:dyDescent="0.5">
      <c r="A8" s="35" t="s">
        <v>20</v>
      </c>
      <c r="B8" s="26" t="s">
        <v>20</v>
      </c>
      <c r="C8" s="16" t="s">
        <v>21</v>
      </c>
      <c r="D8" s="47" t="s">
        <v>64</v>
      </c>
      <c r="E8" s="16" t="s">
        <v>22</v>
      </c>
      <c r="F8" s="17" t="s">
        <v>59</v>
      </c>
      <c r="G8" s="11">
        <v>357</v>
      </c>
      <c r="H8" s="71"/>
      <c r="I8" s="12">
        <f>3+6+7+6+6+3+5+8+6+4+6+10+10+9</f>
        <v>89</v>
      </c>
      <c r="J8" s="69">
        <f t="shared" si="3"/>
        <v>0.24929971988795518</v>
      </c>
      <c r="K8" s="11">
        <v>250</v>
      </c>
      <c r="L8" s="12">
        <v>120.55</v>
      </c>
      <c r="M8" s="70">
        <f t="shared" si="4"/>
        <v>0.48219999999999996</v>
      </c>
      <c r="N8" s="12">
        <f t="shared" ref="N8:N29" si="5">K8-L8</f>
        <v>129.44999999999999</v>
      </c>
      <c r="O8" s="14">
        <f t="shared" ref="O8:O29" si="6">N8/$D$2</f>
        <v>18.49285714285714</v>
      </c>
      <c r="P8" s="71">
        <f t="shared" si="2"/>
        <v>1.354494382022472</v>
      </c>
      <c r="Q8" s="14"/>
      <c r="R8" s="34"/>
    </row>
    <row r="9" spans="1:18" ht="17" thickBot="1" x14ac:dyDescent="0.5">
      <c r="A9" s="35" t="s">
        <v>20</v>
      </c>
      <c r="B9" s="26" t="s">
        <v>20</v>
      </c>
      <c r="C9" s="16" t="s">
        <v>21</v>
      </c>
      <c r="D9" s="47" t="s">
        <v>64</v>
      </c>
      <c r="E9" s="16" t="s">
        <v>22</v>
      </c>
      <c r="F9" s="17" t="s">
        <v>68</v>
      </c>
      <c r="G9" s="11">
        <v>150</v>
      </c>
      <c r="H9" s="71"/>
      <c r="I9" s="12">
        <v>0</v>
      </c>
      <c r="J9" s="69">
        <f t="shared" si="3"/>
        <v>0</v>
      </c>
      <c r="K9" s="11">
        <v>150</v>
      </c>
      <c r="L9" s="12">
        <v>0</v>
      </c>
      <c r="M9" s="70">
        <f t="shared" si="4"/>
        <v>0</v>
      </c>
      <c r="N9" s="12">
        <v>0</v>
      </c>
      <c r="O9" s="14">
        <f t="shared" si="6"/>
        <v>0</v>
      </c>
      <c r="P9" s="71" t="e">
        <f t="shared" si="2"/>
        <v>#DIV/0!</v>
      </c>
      <c r="Q9" s="14"/>
      <c r="R9" s="34"/>
    </row>
    <row r="10" spans="1:18" ht="17" thickBot="1" x14ac:dyDescent="0.5">
      <c r="A10" s="35" t="s">
        <v>20</v>
      </c>
      <c r="B10" s="26" t="s">
        <v>20</v>
      </c>
      <c r="C10" s="16" t="s">
        <v>21</v>
      </c>
      <c r="D10" s="47" t="s">
        <v>64</v>
      </c>
      <c r="E10" s="16" t="s">
        <v>22</v>
      </c>
      <c r="F10" s="17" t="s">
        <v>25</v>
      </c>
      <c r="G10" s="11">
        <v>111</v>
      </c>
      <c r="H10" s="71"/>
      <c r="I10" s="12">
        <f>28+9+9+5+6+4+3</f>
        <v>64</v>
      </c>
      <c r="J10" s="69">
        <f t="shared" si="3"/>
        <v>0.57657657657657657</v>
      </c>
      <c r="K10" s="11">
        <v>2300</v>
      </c>
      <c r="L10" s="12">
        <v>1555.95</v>
      </c>
      <c r="M10" s="70">
        <f t="shared" si="4"/>
        <v>0.67649999999999999</v>
      </c>
      <c r="N10" s="12">
        <f t="shared" si="5"/>
        <v>744.05</v>
      </c>
      <c r="O10" s="14">
        <f t="shared" si="6"/>
        <v>106.29285714285713</v>
      </c>
      <c r="P10" s="71">
        <f t="shared" si="2"/>
        <v>24.311718750000001</v>
      </c>
      <c r="Q10" s="14"/>
      <c r="R10" s="34"/>
    </row>
    <row r="11" spans="1:18" ht="17" thickBot="1" x14ac:dyDescent="0.5">
      <c r="A11" s="35" t="s">
        <v>20</v>
      </c>
      <c r="B11" s="26" t="s">
        <v>20</v>
      </c>
      <c r="C11" s="16" t="s">
        <v>21</v>
      </c>
      <c r="D11" s="47" t="s">
        <v>64</v>
      </c>
      <c r="E11" s="16" t="s">
        <v>22</v>
      </c>
      <c r="F11" s="17" t="s">
        <v>60</v>
      </c>
      <c r="G11" s="11">
        <v>322</v>
      </c>
      <c r="H11" s="71"/>
      <c r="I11" s="12">
        <f>82+12+14+10</f>
        <v>118</v>
      </c>
      <c r="J11" s="69">
        <f t="shared" si="3"/>
        <v>0.36645962732919257</v>
      </c>
      <c r="K11" s="11">
        <v>450</v>
      </c>
      <c r="L11" s="12">
        <f>106+16+15+38+16+18+9+16+11+14+12</f>
        <v>271</v>
      </c>
      <c r="M11" s="70">
        <f t="shared" si="4"/>
        <v>0.60222222222222221</v>
      </c>
      <c r="N11" s="12">
        <f t="shared" si="5"/>
        <v>179</v>
      </c>
      <c r="O11" s="14">
        <f t="shared" si="6"/>
        <v>25.571428571428573</v>
      </c>
      <c r="P11" s="71">
        <f t="shared" si="2"/>
        <v>2.2966101694915255</v>
      </c>
      <c r="Q11" s="14"/>
      <c r="R11" s="104"/>
    </row>
    <row r="12" spans="1:18" ht="17" thickBot="1" x14ac:dyDescent="0.5">
      <c r="A12" s="35" t="s">
        <v>20</v>
      </c>
      <c r="B12" s="26" t="s">
        <v>20</v>
      </c>
      <c r="C12" s="16" t="s">
        <v>21</v>
      </c>
      <c r="D12" s="47" t="s">
        <v>64</v>
      </c>
      <c r="E12" s="16" t="s">
        <v>22</v>
      </c>
      <c r="F12" s="17" t="s">
        <v>61</v>
      </c>
      <c r="G12" s="11">
        <v>311</v>
      </c>
      <c r="H12" s="71"/>
      <c r="I12" s="12">
        <f>80+8+10+8</f>
        <v>106</v>
      </c>
      <c r="J12" s="69">
        <f t="shared" si="3"/>
        <v>0.34083601286173631</v>
      </c>
      <c r="K12" s="11">
        <v>300</v>
      </c>
      <c r="L12" s="12">
        <f>100+8+8+6+8+8+6+8+11+8+12</f>
        <v>183</v>
      </c>
      <c r="M12" s="70">
        <f t="shared" si="4"/>
        <v>0.61</v>
      </c>
      <c r="N12" s="12">
        <f t="shared" si="5"/>
        <v>117</v>
      </c>
      <c r="O12" s="14">
        <f t="shared" si="6"/>
        <v>16.714285714285715</v>
      </c>
      <c r="P12" s="71">
        <f t="shared" si="2"/>
        <v>1.7264150943396226</v>
      </c>
      <c r="Q12" s="14"/>
      <c r="R12" s="104"/>
    </row>
    <row r="13" spans="1:18" ht="17" thickBot="1" x14ac:dyDescent="0.5">
      <c r="A13" s="35" t="s">
        <v>20</v>
      </c>
      <c r="B13" s="26" t="s">
        <v>20</v>
      </c>
      <c r="C13" s="16" t="s">
        <v>21</v>
      </c>
      <c r="D13" s="47" t="s">
        <v>64</v>
      </c>
      <c r="E13" s="16" t="s">
        <v>22</v>
      </c>
      <c r="F13" s="17" t="s">
        <v>62</v>
      </c>
      <c r="G13" s="11">
        <v>140</v>
      </c>
      <c r="H13" s="71"/>
      <c r="I13" s="12">
        <f>68+10+4+5</f>
        <v>87</v>
      </c>
      <c r="J13" s="69">
        <f t="shared" si="3"/>
        <v>0.62142857142857144</v>
      </c>
      <c r="K13" s="11">
        <v>250</v>
      </c>
      <c r="L13" s="12">
        <f>50+10+10+4+5+5+3.5+8+4+10</f>
        <v>109.5</v>
      </c>
      <c r="M13" s="70">
        <f t="shared" si="4"/>
        <v>0.438</v>
      </c>
      <c r="N13" s="12">
        <f t="shared" si="5"/>
        <v>140.5</v>
      </c>
      <c r="O13" s="14">
        <f t="shared" si="6"/>
        <v>20.071428571428573</v>
      </c>
      <c r="P13" s="71">
        <f t="shared" si="2"/>
        <v>1.2586206896551724</v>
      </c>
      <c r="Q13" s="14"/>
      <c r="R13" s="104"/>
    </row>
    <row r="14" spans="1:18" ht="17" thickBot="1" x14ac:dyDescent="0.5">
      <c r="A14" s="35" t="s">
        <v>20</v>
      </c>
      <c r="B14" s="26" t="s">
        <v>20</v>
      </c>
      <c r="C14" s="16" t="s">
        <v>21</v>
      </c>
      <c r="D14" s="47" t="s">
        <v>64</v>
      </c>
      <c r="E14" s="16" t="s">
        <v>22</v>
      </c>
      <c r="F14" s="100" t="s">
        <v>74</v>
      </c>
      <c r="G14" s="11">
        <v>1</v>
      </c>
      <c r="H14" s="71"/>
      <c r="I14" s="12">
        <v>1</v>
      </c>
      <c r="J14" s="69">
        <f t="shared" si="3"/>
        <v>1</v>
      </c>
      <c r="K14" s="11">
        <v>100</v>
      </c>
      <c r="L14" s="12">
        <v>90</v>
      </c>
      <c r="M14" s="70">
        <f t="shared" si="4"/>
        <v>0.9</v>
      </c>
      <c r="N14" s="12">
        <f t="shared" si="5"/>
        <v>10</v>
      </c>
      <c r="O14" s="14">
        <f t="shared" si="6"/>
        <v>1.4285714285714286</v>
      </c>
      <c r="P14" s="71">
        <f t="shared" si="2"/>
        <v>90</v>
      </c>
      <c r="Q14" s="14"/>
      <c r="R14" s="34"/>
    </row>
    <row r="15" spans="1:18" ht="17" thickBot="1" x14ac:dyDescent="0.5">
      <c r="A15" s="35" t="s">
        <v>20</v>
      </c>
      <c r="B15" s="26" t="s">
        <v>20</v>
      </c>
      <c r="C15" s="16" t="s">
        <v>21</v>
      </c>
      <c r="D15" s="47" t="s">
        <v>64</v>
      </c>
      <c r="E15" s="16" t="s">
        <v>22</v>
      </c>
      <c r="F15" s="100" t="s">
        <v>73</v>
      </c>
      <c r="G15" s="11">
        <v>1</v>
      </c>
      <c r="H15" s="71"/>
      <c r="I15" s="12">
        <v>1</v>
      </c>
      <c r="J15" s="69">
        <f t="shared" si="3"/>
        <v>1</v>
      </c>
      <c r="K15" s="11">
        <v>100</v>
      </c>
      <c r="L15" s="12">
        <v>75</v>
      </c>
      <c r="M15" s="70">
        <f t="shared" si="4"/>
        <v>0.75</v>
      </c>
      <c r="N15" s="12">
        <f t="shared" si="5"/>
        <v>25</v>
      </c>
      <c r="O15" s="14">
        <f t="shared" si="6"/>
        <v>3.5714285714285716</v>
      </c>
      <c r="P15" s="71">
        <f t="shared" si="2"/>
        <v>75</v>
      </c>
      <c r="Q15" s="14"/>
      <c r="R15" s="34"/>
    </row>
    <row r="16" spans="1:18" ht="17" thickBot="1" x14ac:dyDescent="0.5">
      <c r="A16" s="35" t="s">
        <v>20</v>
      </c>
      <c r="B16" s="26" t="s">
        <v>20</v>
      </c>
      <c r="C16" s="16" t="s">
        <v>21</v>
      </c>
      <c r="D16" s="47" t="s">
        <v>64</v>
      </c>
      <c r="E16" s="16" t="s">
        <v>22</v>
      </c>
      <c r="F16" s="101" t="s">
        <v>63</v>
      </c>
      <c r="G16" s="11"/>
      <c r="H16" s="71"/>
      <c r="I16" s="12"/>
      <c r="J16" s="69">
        <f t="shared" si="3"/>
        <v>0</v>
      </c>
      <c r="K16" s="11"/>
      <c r="L16" s="12"/>
      <c r="M16" s="70">
        <f t="shared" si="4"/>
        <v>0</v>
      </c>
      <c r="N16" s="12">
        <f t="shared" si="5"/>
        <v>0</v>
      </c>
      <c r="O16" s="14">
        <f t="shared" si="6"/>
        <v>0</v>
      </c>
      <c r="P16" s="71" t="e">
        <f t="shared" si="2"/>
        <v>#DIV/0!</v>
      </c>
      <c r="Q16" s="14"/>
      <c r="R16" s="34"/>
    </row>
    <row r="17" spans="1:18" ht="15" thickBot="1" x14ac:dyDescent="0.4">
      <c r="A17" s="35" t="s">
        <v>20</v>
      </c>
      <c r="B17" s="26" t="s">
        <v>20</v>
      </c>
      <c r="C17" s="51" t="s">
        <v>21</v>
      </c>
      <c r="D17" s="108" t="s">
        <v>18</v>
      </c>
      <c r="E17" s="109"/>
      <c r="F17" s="110"/>
      <c r="G17" s="40">
        <f>SUM(G4:G15)</f>
        <v>2493</v>
      </c>
      <c r="H17" s="41">
        <f>SUM(H4:H13)</f>
        <v>0</v>
      </c>
      <c r="I17" s="41">
        <f>SUM(I4:I16)</f>
        <v>911</v>
      </c>
      <c r="J17" s="75">
        <f t="shared" si="3"/>
        <v>0.36542318491776976</v>
      </c>
      <c r="K17" s="76">
        <f>SUM(K4:K16)</f>
        <v>5300</v>
      </c>
      <c r="L17" s="77">
        <f>SUM(L4:L16)</f>
        <v>2941.3</v>
      </c>
      <c r="M17" s="78">
        <f t="shared" si="4"/>
        <v>0.55496226415094341</v>
      </c>
      <c r="N17" s="77">
        <f t="shared" si="5"/>
        <v>2358.6999999999998</v>
      </c>
      <c r="O17" s="79">
        <f t="shared" si="6"/>
        <v>336.95714285714286</v>
      </c>
      <c r="P17" s="80">
        <f>L17/I17</f>
        <v>3.2286498353457742</v>
      </c>
      <c r="Q17" s="43" t="e">
        <f>AVERAGE(Q4:Q16)</f>
        <v>#DIV/0!</v>
      </c>
      <c r="R17" s="44"/>
    </row>
    <row r="18" spans="1:18" x14ac:dyDescent="0.35">
      <c r="A18" s="35" t="s">
        <v>20</v>
      </c>
      <c r="B18" s="26" t="s">
        <v>20</v>
      </c>
      <c r="C18" s="16" t="s">
        <v>21</v>
      </c>
      <c r="D18" s="15" t="s">
        <v>26</v>
      </c>
      <c r="E18" s="15" t="s">
        <v>27</v>
      </c>
      <c r="F18" s="95" t="s">
        <v>55</v>
      </c>
      <c r="G18" s="7">
        <v>1</v>
      </c>
      <c r="H18" s="96"/>
      <c r="I18" s="8">
        <v>1</v>
      </c>
      <c r="J18" s="81">
        <f t="shared" si="3"/>
        <v>1</v>
      </c>
      <c r="K18" s="7">
        <v>600</v>
      </c>
      <c r="L18" s="8">
        <v>174.3</v>
      </c>
      <c r="M18" s="82">
        <f t="shared" si="4"/>
        <v>0.29050000000000004</v>
      </c>
      <c r="N18" s="8">
        <f t="shared" si="5"/>
        <v>425.7</v>
      </c>
      <c r="O18" s="10">
        <f t="shared" si="6"/>
        <v>60.81428571428571</v>
      </c>
      <c r="P18" s="96">
        <f t="shared" ref="P18:P22" si="7">L18/I18</f>
        <v>174.3</v>
      </c>
      <c r="Q18" s="10"/>
      <c r="R18" s="34"/>
    </row>
    <row r="19" spans="1:18" x14ac:dyDescent="0.35">
      <c r="A19" s="35" t="s">
        <v>20</v>
      </c>
      <c r="B19" s="26" t="s">
        <v>20</v>
      </c>
      <c r="C19" s="16" t="s">
        <v>21</v>
      </c>
      <c r="D19" s="16" t="s">
        <v>26</v>
      </c>
      <c r="E19" s="16" t="s">
        <v>27</v>
      </c>
      <c r="F19" s="97" t="s">
        <v>28</v>
      </c>
      <c r="G19" s="11">
        <v>1</v>
      </c>
      <c r="H19" s="71"/>
      <c r="I19" s="12">
        <v>1</v>
      </c>
      <c r="J19" s="69">
        <f t="shared" si="3"/>
        <v>1</v>
      </c>
      <c r="K19" s="11">
        <v>600</v>
      </c>
      <c r="L19" s="12">
        <v>174.3</v>
      </c>
      <c r="M19" s="70">
        <f t="shared" si="4"/>
        <v>0.29050000000000004</v>
      </c>
      <c r="N19" s="12">
        <f t="shared" si="5"/>
        <v>425.7</v>
      </c>
      <c r="O19" s="14">
        <f t="shared" si="6"/>
        <v>60.81428571428571</v>
      </c>
      <c r="P19" s="71">
        <f t="shared" si="7"/>
        <v>174.3</v>
      </c>
      <c r="Q19" s="14"/>
      <c r="R19" s="34"/>
    </row>
    <row r="20" spans="1:18" x14ac:dyDescent="0.35">
      <c r="A20" s="35" t="s">
        <v>20</v>
      </c>
      <c r="B20" s="26" t="s">
        <v>20</v>
      </c>
      <c r="C20" s="16" t="s">
        <v>21</v>
      </c>
      <c r="D20" s="16" t="s">
        <v>26</v>
      </c>
      <c r="E20" s="16" t="s">
        <v>27</v>
      </c>
      <c r="F20" s="97" t="s">
        <v>29</v>
      </c>
      <c r="G20" s="11">
        <v>1</v>
      </c>
      <c r="H20" s="71"/>
      <c r="I20" s="12">
        <v>1</v>
      </c>
      <c r="J20" s="69">
        <f t="shared" si="3"/>
        <v>1</v>
      </c>
      <c r="K20" s="11">
        <v>600</v>
      </c>
      <c r="L20" s="12">
        <v>174.3</v>
      </c>
      <c r="M20" s="70">
        <f t="shared" si="4"/>
        <v>0.29050000000000004</v>
      </c>
      <c r="N20" s="12">
        <f t="shared" si="5"/>
        <v>425.7</v>
      </c>
      <c r="O20" s="14">
        <f t="shared" si="6"/>
        <v>60.81428571428571</v>
      </c>
      <c r="P20" s="71">
        <f t="shared" si="7"/>
        <v>174.3</v>
      </c>
      <c r="Q20" s="14"/>
      <c r="R20" s="34"/>
    </row>
    <row r="21" spans="1:18" x14ac:dyDescent="0.35">
      <c r="A21" s="35" t="s">
        <v>20</v>
      </c>
      <c r="B21" s="26" t="s">
        <v>20</v>
      </c>
      <c r="C21" s="16" t="s">
        <v>21</v>
      </c>
      <c r="D21" s="16" t="s">
        <v>26</v>
      </c>
      <c r="E21" s="16" t="s">
        <v>27</v>
      </c>
      <c r="F21" s="97" t="s">
        <v>30</v>
      </c>
      <c r="G21" s="11">
        <v>1</v>
      </c>
      <c r="H21" s="71"/>
      <c r="I21" s="12">
        <v>1</v>
      </c>
      <c r="J21" s="69">
        <f t="shared" si="3"/>
        <v>1</v>
      </c>
      <c r="K21" s="11">
        <v>600</v>
      </c>
      <c r="L21" s="12">
        <v>174.3</v>
      </c>
      <c r="M21" s="70">
        <f t="shared" si="4"/>
        <v>0.29050000000000004</v>
      </c>
      <c r="N21" s="12">
        <f t="shared" si="5"/>
        <v>425.7</v>
      </c>
      <c r="O21" s="14">
        <f t="shared" si="6"/>
        <v>60.81428571428571</v>
      </c>
      <c r="P21" s="71">
        <f t="shared" si="7"/>
        <v>174.3</v>
      </c>
      <c r="Q21" s="14"/>
      <c r="R21" s="34"/>
    </row>
    <row r="22" spans="1:18" ht="15" thickBot="1" x14ac:dyDescent="0.4">
      <c r="A22" s="35" t="s">
        <v>20</v>
      </c>
      <c r="B22" s="26" t="s">
        <v>20</v>
      </c>
      <c r="C22" s="16" t="s">
        <v>21</v>
      </c>
      <c r="D22" s="19" t="s">
        <v>26</v>
      </c>
      <c r="E22" s="19" t="s">
        <v>27</v>
      </c>
      <c r="F22" s="98" t="s">
        <v>38</v>
      </c>
      <c r="G22" s="36">
        <v>1</v>
      </c>
      <c r="H22" s="74"/>
      <c r="I22" s="37">
        <v>1</v>
      </c>
      <c r="J22" s="72">
        <f t="shared" si="3"/>
        <v>1</v>
      </c>
      <c r="K22" s="92">
        <v>600</v>
      </c>
      <c r="L22" s="93">
        <v>174.3</v>
      </c>
      <c r="M22" s="73">
        <f t="shared" si="4"/>
        <v>0.29050000000000004</v>
      </c>
      <c r="N22" s="93">
        <f t="shared" si="5"/>
        <v>425.7</v>
      </c>
      <c r="O22" s="94">
        <f t="shared" si="6"/>
        <v>60.81428571428571</v>
      </c>
      <c r="P22" s="74">
        <f t="shared" si="7"/>
        <v>174.3</v>
      </c>
      <c r="Q22" s="39">
        <v>1</v>
      </c>
      <c r="R22" s="34"/>
    </row>
    <row r="23" spans="1:18" ht="15" thickBot="1" x14ac:dyDescent="0.4">
      <c r="A23" s="35" t="s">
        <v>20</v>
      </c>
      <c r="B23" s="26" t="s">
        <v>20</v>
      </c>
      <c r="C23" s="51" t="s">
        <v>21</v>
      </c>
      <c r="D23" s="108" t="s">
        <v>18</v>
      </c>
      <c r="E23" s="109"/>
      <c r="F23" s="110"/>
      <c r="G23" s="40">
        <f>SUM(G18:G22)</f>
        <v>5</v>
      </c>
      <c r="H23" s="41">
        <f t="shared" ref="H23:I23" si="8">SUM(H18:H22)</f>
        <v>0</v>
      </c>
      <c r="I23" s="41">
        <f t="shared" si="8"/>
        <v>5</v>
      </c>
      <c r="J23" s="75">
        <f t="shared" si="3"/>
        <v>1</v>
      </c>
      <c r="K23" s="76">
        <v>600</v>
      </c>
      <c r="L23" s="77">
        <v>174.3</v>
      </c>
      <c r="M23" s="78">
        <f t="shared" si="4"/>
        <v>0.29050000000000004</v>
      </c>
      <c r="N23" s="77">
        <f t="shared" si="5"/>
        <v>425.7</v>
      </c>
      <c r="O23" s="79">
        <f t="shared" si="6"/>
        <v>60.81428571428571</v>
      </c>
      <c r="P23" s="80">
        <f>L23/I23</f>
        <v>34.86</v>
      </c>
      <c r="Q23" s="43">
        <f>AVERAGE(Q18:Q22)</f>
        <v>1</v>
      </c>
      <c r="R23" s="44"/>
    </row>
    <row r="24" spans="1:18" x14ac:dyDescent="0.35">
      <c r="A24" s="35" t="s">
        <v>20</v>
      </c>
      <c r="B24" s="26" t="s">
        <v>20</v>
      </c>
      <c r="C24" s="16" t="s">
        <v>21</v>
      </c>
      <c r="D24" s="15" t="s">
        <v>31</v>
      </c>
      <c r="E24" s="15" t="s">
        <v>32</v>
      </c>
      <c r="F24" s="95" t="s">
        <v>39</v>
      </c>
      <c r="G24" s="7">
        <v>1</v>
      </c>
      <c r="H24" s="96"/>
      <c r="I24" s="8">
        <v>1</v>
      </c>
      <c r="J24" s="81">
        <f t="shared" si="3"/>
        <v>1</v>
      </c>
      <c r="K24" s="7">
        <v>600</v>
      </c>
      <c r="L24" s="8">
        <v>174.3</v>
      </c>
      <c r="M24" s="82">
        <f t="shared" si="4"/>
        <v>0.29050000000000004</v>
      </c>
      <c r="N24" s="8">
        <f t="shared" si="5"/>
        <v>425.7</v>
      </c>
      <c r="O24" s="10">
        <f t="shared" si="6"/>
        <v>60.81428571428571</v>
      </c>
      <c r="P24" s="96">
        <f t="shared" ref="P24:P27" si="9">L24/I24</f>
        <v>174.3</v>
      </c>
      <c r="Q24" s="10"/>
      <c r="R24" s="34"/>
    </row>
    <row r="25" spans="1:18" x14ac:dyDescent="0.35">
      <c r="A25" s="35" t="s">
        <v>20</v>
      </c>
      <c r="B25" s="26" t="s">
        <v>20</v>
      </c>
      <c r="C25" s="16" t="s">
        <v>21</v>
      </c>
      <c r="D25" s="16" t="s">
        <v>31</v>
      </c>
      <c r="E25" s="16" t="s">
        <v>32</v>
      </c>
      <c r="F25" s="97" t="s">
        <v>56</v>
      </c>
      <c r="G25" s="11">
        <v>1</v>
      </c>
      <c r="H25" s="71"/>
      <c r="I25" s="12">
        <v>1</v>
      </c>
      <c r="J25" s="69">
        <f t="shared" si="3"/>
        <v>1</v>
      </c>
      <c r="K25" s="11">
        <v>600</v>
      </c>
      <c r="L25" s="12">
        <v>174.3</v>
      </c>
      <c r="M25" s="70">
        <f t="shared" si="4"/>
        <v>0.29050000000000004</v>
      </c>
      <c r="N25" s="12">
        <f t="shared" si="5"/>
        <v>425.7</v>
      </c>
      <c r="O25" s="14">
        <f t="shared" si="6"/>
        <v>60.81428571428571</v>
      </c>
      <c r="P25" s="71">
        <f t="shared" si="9"/>
        <v>174.3</v>
      </c>
      <c r="Q25" s="14"/>
      <c r="R25" s="34"/>
    </row>
    <row r="26" spans="1:18" x14ac:dyDescent="0.35">
      <c r="A26" s="35" t="s">
        <v>20</v>
      </c>
      <c r="B26" s="26" t="s">
        <v>20</v>
      </c>
      <c r="C26" s="16" t="s">
        <v>21</v>
      </c>
      <c r="D26" s="16" t="s">
        <v>31</v>
      </c>
      <c r="E26" s="16" t="s">
        <v>32</v>
      </c>
      <c r="F26" s="97" t="s">
        <v>40</v>
      </c>
      <c r="G26" s="11">
        <v>1</v>
      </c>
      <c r="H26" s="71"/>
      <c r="I26" s="12">
        <v>1</v>
      </c>
      <c r="J26" s="69">
        <f t="shared" si="3"/>
        <v>1</v>
      </c>
      <c r="K26" s="11">
        <v>600</v>
      </c>
      <c r="L26" s="12">
        <v>174.3</v>
      </c>
      <c r="M26" s="70">
        <f t="shared" si="4"/>
        <v>0.29050000000000004</v>
      </c>
      <c r="N26" s="12">
        <f t="shared" si="5"/>
        <v>425.7</v>
      </c>
      <c r="O26" s="14">
        <f t="shared" si="6"/>
        <v>60.81428571428571</v>
      </c>
      <c r="P26" s="71">
        <f t="shared" si="9"/>
        <v>174.3</v>
      </c>
      <c r="Q26" s="14"/>
      <c r="R26" s="34"/>
    </row>
    <row r="27" spans="1:18" ht="15" thickBot="1" x14ac:dyDescent="0.4">
      <c r="A27" s="35" t="s">
        <v>20</v>
      </c>
      <c r="B27" s="26" t="s">
        <v>20</v>
      </c>
      <c r="C27" s="16" t="s">
        <v>21</v>
      </c>
      <c r="D27" s="19" t="s">
        <v>31</v>
      </c>
      <c r="E27" s="19" t="s">
        <v>32</v>
      </c>
      <c r="F27" s="98" t="s">
        <v>57</v>
      </c>
      <c r="G27" s="36">
        <v>1</v>
      </c>
      <c r="H27" s="74"/>
      <c r="I27" s="37">
        <v>1</v>
      </c>
      <c r="J27" s="72">
        <f t="shared" si="3"/>
        <v>1</v>
      </c>
      <c r="K27" s="92">
        <v>600</v>
      </c>
      <c r="L27" s="93">
        <v>174.3</v>
      </c>
      <c r="M27" s="73">
        <f t="shared" si="4"/>
        <v>0.29050000000000004</v>
      </c>
      <c r="N27" s="93">
        <f t="shared" si="5"/>
        <v>425.7</v>
      </c>
      <c r="O27" s="94">
        <f t="shared" si="6"/>
        <v>60.81428571428571</v>
      </c>
      <c r="P27" s="74">
        <f t="shared" si="9"/>
        <v>174.3</v>
      </c>
      <c r="Q27" s="39">
        <v>1</v>
      </c>
      <c r="R27" s="34"/>
    </row>
    <row r="28" spans="1:18" ht="15" thickBot="1" x14ac:dyDescent="0.4">
      <c r="A28" s="35" t="s">
        <v>20</v>
      </c>
      <c r="B28" s="54" t="s">
        <v>20</v>
      </c>
      <c r="C28" s="55" t="s">
        <v>21</v>
      </c>
      <c r="D28" s="108" t="s">
        <v>18</v>
      </c>
      <c r="E28" s="109"/>
      <c r="F28" s="110"/>
      <c r="G28" s="40">
        <f>SUM(G24:G27)</f>
        <v>4</v>
      </c>
      <c r="H28" s="80"/>
      <c r="I28" s="41">
        <f t="shared" ref="I28" si="10">SUM(I24:I27)</f>
        <v>4</v>
      </c>
      <c r="J28" s="75">
        <f t="shared" si="3"/>
        <v>1</v>
      </c>
      <c r="K28" s="76">
        <v>600</v>
      </c>
      <c r="L28" s="77">
        <v>174.3</v>
      </c>
      <c r="M28" s="78">
        <f t="shared" si="4"/>
        <v>0.29050000000000004</v>
      </c>
      <c r="N28" s="77">
        <f t="shared" si="5"/>
        <v>425.7</v>
      </c>
      <c r="O28" s="79">
        <f t="shared" si="6"/>
        <v>60.81428571428571</v>
      </c>
      <c r="P28" s="80">
        <f>L28/I28</f>
        <v>43.575000000000003</v>
      </c>
      <c r="Q28" s="43">
        <f>AVERAGE(Q24:Q27)</f>
        <v>1</v>
      </c>
      <c r="R28" s="44"/>
    </row>
    <row r="29" spans="1:18" ht="15" thickBot="1" x14ac:dyDescent="0.4">
      <c r="A29" s="45" t="s">
        <v>20</v>
      </c>
      <c r="B29" s="56" t="s">
        <v>33</v>
      </c>
      <c r="C29" s="57"/>
      <c r="D29" s="57"/>
      <c r="E29" s="57"/>
      <c r="F29" s="57"/>
      <c r="G29" s="20">
        <f>+G28+G23+G17</f>
        <v>2502</v>
      </c>
      <c r="H29" s="21">
        <f t="shared" ref="H29:I29" si="11">+H28+H23+H17</f>
        <v>0</v>
      </c>
      <c r="I29" s="21">
        <f t="shared" si="11"/>
        <v>920</v>
      </c>
      <c r="J29" s="83">
        <f t="shared" si="3"/>
        <v>0.36770583533173462</v>
      </c>
      <c r="K29" s="84">
        <v>600</v>
      </c>
      <c r="L29" s="85">
        <v>174.3</v>
      </c>
      <c r="M29" s="86">
        <f t="shared" si="4"/>
        <v>0.29050000000000004</v>
      </c>
      <c r="N29" s="85">
        <f t="shared" si="5"/>
        <v>425.7</v>
      </c>
      <c r="O29" s="87">
        <f t="shared" si="6"/>
        <v>60.81428571428571</v>
      </c>
      <c r="P29" s="88">
        <f>L29/I29</f>
        <v>0.18945652173913044</v>
      </c>
      <c r="Q29" s="23" t="e">
        <f>AVERAGE(Q28,Q17,Q23)</f>
        <v>#DIV/0!</v>
      </c>
      <c r="R29" s="34"/>
    </row>
  </sheetData>
  <mergeCells count="6">
    <mergeCell ref="D17:F17"/>
    <mergeCell ref="D23:F23"/>
    <mergeCell ref="D28:F28"/>
    <mergeCell ref="P2:Q2"/>
    <mergeCell ref="G2:J2"/>
    <mergeCell ref="K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Today Performance</vt:lpstr>
      <vt:lpstr>Till Todate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PPL</dc:creator>
  <cp:lastModifiedBy>786</cp:lastModifiedBy>
  <dcterms:created xsi:type="dcterms:W3CDTF">2015-06-05T18:17:20Z</dcterms:created>
  <dcterms:modified xsi:type="dcterms:W3CDTF">2026-10-24T05:34:16Z</dcterms:modified>
</cp:coreProperties>
</file>