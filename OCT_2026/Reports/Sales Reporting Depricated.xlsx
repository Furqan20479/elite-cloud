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FDAF63FC-C279-4F00-BD2D-14CA119768A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2" l="1"/>
  <c r="L12" i="2"/>
  <c r="L11" i="2"/>
  <c r="I10" i="2"/>
  <c r="I8" i="2"/>
  <c r="I7" i="2"/>
  <c r="I5" i="2"/>
  <c r="I4" i="2"/>
  <c r="L20" i="1" l="1"/>
  <c r="R4" i="1" l="1"/>
  <c r="U4" i="1"/>
  <c r="V4" i="1"/>
  <c r="P16" i="2"/>
  <c r="I17" i="2"/>
  <c r="T20" i="1" l="1"/>
  <c r="S20" i="1"/>
  <c r="Q20" i="1"/>
  <c r="P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<sst xmlns="http://schemas.openxmlformats.org/spreadsheetml/2006/main" count="363" uniqueCount="77">
  <si>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</si>
  <si>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</si>
  <si>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</si>
  <si>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</si>
  <si>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</si>
  <si>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</si>
  <si>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</si>
  <si>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</si>
  <si>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</si>
  <si>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</si>
  <si>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</si>
  <si>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</si>
  <si>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</si>
  <si>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</si>
  <si>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</si>
  <si>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</si>
  <si>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</si>
  <si>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</si>
  <si>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</si>
  <si>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</si>
  <si>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</si>
  <si>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</si>
  <si>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</si>
  <si>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</si>
  <si>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</si>
  <si>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</si>
  <si>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</si>
  <si>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</si>
  <si>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</si>
  <si>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</si>
  <si>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</si>
  <si>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</si>
  <si>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</si>
  <si>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</si>
  <si>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</si>
  <si>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</si>
  <si>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</si>
  <si>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</si>
  <si>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</si>
  <si>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</si>
  <si>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</si>
  <si>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</si>
  <si>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</si>
  <si>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</si>
  <si>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</si>
  <si>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</si>
  <si>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</si>
  <si>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</si>
  <si>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</si>
  <si>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</si>
  <si>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</si>
  <si>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</si>
  <si>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</si>
  <si>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</si>
  <si>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</si>
  <si>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</si>
  <si>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</si>
  <si>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</si>
  <si>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</si>
  <si>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</si>
  <si>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</si>
  <si>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</si>
  <si>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</si>
  <si>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</si>
  <si>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</si>
  <si>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</si>
  <si>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</si>
  <si>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</si>
  <si>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</si>
  <si>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</si>
  <si>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</si>
  <si>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</si>
  <si>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</si>
  <si>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Abdullah Traders SD</t>
  </si>
  <si>
    <t>Kasur SD</t>
  </si>
  <si>
    <t>Nabeel Traders SD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</si>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</sst>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abSelected="1" topLeftCell="F1" zoomScale="85" zoomScaleNormal="85" workbookViewId="0">
      <selection activeCell="L13" sqref="L13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1" t="s">
        <v>0</v>
      </c>
      <c r="H1" s="112"/>
      <c r="I1" s="112"/>
      <c r="J1" s="112"/>
      <c r="K1" s="112"/>
      <c r="L1" s="112"/>
      <c r="M1" s="112"/>
      <c r="N1" s="112"/>
      <c r="O1" s="113"/>
      <c r="P1" s="114" t="s">
        <v>1</v>
      </c>
      <c r="Q1" s="115"/>
      <c r="R1" s="115"/>
      <c r="S1" s="115"/>
      <c r="T1" s="115"/>
      <c r="U1" s="115"/>
      <c r="V1" s="115"/>
      <c r="W1" s="116"/>
    </row>
    <row r="2" spans="1:24" ht="15" thickBot="1" x14ac:dyDescent="0.4">
      <c r="F2" s="89">
        <v>46312</v>
      </c>
      <c r="G2" s="117" t="s">
        <v>2</v>
      </c>
      <c r="H2" s="118"/>
      <c r="I2" s="118"/>
      <c r="J2" s="119"/>
      <c r="K2" s="118" t="s">
        <v>3</v>
      </c>
      <c r="L2" s="118"/>
      <c r="M2" s="119"/>
      <c r="N2" s="1"/>
      <c r="O2" s="2"/>
      <c r="P2" s="117" t="s">
        <v>2</v>
      </c>
      <c r="Q2" s="118"/>
      <c r="R2" s="119"/>
      <c r="S2" s="118" t="s">
        <v>3</v>
      </c>
      <c r="T2" s="118"/>
      <c r="U2" s="119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10</v>
      </c>
      <c r="J4" s="32">
        <f>IFERROR(I4/G4,0)</f>
        <v>0.2</v>
      </c>
      <c r="K4" s="30">
        <v>40</v>
      </c>
      <c r="L4" s="12">
        <v>11.5</v>
      </c>
      <c r="M4" s="32">
        <f>IFERROR(L4/K4,0)</f>
        <v>0.28749999999999998</v>
      </c>
      <c r="N4" s="90">
        <f>IFERROR(L4/I4,0)</f>
        <v>1.1499999999999999</v>
      </c>
      <c r="O4" s="33"/>
      <c r="P4" s="30">
        <v>14</v>
      </c>
      <c r="Q4" s="31">
        <v>14</v>
      </c>
      <c r="R4" s="32">
        <f>IFERROR(Q4/P4,0)</f>
        <v>1</v>
      </c>
      <c r="S4" s="30">
        <v>14</v>
      </c>
      <c r="T4" s="31">
        <v>14</v>
      </c>
      <c r="U4" s="32">
        <f>IFERROR(T4/S4,0)</f>
        <v>1</v>
      </c>
      <c r="V4" s="90">
        <f>IFERROR(T4/Q4,0)</f>
        <v>1</v>
      </c>
      <c r="W4" s="33"/>
      <c r="X4" s="103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20</v>
      </c>
      <c r="J5" s="13">
        <f t="shared" ref="J5:J32" si="0">IFERROR(I5/G5,0)</f>
        <v>0.4</v>
      </c>
      <c r="K5" s="11">
        <v>30</v>
      </c>
      <c r="L5" s="12">
        <v>12.025</v>
      </c>
      <c r="M5" s="70">
        <f t="shared" ref="M5:M32" si="1">IFERROR(L5/K5,0)</f>
        <v>0.40083333333333332</v>
      </c>
      <c r="N5" s="71">
        <f t="shared" ref="N5:N32" si="2">IFERROR(L5/I5,0)</f>
        <v>0.60125000000000006</v>
      </c>
      <c r="O5" s="14"/>
      <c r="P5" s="11">
        <v>20</v>
      </c>
      <c r="Q5" s="12">
        <v>19</v>
      </c>
      <c r="R5" s="13">
        <f t="shared" ref="R5:R32" si="3">IFERROR(Q5/P5,0)</f>
        <v>0.95</v>
      </c>
      <c r="S5" s="11">
        <v>10</v>
      </c>
      <c r="T5" s="12">
        <v>9</v>
      </c>
      <c r="U5" s="13">
        <f t="shared" ref="U5:U32" si="4">IFERROR(T5/S5,0)</f>
        <v>0.9</v>
      </c>
      <c r="V5" s="11">
        <f t="shared" ref="V5:V32" si="5">IFERROR(T5/Q5,0)</f>
        <v>0.47368421052631576</v>
      </c>
      <c r="W5" s="14"/>
      <c r="X5" s="103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>
        <v>0</v>
      </c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/>
      <c r="T6" s="12"/>
      <c r="U6" s="13">
        <f t="shared" si="4"/>
        <v>0</v>
      </c>
      <c r="V6" s="11">
        <f t="shared" si="5"/>
        <v>0</v>
      </c>
      <c r="W6" s="14"/>
      <c r="X6" s="103" t="s">
        <v>76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7</v>
      </c>
      <c r="J7" s="13">
        <f t="shared" si="0"/>
        <v>0.14000000000000001</v>
      </c>
      <c r="K7" s="11">
        <v>30</v>
      </c>
      <c r="L7" s="12">
        <v>8.6750000000000007</v>
      </c>
      <c r="M7" s="70">
        <f t="shared" si="1"/>
        <v>0.28916666666666668</v>
      </c>
      <c r="N7" s="71">
        <f t="shared" si="2"/>
        <v>1.2392857142857143</v>
      </c>
      <c r="O7" s="14"/>
      <c r="P7" s="11">
        <v>10</v>
      </c>
      <c r="Q7" s="12">
        <v>1</v>
      </c>
      <c r="R7" s="13">
        <f t="shared" si="3"/>
        <v>0.1</v>
      </c>
      <c r="S7" s="11">
        <v>9</v>
      </c>
      <c r="T7" s="12">
        <v>1</v>
      </c>
      <c r="U7" s="13">
        <f t="shared" si="4"/>
        <v>0.1111111111111111</v>
      </c>
      <c r="V7" s="11">
        <f t="shared" si="5"/>
        <v>1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22.45</v>
      </c>
      <c r="M8" s="70">
        <f t="shared" si="1"/>
        <v>1.1225000000000001</v>
      </c>
      <c r="N8" s="71">
        <f t="shared" si="2"/>
        <v>3.7416666666666667</v>
      </c>
      <c r="O8" s="14"/>
      <c r="P8" s="11">
        <v>8</v>
      </c>
      <c r="Q8" s="12">
        <v>7</v>
      </c>
      <c r="R8" s="13">
        <f t="shared" si="3"/>
        <v>0.875</v>
      </c>
      <c r="S8" s="11">
        <v>8</v>
      </c>
      <c r="T8" s="12">
        <v>6</v>
      </c>
      <c r="U8" s="13">
        <f t="shared" si="4"/>
        <v>0.75</v>
      </c>
      <c r="V8" s="11">
        <f t="shared" si="5"/>
        <v>0.8571428571428571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>
        <v>0</v>
      </c>
      <c r="J9" s="13">
        <f t="shared" si="0"/>
        <v>0</v>
      </c>
      <c r="K9" s="11">
        <v>80</v>
      </c>
      <c r="L9" s="12">
        <v>0</v>
      </c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/>
      <c r="T9" s="12"/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7</v>
      </c>
      <c r="J10" s="13">
        <f t="shared" si="0"/>
        <v>0.7</v>
      </c>
      <c r="K10" s="11">
        <v>20</v>
      </c>
      <c r="L10" s="12">
        <v>110</v>
      </c>
      <c r="M10" s="70">
        <f t="shared" si="1"/>
        <v>5.5</v>
      </c>
      <c r="N10" s="71">
        <f t="shared" si="2"/>
        <v>15.714285714285714</v>
      </c>
      <c r="O10" s="14"/>
      <c r="P10" s="11">
        <v>11</v>
      </c>
      <c r="Q10" s="12">
        <v>7</v>
      </c>
      <c r="R10" s="13">
        <f t="shared" si="3"/>
        <v>0.63636363636363635</v>
      </c>
      <c r="S10" s="11">
        <v>250</v>
      </c>
      <c r="T10" s="12">
        <v>215</v>
      </c>
      <c r="U10" s="13">
        <f t="shared" si="4"/>
        <v>0.86</v>
      </c>
      <c r="V10" s="11">
        <f t="shared" si="5"/>
        <v>30.714285714285715</v>
      </c>
      <c r="W10" s="14"/>
      <c r="X10" s="103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20</v>
      </c>
      <c r="J11" s="13">
        <f t="shared" si="0"/>
        <v>0.4</v>
      </c>
      <c r="K11" s="11">
        <v>20</v>
      </c>
      <c r="L11" s="12">
        <v>18</v>
      </c>
      <c r="M11" s="70">
        <f t="shared" si="1"/>
        <v>0.9</v>
      </c>
      <c r="N11" s="71">
        <f t="shared" si="2"/>
        <v>0.9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03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10</v>
      </c>
      <c r="J12" s="13">
        <f t="shared" si="0"/>
        <v>0.2</v>
      </c>
      <c r="K12" s="11">
        <v>30</v>
      </c>
      <c r="L12" s="12">
        <v>8</v>
      </c>
      <c r="M12" s="13">
        <f t="shared" si="1"/>
        <v>0.26666666666666666</v>
      </c>
      <c r="N12" s="11">
        <f t="shared" si="2"/>
        <v>0.8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6</v>
      </c>
      <c r="J13" s="13">
        <f t="shared" si="0"/>
        <v>0.12</v>
      </c>
      <c r="K13" s="11">
        <v>30</v>
      </c>
      <c r="L13" s="12">
        <v>5</v>
      </c>
      <c r="M13" s="13">
        <f t="shared" si="1"/>
        <v>0.16666666666666666</v>
      </c>
      <c r="N13" s="11">
        <f t="shared" si="2"/>
        <v>0.83333333333333337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75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/>
      <c r="M19" s="38">
        <f t="shared" si="1"/>
        <v>0</v>
      </c>
      <c r="N19" s="36">
        <f t="shared" si="2"/>
        <v>0</v>
      </c>
      <c r="O19" s="39"/>
      <c r="P19" s="36">
        <v>1</v>
      </c>
      <c r="Q19" s="37">
        <v>1</v>
      </c>
      <c r="R19" s="38">
        <f t="shared" si="3"/>
        <v>1</v>
      </c>
      <c r="S19" s="36">
        <v>196</v>
      </c>
      <c r="T19" s="37">
        <v>196</v>
      </c>
      <c r="U19" s="38">
        <f t="shared" si="4"/>
        <v>1</v>
      </c>
      <c r="V19" s="36">
        <f t="shared" si="5"/>
        <v>196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5" t="s">
        <v>18</v>
      </c>
      <c r="E20" s="106"/>
      <c r="F20" s="107"/>
      <c r="G20" s="40">
        <f>SUM(G4:G19)</f>
        <v>461</v>
      </c>
      <c r="H20" s="41">
        <f>SUM(H4:H19)</f>
        <v>350</v>
      </c>
      <c r="I20" s="41">
        <f>SUM(I4:I19)</f>
        <v>86</v>
      </c>
      <c r="J20" s="42">
        <f t="shared" si="0"/>
        <v>0.18655097613882862</v>
      </c>
      <c r="K20" s="40">
        <f t="shared" ref="K20" si="6">SUM(K4:K19)</f>
        <v>329</v>
      </c>
      <c r="L20" s="40">
        <f>SUM(L4:L19)</f>
        <v>199.65</v>
      </c>
      <c r="M20" s="42">
        <f t="shared" si="1"/>
        <v>0.60683890577507604</v>
      </c>
      <c r="N20" s="40">
        <f t="shared" si="2"/>
        <v>2.3215116279069767</v>
      </c>
      <c r="O20" s="43" t="e">
        <f>AVERAGE(O4:O19)</f>
        <v>#DIV/0!</v>
      </c>
      <c r="P20" s="40">
        <f t="shared" ref="P20" si="7">SUM(P4:P19)</f>
        <v>91</v>
      </c>
      <c r="Q20" s="41">
        <f t="shared" ref="Q20" si="8">SUM(Q4:Q19)</f>
        <v>76</v>
      </c>
      <c r="R20" s="42">
        <f t="shared" si="3"/>
        <v>0.8351648351648352</v>
      </c>
      <c r="S20" s="40">
        <f t="shared" ref="S20" si="9">SUM(S4:S19)</f>
        <v>514</v>
      </c>
      <c r="T20" s="41">
        <f t="shared" ref="T20" si="10">SUM(T4:T19)</f>
        <v>468</v>
      </c>
      <c r="U20" s="42">
        <f t="shared" si="4"/>
        <v>0.91050583657587547</v>
      </c>
      <c r="V20" s="40">
        <f t="shared" si="5"/>
        <v>6.1578947368421053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5" t="s">
        <v>18</v>
      </c>
      <c r="E26" s="106"/>
      <c r="F26" s="107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8" t="s">
        <v>18</v>
      </c>
      <c r="E31" s="109"/>
      <c r="F31" s="110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86</v>
      </c>
      <c r="J32" s="22">
        <f t="shared" si="0"/>
        <v>0.18297872340425531</v>
      </c>
      <c r="K32" s="20">
        <v>1</v>
      </c>
      <c r="L32" s="21">
        <v>1</v>
      </c>
      <c r="M32" s="22">
        <f t="shared" si="1"/>
        <v>1</v>
      </c>
      <c r="N32" s="20">
        <f t="shared" si="2"/>
        <v>1.1627906976744186E-2</v>
      </c>
      <c r="O32" s="23" t="e">
        <f>AVERAGE(O31,O20,O26)</f>
        <v>#DIV/0!</v>
      </c>
      <c r="P32" s="20">
        <f>+P31+P26+P20</f>
        <v>100</v>
      </c>
      <c r="Q32" s="21">
        <f t="shared" ref="Q32" si="18">+Q31+Q26+Q20</f>
        <v>85</v>
      </c>
      <c r="R32" s="22">
        <f t="shared" si="3"/>
        <v>0.85</v>
      </c>
      <c r="S32" s="20">
        <f>+S31+S26+S20</f>
        <v>523</v>
      </c>
      <c r="T32" s="21">
        <f t="shared" ref="T32" si="19">+T31+T26+T20</f>
        <v>477</v>
      </c>
      <c r="U32" s="22">
        <f t="shared" si="4"/>
        <v>0.91204588910133844</v>
      </c>
      <c r="V32" s="20">
        <f t="shared" si="5"/>
        <v>5.6117647058823525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opLeftCell="E1" workbookViewId="0">
      <selection activeCell="I10" sqref="I10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15</v>
      </c>
      <c r="C2" s="62">
        <f>+B2/A2</f>
        <v>0.55555555555555558</v>
      </c>
      <c r="D2" s="91">
        <f>+A2-B2</f>
        <v>12</v>
      </c>
      <c r="F2" s="89">
        <v>46312</v>
      </c>
      <c r="G2" s="117" t="s">
        <v>34</v>
      </c>
      <c r="H2" s="118"/>
      <c r="I2" s="118"/>
      <c r="J2" s="118"/>
      <c r="K2" s="114" t="s">
        <v>48</v>
      </c>
      <c r="L2" s="115"/>
      <c r="M2" s="115"/>
      <c r="N2" s="115"/>
      <c r="O2" s="116"/>
      <c r="P2" s="120" t="s">
        <v>35</v>
      </c>
      <c r="Q2" s="121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15+13+9+11+10+11+8+12+12+8</f>
        <v>109</v>
      </c>
      <c r="J4" s="67">
        <f>IFERROR(I4/G4,0)</f>
        <v>0.33538461538461539</v>
      </c>
      <c r="K4" s="7">
        <v>450</v>
      </c>
      <c r="L4" s="8">
        <v>135.05000000000001</v>
      </c>
      <c r="M4" s="82">
        <f>IFERROR(L4/K4,0)</f>
        <v>0.30011111111111116</v>
      </c>
      <c r="N4" s="8">
        <f t="shared" ref="N4:N7" si="0">K4-L4</f>
        <v>314.95</v>
      </c>
      <c r="O4" s="10">
        <f t="shared" ref="O4:O7" si="1">N4/$D$2</f>
        <v>26.245833333333334</v>
      </c>
      <c r="P4" s="68">
        <f t="shared" ref="P4:P16" si="2">L4/I4</f>
        <v>1.2389908256880735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6+5+5+3+3+4+3+5+10+19+20</f>
        <v>83</v>
      </c>
      <c r="J5" s="69">
        <f t="shared" ref="J5:J29" si="3">IFERROR(I5/G5,0)</f>
        <v>0.35021097046413502</v>
      </c>
      <c r="K5" s="11">
        <v>350</v>
      </c>
      <c r="L5" s="12">
        <v>100.1</v>
      </c>
      <c r="M5" s="70">
        <f t="shared" ref="M5:M29" si="4">IFERROR(L5/K5,0)</f>
        <v>0.28599999999999998</v>
      </c>
      <c r="N5" s="12">
        <f t="shared" si="0"/>
        <v>249.9</v>
      </c>
      <c r="O5" s="14">
        <f t="shared" si="1"/>
        <v>20.824999999999999</v>
      </c>
      <c r="P5" s="71">
        <f t="shared" si="2"/>
        <v>1.2060240963855422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v>19</v>
      </c>
      <c r="J6" s="69">
        <f t="shared" si="3"/>
        <v>7.5999999999999998E-2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26.722916666666666</v>
      </c>
      <c r="P6" s="71">
        <f t="shared" si="2"/>
        <v>1.5434210526315788</v>
      </c>
      <c r="Q6" s="14"/>
      <c r="R6" s="102" t="s">
        <v>72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2+2+6+4+9+7+8+1+6</f>
        <v>45</v>
      </c>
      <c r="J7" s="69">
        <f t="shared" si="3"/>
        <v>0.15625</v>
      </c>
      <c r="K7" s="11">
        <v>250</v>
      </c>
      <c r="L7" s="12">
        <v>68.95</v>
      </c>
      <c r="M7" s="70">
        <f t="shared" si="4"/>
        <v>0.27579999999999999</v>
      </c>
      <c r="N7" s="12">
        <f t="shared" si="0"/>
        <v>181.05</v>
      </c>
      <c r="O7" s="14">
        <f t="shared" si="1"/>
        <v>15.0875</v>
      </c>
      <c r="P7" s="71">
        <f t="shared" si="2"/>
        <v>1.5322222222222224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3+6+7+6+6+3+5+8+6+4</f>
        <v>54</v>
      </c>
      <c r="J8" s="69">
        <f t="shared" si="3"/>
        <v>0.15126050420168066</v>
      </c>
      <c r="K8" s="11">
        <v>250</v>
      </c>
      <c r="L8" s="12">
        <v>84.9</v>
      </c>
      <c r="M8" s="70">
        <f t="shared" si="4"/>
        <v>0.33960000000000001</v>
      </c>
      <c r="N8" s="12">
        <f t="shared" ref="N8:N29" si="5">K8-L8</f>
        <v>165.1</v>
      </c>
      <c r="O8" s="14">
        <f t="shared" ref="O8:O29" si="6">N8/$D$2</f>
        <v>13.758333333333333</v>
      </c>
      <c r="P8" s="71">
        <f t="shared" si="2"/>
        <v>1.5722222222222224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f>28+9</f>
        <v>37</v>
      </c>
      <c r="J10" s="69">
        <f t="shared" si="3"/>
        <v>0.33333333333333331</v>
      </c>
      <c r="K10" s="11">
        <v>2300</v>
      </c>
      <c r="L10" s="12">
        <v>948</v>
      </c>
      <c r="M10" s="70">
        <f t="shared" si="4"/>
        <v>0.41217391304347828</v>
      </c>
      <c r="N10" s="12">
        <f t="shared" si="5"/>
        <v>1352</v>
      </c>
      <c r="O10" s="14">
        <f t="shared" si="6"/>
        <v>112.66666666666667</v>
      </c>
      <c r="P10" s="71">
        <f t="shared" si="2"/>
        <v>25.621621621621621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v>82</v>
      </c>
      <c r="J11" s="69">
        <f t="shared" si="3"/>
        <v>0.25465838509316768</v>
      </c>
      <c r="K11" s="11">
        <v>450</v>
      </c>
      <c r="L11" s="12">
        <f>106+16+15+38+16+18</f>
        <v>209</v>
      </c>
      <c r="M11" s="70">
        <f t="shared" si="4"/>
        <v>0.46444444444444444</v>
      </c>
      <c r="N11" s="12">
        <f t="shared" si="5"/>
        <v>241</v>
      </c>
      <c r="O11" s="14">
        <f t="shared" si="6"/>
        <v>20.083333333333332</v>
      </c>
      <c r="P11" s="71">
        <f t="shared" si="2"/>
        <v>2.5487804878048781</v>
      </c>
      <c r="Q11" s="14"/>
      <c r="R11" s="10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v>80</v>
      </c>
      <c r="J12" s="69">
        <f t="shared" si="3"/>
        <v>0.25723472668810288</v>
      </c>
      <c r="K12" s="11">
        <v>300</v>
      </c>
      <c r="L12" s="12">
        <f>100+8+8+6+8+8</f>
        <v>138</v>
      </c>
      <c r="M12" s="70">
        <f t="shared" si="4"/>
        <v>0.46</v>
      </c>
      <c r="N12" s="12">
        <f t="shared" si="5"/>
        <v>162</v>
      </c>
      <c r="O12" s="14">
        <f t="shared" si="6"/>
        <v>13.5</v>
      </c>
      <c r="P12" s="71">
        <f t="shared" si="2"/>
        <v>1.7250000000000001</v>
      </c>
      <c r="Q12" s="14"/>
      <c r="R12" s="10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v>68</v>
      </c>
      <c r="J13" s="69">
        <f t="shared" si="3"/>
        <v>0.48571428571428571</v>
      </c>
      <c r="K13" s="11">
        <v>250</v>
      </c>
      <c r="L13" s="12">
        <f>50+10+10+4+5+5</f>
        <v>84</v>
      </c>
      <c r="M13" s="70">
        <f t="shared" si="4"/>
        <v>0.33600000000000002</v>
      </c>
      <c r="N13" s="12">
        <f t="shared" si="5"/>
        <v>166</v>
      </c>
      <c r="O13" s="14">
        <f t="shared" si="6"/>
        <v>13.833333333333334</v>
      </c>
      <c r="P13" s="71">
        <f t="shared" si="2"/>
        <v>1.2352941176470589</v>
      </c>
      <c r="Q13" s="14"/>
      <c r="R13" s="10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74</v>
      </c>
      <c r="G14" s="11">
        <v>1</v>
      </c>
      <c r="H14" s="71"/>
      <c r="I14" s="12">
        <v>1</v>
      </c>
      <c r="J14" s="69">
        <f t="shared" si="3"/>
        <v>1</v>
      </c>
      <c r="K14" s="11">
        <v>100</v>
      </c>
      <c r="L14" s="12">
        <v>90</v>
      </c>
      <c r="M14" s="70">
        <f t="shared" si="4"/>
        <v>0.9</v>
      </c>
      <c r="N14" s="12">
        <f t="shared" si="5"/>
        <v>10</v>
      </c>
      <c r="O14" s="14">
        <f t="shared" si="6"/>
        <v>0.83333333333333337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73</v>
      </c>
      <c r="G15" s="11">
        <v>1</v>
      </c>
      <c r="H15" s="71"/>
      <c r="I15" s="12">
        <v>1</v>
      </c>
      <c r="J15" s="69">
        <f t="shared" si="3"/>
        <v>1</v>
      </c>
      <c r="K15" s="11">
        <v>100</v>
      </c>
      <c r="L15" s="12">
        <v>75</v>
      </c>
      <c r="M15" s="70">
        <f t="shared" si="4"/>
        <v>0.75</v>
      </c>
      <c r="N15" s="12">
        <f t="shared" si="5"/>
        <v>25</v>
      </c>
      <c r="O15" s="14">
        <f t="shared" si="6"/>
        <v>2.0833333333333335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>
        <v>1</v>
      </c>
      <c r="J16" s="69">
        <f t="shared" si="3"/>
        <v>0</v>
      </c>
      <c r="K16" s="11"/>
      <c r="L16" s="12">
        <v>430</v>
      </c>
      <c r="M16" s="70">
        <f t="shared" si="4"/>
        <v>0</v>
      </c>
      <c r="N16" s="12">
        <f t="shared" si="5"/>
        <v>-430</v>
      </c>
      <c r="O16" s="14">
        <f t="shared" si="6"/>
        <v>-35.833333333333336</v>
      </c>
      <c r="P16" s="71">
        <f t="shared" si="2"/>
        <v>430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8" t="s">
        <v>18</v>
      </c>
      <c r="E17" s="109"/>
      <c r="F17" s="110"/>
      <c r="G17" s="40">
        <f>SUM(G4:G15)</f>
        <v>2493</v>
      </c>
      <c r="H17" s="41">
        <f>SUM(H4:H13)</f>
        <v>0</v>
      </c>
      <c r="I17" s="41">
        <f>SUM(I4:I16)</f>
        <v>580</v>
      </c>
      <c r="J17" s="75">
        <f t="shared" si="3"/>
        <v>0.23265142398716407</v>
      </c>
      <c r="K17" s="76">
        <f>SUM(K4:K16)</f>
        <v>5300</v>
      </c>
      <c r="L17" s="77">
        <f>SUM(L4:L16)</f>
        <v>2392.3249999999998</v>
      </c>
      <c r="M17" s="78">
        <f t="shared" si="4"/>
        <v>0.45138207547169806</v>
      </c>
      <c r="N17" s="77">
        <f t="shared" si="5"/>
        <v>2907.6750000000002</v>
      </c>
      <c r="O17" s="79">
        <f t="shared" si="6"/>
        <v>242.30625000000001</v>
      </c>
      <c r="P17" s="80">
        <f>L17/I17</f>
        <v>4.1246982758620687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35.475000000000001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35.475000000000001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35.475000000000001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35.475000000000001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35.475000000000001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8" t="s">
        <v>18</v>
      </c>
      <c r="E23" s="109"/>
      <c r="F23" s="110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35.475000000000001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35.475000000000001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35.475000000000001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35.475000000000001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35.475000000000001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8" t="s">
        <v>18</v>
      </c>
      <c r="E28" s="109"/>
      <c r="F28" s="110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35.475000000000001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589</v>
      </c>
      <c r="J29" s="83">
        <f t="shared" si="3"/>
        <v>0.23541167066346921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35.475000000000001</v>
      </c>
      <c r="P29" s="88">
        <f>L29/I29</f>
        <v>0.29592529711375215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2026-10-19T05:00:14Z</dcterms:modified>
</cp:coreProperties>
</file>