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B5DB6FFF-EBFF-4B76-AC56-78B8D8C2B4E8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" i="2" l="1"/>
  <c r="I7" i="2"/>
  <c r="I6" i="2"/>
  <c r="I5" i="2"/>
  <c r="I4" i="2"/>
  <c r="P9" i="2"/>
  <c r="M9" i="2"/>
  <c r="J9" i="2"/>
  <c r="L20" i="1" l="1"/>
  <c r="K20" i="1"/>
  <c r="M4" i="1" l="1"/>
  <c r="N4" i="1"/>
  <c r="L17" i="2"/>
  <c r="G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I17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T20" i="1"/>
  <c r="S20" i="1"/>
  <c r="Q20" i="1"/>
  <c r="P20" i="1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<sst xmlns="http://schemas.openxmlformats.org/spreadsheetml/2006/main" count="360" uniqueCount="74">
  <si>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</si>
  <si>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</si>
  <si>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</si>
  <si>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</si>
  <si>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</si>
  <si>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</si>
  <si>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</si>
  <si>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</si>
  <si>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</si>
  <si>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</si>
  <si>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</si>
  <si>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</si>
  <si>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</si>
  <si>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</si>
  <si>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</si>
  <si>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</si>
  <si>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</si>
  <si>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</si>
  <si>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</si>
  <si>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</si>
  <si>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</si>
  <si>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</si>
  <si>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</si>
  <si>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</si>
  <si>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</si>
  <si>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</si>
  <si>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</si>
  <si>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</si>
  <si>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</si>
  <si>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</si>
  <si>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</si>
  <si>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</si>
  <si>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</si>
  <si>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</si>
  <si>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</si>
  <si>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</si>
  <si>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</si>
  <si>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</si>
  <si>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</si>
  <si>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</si>
  <si>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</si>
  <si>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</si>
  <si>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</si>
  <si>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</si>
  <si>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</si>
  <si>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</si>
  <si>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</si>
  <si>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</si>
  <si>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</si>
  <si>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</si>
  <si>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</si>
  <si>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</si>
  <si>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</si>
  <si>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</si>
  <si>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</si>
  <si>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</si>
  <si>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</si>
  <si>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</si>
  <si>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</si>
  <si>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</si>
  <si>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</si>
  <si>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</si>
  <si>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</si>
  <si>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Kasur</t>
  </si>
  <si>
    <t xml:space="preserve">Riwand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</si>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</sst>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F1" zoomScale="85" zoomScaleNormal="85" workbookViewId="0">
      <selection sqref="A1:X2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5.5429687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08" t="s">
        <v>0</v>
      </c>
      <c r="H1" s="109"/>
      <c r="I1" s="109"/>
      <c r="J1" s="109"/>
      <c r="K1" s="109"/>
      <c r="L1" s="109"/>
      <c r="M1" s="109"/>
      <c r="N1" s="109"/>
      <c r="O1" s="110"/>
      <c r="P1" s="111" t="s">
        <v>1</v>
      </c>
      <c r="Q1" s="112"/>
      <c r="R1" s="112"/>
      <c r="S1" s="112"/>
      <c r="T1" s="112"/>
      <c r="U1" s="112"/>
      <c r="V1" s="112"/>
      <c r="W1" s="113"/>
    </row>
    <row r="2" spans="1:24" ht="15" thickBot="1" x14ac:dyDescent="0.4">
      <c r="F2" s="89">
        <v>46300</v>
      </c>
      <c r="G2" s="114" t="s">
        <v>2</v>
      </c>
      <c r="H2" s="115"/>
      <c r="I2" s="115"/>
      <c r="J2" s="116"/>
      <c r="K2" s="115" t="s">
        <v>3</v>
      </c>
      <c r="L2" s="115"/>
      <c r="M2" s="116"/>
      <c r="N2" s="1"/>
      <c r="O2" s="2"/>
      <c r="P2" s="114" t="s">
        <v>2</v>
      </c>
      <c r="Q2" s="115"/>
      <c r="R2" s="116"/>
      <c r="S2" s="115" t="s">
        <v>3</v>
      </c>
      <c r="T2" s="115"/>
      <c r="U2" s="116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67</v>
      </c>
      <c r="G4" s="30">
        <v>50</v>
      </c>
      <c r="H4" s="68">
        <v>40</v>
      </c>
      <c r="I4" s="12">
        <v>9</v>
      </c>
      <c r="J4" s="32">
        <f>IFERROR(I4/G4,0)</f>
        <v>0.18</v>
      </c>
      <c r="K4" s="30">
        <v>40</v>
      </c>
      <c r="L4" s="12">
        <v>17.875</v>
      </c>
      <c r="M4" s="32">
        <f>IFERROR(L4/K4,0)</f>
        <v>0.44687500000000002</v>
      </c>
      <c r="N4" s="90">
        <f>IFERROR(L4/I4,0)</f>
        <v>1.9861111111111112</v>
      </c>
      <c r="O4" s="33"/>
      <c r="P4" s="30">
        <v>14</v>
      </c>
      <c r="Q4" s="31">
        <v>13</v>
      </c>
      <c r="R4" s="32">
        <f>IFERROR(Q4/P4,0)</f>
        <v>0.9285714285714286</v>
      </c>
      <c r="S4" s="30">
        <v>16.875</v>
      </c>
      <c r="T4" s="31">
        <v>10.875</v>
      </c>
      <c r="U4" s="32">
        <f>IFERROR(T4/S4,0)</f>
        <v>0.64444444444444449</v>
      </c>
      <c r="V4" s="90">
        <f>IFERROR(T4/Q4,0)</f>
        <v>0.83653846153846156</v>
      </c>
      <c r="W4" s="33"/>
      <c r="X4" s="34"/>
    </row>
    <row r="5" spans="1:24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50</v>
      </c>
      <c r="H5" s="71">
        <v>45</v>
      </c>
      <c r="I5" s="12">
        <v>5</v>
      </c>
      <c r="J5" s="13">
        <f t="shared" ref="J5:J32" si="0">IFERROR(I5/G5,0)</f>
        <v>0.1</v>
      </c>
      <c r="K5" s="11">
        <v>30</v>
      </c>
      <c r="L5" s="12">
        <v>5.0999999999999996</v>
      </c>
      <c r="M5" s="13">
        <f t="shared" ref="M5:M32" si="1">IFERROR(L5/K5,0)</f>
        <v>0.16999999999999998</v>
      </c>
      <c r="N5" s="11">
        <f t="shared" ref="N5:N32" si="2">IFERROR(L5/I5,0)</f>
        <v>1.02</v>
      </c>
      <c r="O5" s="14"/>
      <c r="P5" s="11">
        <v>6</v>
      </c>
      <c r="Q5" s="12">
        <v>5</v>
      </c>
      <c r="R5" s="13">
        <f t="shared" ref="R5:R32" si="3">IFERROR(Q5/P5,0)</f>
        <v>0.83333333333333337</v>
      </c>
      <c r="S5" s="11">
        <v>8.625</v>
      </c>
      <c r="T5" s="12">
        <v>6.6</v>
      </c>
      <c r="U5" s="13">
        <f t="shared" ref="U5:U32" si="4">IFERROR(T5/S5,0)</f>
        <v>0.76521739130434774</v>
      </c>
      <c r="V5" s="11">
        <f t="shared" ref="V5:V32" si="5">IFERROR(T5/Q5,0)</f>
        <v>1.3199999999999998</v>
      </c>
      <c r="W5" s="14"/>
      <c r="X5" s="34"/>
    </row>
    <row r="6" spans="1:24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68</v>
      </c>
      <c r="G6" s="11">
        <v>50</v>
      </c>
      <c r="H6" s="71">
        <v>40</v>
      </c>
      <c r="I6" s="12">
        <v>8</v>
      </c>
      <c r="J6" s="13">
        <f t="shared" si="0"/>
        <v>0.16</v>
      </c>
      <c r="K6" s="11">
        <v>25</v>
      </c>
      <c r="L6" s="12">
        <v>7.45</v>
      </c>
      <c r="M6" s="13">
        <f t="shared" si="1"/>
        <v>0.29799999999999999</v>
      </c>
      <c r="N6" s="11">
        <f t="shared" si="2"/>
        <v>0.93125000000000002</v>
      </c>
      <c r="O6" s="14"/>
      <c r="P6" s="11">
        <v>4</v>
      </c>
      <c r="Q6" s="12">
        <v>4</v>
      </c>
      <c r="R6" s="13">
        <f t="shared" si="3"/>
        <v>1</v>
      </c>
      <c r="S6" s="11">
        <v>5</v>
      </c>
      <c r="T6" s="12">
        <v>4.25</v>
      </c>
      <c r="U6" s="13">
        <f t="shared" si="4"/>
        <v>0.85</v>
      </c>
      <c r="V6" s="11">
        <f t="shared" si="5"/>
        <v>1.0625</v>
      </c>
      <c r="W6" s="14"/>
      <c r="X6" s="34"/>
    </row>
    <row r="7" spans="1:24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53</v>
      </c>
      <c r="G7" s="11">
        <v>50</v>
      </c>
      <c r="H7" s="71">
        <v>45</v>
      </c>
      <c r="I7" s="12">
        <v>7</v>
      </c>
      <c r="J7" s="13">
        <f t="shared" si="0"/>
        <v>0.14000000000000001</v>
      </c>
      <c r="K7" s="11">
        <v>30</v>
      </c>
      <c r="L7" s="12">
        <v>11.05</v>
      </c>
      <c r="M7" s="13">
        <f t="shared" si="1"/>
        <v>0.36833333333333335</v>
      </c>
      <c r="N7" s="11">
        <f t="shared" si="2"/>
        <v>1.5785714285714287</v>
      </c>
      <c r="O7" s="14"/>
      <c r="P7" s="11">
        <v>4</v>
      </c>
      <c r="Q7" s="12">
        <v>2</v>
      </c>
      <c r="R7" s="13">
        <f t="shared" si="3"/>
        <v>0.5</v>
      </c>
      <c r="S7" s="11">
        <v>5.9</v>
      </c>
      <c r="T7" s="12">
        <v>3</v>
      </c>
      <c r="U7" s="13">
        <f t="shared" si="4"/>
        <v>0.50847457627118642</v>
      </c>
      <c r="V7" s="11">
        <f t="shared" si="5"/>
        <v>1.5</v>
      </c>
      <c r="W7" s="14"/>
      <c r="X7" s="34"/>
    </row>
    <row r="8" spans="1:24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59</v>
      </c>
      <c r="G8" s="11">
        <v>50</v>
      </c>
      <c r="H8" s="71">
        <v>40</v>
      </c>
      <c r="I8" s="12">
        <v>9</v>
      </c>
      <c r="J8" s="13">
        <f t="shared" si="0"/>
        <v>0.18</v>
      </c>
      <c r="K8" s="11">
        <v>20</v>
      </c>
      <c r="L8" s="12">
        <v>6.5</v>
      </c>
      <c r="M8" s="13">
        <f t="shared" si="1"/>
        <v>0.32500000000000001</v>
      </c>
      <c r="N8" s="11">
        <f t="shared" si="2"/>
        <v>0.72222222222222221</v>
      </c>
      <c r="O8" s="14"/>
      <c r="P8" s="11">
        <v>7</v>
      </c>
      <c r="Q8" s="12">
        <v>6</v>
      </c>
      <c r="R8" s="13">
        <f t="shared" si="3"/>
        <v>0.8571428571428571</v>
      </c>
      <c r="S8" s="11">
        <v>5.7</v>
      </c>
      <c r="T8" s="12">
        <v>4.95</v>
      </c>
      <c r="U8" s="13">
        <f t="shared" si="4"/>
        <v>0.86842105263157898</v>
      </c>
      <c r="V8" s="11">
        <f t="shared" si="5"/>
        <v>0.82500000000000007</v>
      </c>
      <c r="W8" s="14"/>
      <c r="X8" s="34"/>
    </row>
    <row r="9" spans="1:24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70</v>
      </c>
      <c r="G9" s="11">
        <v>50</v>
      </c>
      <c r="H9" s="71">
        <v>0</v>
      </c>
      <c r="I9" s="12"/>
      <c r="J9" s="13">
        <f t="shared" si="0"/>
        <v>0</v>
      </c>
      <c r="K9" s="11">
        <v>80</v>
      </c>
      <c r="L9" s="12"/>
      <c r="M9" s="13">
        <f t="shared" si="1"/>
        <v>0</v>
      </c>
      <c r="N9" s="11">
        <f t="shared" si="2"/>
        <v>0</v>
      </c>
      <c r="O9" s="14"/>
      <c r="P9" s="11"/>
      <c r="Q9" s="12">
        <v>0</v>
      </c>
      <c r="R9" s="13">
        <f t="shared" si="3"/>
        <v>0</v>
      </c>
      <c r="S9" s="11">
        <v>0</v>
      </c>
      <c r="T9" s="12">
        <v>0</v>
      </c>
      <c r="U9" s="13">
        <f t="shared" si="4"/>
        <v>0</v>
      </c>
      <c r="V9" s="11">
        <f t="shared" si="5"/>
        <v>0</v>
      </c>
      <c r="W9" s="14"/>
      <c r="X9" s="34"/>
    </row>
    <row r="10" spans="1:24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69</v>
      </c>
      <c r="G10" s="11">
        <v>10</v>
      </c>
      <c r="H10" s="71">
        <v>10</v>
      </c>
      <c r="I10" s="12">
        <v>5</v>
      </c>
      <c r="J10" s="13">
        <f t="shared" si="0"/>
        <v>0.5</v>
      </c>
      <c r="K10" s="11">
        <v>20</v>
      </c>
      <c r="L10" s="12">
        <v>52</v>
      </c>
      <c r="M10" s="13">
        <f t="shared" si="1"/>
        <v>2.6</v>
      </c>
      <c r="N10" s="11">
        <f t="shared" si="2"/>
        <v>10.4</v>
      </c>
      <c r="O10" s="14"/>
      <c r="P10" s="11"/>
      <c r="Q10" s="12"/>
      <c r="R10" s="13">
        <f t="shared" si="3"/>
        <v>0</v>
      </c>
      <c r="S10" s="11"/>
      <c r="T10" s="12"/>
      <c r="U10" s="13">
        <f t="shared" si="4"/>
        <v>0</v>
      </c>
      <c r="V10" s="11">
        <f t="shared" si="5"/>
        <v>0</v>
      </c>
      <c r="W10" s="14"/>
      <c r="X10" s="34"/>
    </row>
    <row r="11" spans="1:24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71</v>
      </c>
      <c r="G11" s="11">
        <v>50</v>
      </c>
      <c r="H11" s="71">
        <v>40</v>
      </c>
      <c r="I11" s="12">
        <v>7</v>
      </c>
      <c r="J11" s="13">
        <f t="shared" si="0"/>
        <v>0.14000000000000001</v>
      </c>
      <c r="K11" s="11">
        <v>20</v>
      </c>
      <c r="L11" s="12">
        <v>9</v>
      </c>
      <c r="M11" s="13">
        <f t="shared" si="1"/>
        <v>0.45</v>
      </c>
      <c r="N11" s="11">
        <f t="shared" si="2"/>
        <v>1.2857142857142858</v>
      </c>
      <c r="O11" s="14"/>
      <c r="P11" s="11"/>
      <c r="Q11" s="12"/>
      <c r="R11" s="13">
        <f t="shared" si="3"/>
        <v>0</v>
      </c>
      <c r="S11" s="11"/>
      <c r="T11" s="12"/>
      <c r="U11" s="13">
        <f t="shared" si="4"/>
        <v>0</v>
      </c>
      <c r="V11" s="11">
        <f t="shared" si="5"/>
        <v>0</v>
      </c>
      <c r="W11" s="14"/>
      <c r="X11" s="34"/>
    </row>
    <row r="12" spans="1:24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72</v>
      </c>
      <c r="G12" s="11">
        <v>50</v>
      </c>
      <c r="H12" s="71">
        <v>40</v>
      </c>
      <c r="I12" s="12">
        <v>6</v>
      </c>
      <c r="J12" s="13">
        <f t="shared" si="0"/>
        <v>0.12</v>
      </c>
      <c r="K12" s="11">
        <v>30</v>
      </c>
      <c r="L12" s="12">
        <v>10</v>
      </c>
      <c r="M12" s="13">
        <f t="shared" si="1"/>
        <v>0.33333333333333331</v>
      </c>
      <c r="N12" s="11">
        <f t="shared" si="2"/>
        <v>1.6666666666666667</v>
      </c>
      <c r="O12" s="14"/>
      <c r="P12" s="11"/>
      <c r="Q12" s="12"/>
      <c r="R12" s="13">
        <f t="shared" si="3"/>
        <v>0</v>
      </c>
      <c r="S12" s="11"/>
      <c r="T12" s="12"/>
      <c r="U12" s="13">
        <f t="shared" si="4"/>
        <v>0</v>
      </c>
      <c r="V12" s="11">
        <f t="shared" si="5"/>
        <v>0</v>
      </c>
      <c r="W12" s="14"/>
      <c r="X12" s="34"/>
    </row>
    <row r="13" spans="1:24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62</v>
      </c>
      <c r="G13" s="11">
        <v>50</v>
      </c>
      <c r="H13" s="71">
        <v>45</v>
      </c>
      <c r="I13" s="12">
        <v>6</v>
      </c>
      <c r="J13" s="13">
        <f t="shared" si="0"/>
        <v>0.12</v>
      </c>
      <c r="K13" s="11">
        <v>30</v>
      </c>
      <c r="L13" s="12">
        <v>4</v>
      </c>
      <c r="M13" s="13">
        <f t="shared" si="1"/>
        <v>0.13333333333333333</v>
      </c>
      <c r="N13" s="11">
        <f t="shared" si="2"/>
        <v>0.66666666666666663</v>
      </c>
      <c r="O13" s="14"/>
      <c r="P13" s="11"/>
      <c r="Q13" s="12"/>
      <c r="R13" s="13">
        <f t="shared" si="3"/>
        <v>0</v>
      </c>
      <c r="S13" s="11"/>
      <c r="T13" s="12"/>
      <c r="U13" s="13">
        <f t="shared" si="4"/>
        <v>0</v>
      </c>
      <c r="V13" s="11">
        <f t="shared" si="5"/>
        <v>0</v>
      </c>
      <c r="W13" s="14"/>
      <c r="X13" s="34"/>
    </row>
    <row r="14" spans="1:24" ht="17" thickBot="1" x14ac:dyDescent="0.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73</v>
      </c>
      <c r="G14" s="11"/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34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hidden="1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/>
      <c r="G19" s="36"/>
      <c r="H19" s="74"/>
      <c r="I19" s="37"/>
      <c r="J19" s="38">
        <f t="shared" si="0"/>
        <v>0</v>
      </c>
      <c r="K19" s="36">
        <v>1</v>
      </c>
      <c r="L19" s="37">
        <v>1</v>
      </c>
      <c r="M19" s="38">
        <f t="shared" si="1"/>
        <v>1</v>
      </c>
      <c r="N19" s="36">
        <f t="shared" si="2"/>
        <v>0</v>
      </c>
      <c r="O19" s="39">
        <v>1</v>
      </c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2" t="s">
        <v>18</v>
      </c>
      <c r="E20" s="103"/>
      <c r="F20" s="104"/>
      <c r="G20" s="40">
        <f>SUM(G4:G19)</f>
        <v>460</v>
      </c>
      <c r="H20" s="41">
        <f>SUM(H4:H19)</f>
        <v>345</v>
      </c>
      <c r="I20" s="41">
        <f>SUM(I4:I19)</f>
        <v>62</v>
      </c>
      <c r="J20" s="42">
        <f t="shared" si="0"/>
        <v>0.13478260869565217</v>
      </c>
      <c r="K20" s="40">
        <f>SUM(K4:K12)</f>
        <v>295</v>
      </c>
      <c r="L20" s="40">
        <f>SUM(L4:L12)</f>
        <v>118.97499999999999</v>
      </c>
      <c r="M20" s="42">
        <f t="shared" si="1"/>
        <v>0.40330508474576271</v>
      </c>
      <c r="N20" s="40">
        <f t="shared" si="2"/>
        <v>1.9189516129032258</v>
      </c>
      <c r="O20" s="43">
        <f>AVERAGE(O4:O19)</f>
        <v>1</v>
      </c>
      <c r="P20" s="40">
        <f>SUM(P4:P19)</f>
        <v>35</v>
      </c>
      <c r="Q20" s="41">
        <f>SUM(Q4:Q19)</f>
        <v>30</v>
      </c>
      <c r="R20" s="42">
        <f t="shared" si="3"/>
        <v>0.8571428571428571</v>
      </c>
      <c r="S20" s="40">
        <f>SUM(S4:S19)</f>
        <v>42.1</v>
      </c>
      <c r="T20" s="41">
        <f>SUM(T4:T19)</f>
        <v>29.675000000000001</v>
      </c>
      <c r="U20" s="42">
        <f t="shared" si="4"/>
        <v>0.70486935866983369</v>
      </c>
      <c r="V20" s="40">
        <f t="shared" si="5"/>
        <v>0.98916666666666664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2" t="s">
        <v>18</v>
      </c>
      <c r="E26" s="103"/>
      <c r="F26" s="104"/>
      <c r="G26" s="40">
        <f>SUM(G21:G25)</f>
        <v>5</v>
      </c>
      <c r="H26" s="41">
        <f t="shared" ref="H26:I26" si="6">SUM(H21:H25)</f>
        <v>0</v>
      </c>
      <c r="I26" s="41">
        <f t="shared" si="6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7">SUM(Q21:Q25)</f>
        <v>5</v>
      </c>
      <c r="R26" s="42">
        <f t="shared" si="3"/>
        <v>1</v>
      </c>
      <c r="S26" s="40">
        <f>SUM(S21:S25)</f>
        <v>5</v>
      </c>
      <c r="T26" s="41">
        <f t="shared" ref="T26" si="8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5" t="s">
        <v>18</v>
      </c>
      <c r="E31" s="106"/>
      <c r="F31" s="107"/>
      <c r="G31" s="40">
        <f>SUM(G27:G30)</f>
        <v>4</v>
      </c>
      <c r="H31" s="41">
        <f t="shared" ref="H31:I31" si="9">SUM(H27:H30)</f>
        <v>0</v>
      </c>
      <c r="I31" s="41">
        <f t="shared" si="9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0">SUM(Q27:Q30)</f>
        <v>4</v>
      </c>
      <c r="R31" s="42">
        <f t="shared" si="3"/>
        <v>1</v>
      </c>
      <c r="S31" s="40">
        <f>SUM(S27:S30)</f>
        <v>4</v>
      </c>
      <c r="T31" s="41">
        <f t="shared" ref="T31" si="11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469</v>
      </c>
      <c r="H32" s="21">
        <f t="shared" ref="H32:I32" si="12">+H31+H26+H20</f>
        <v>345</v>
      </c>
      <c r="I32" s="21">
        <f t="shared" si="12"/>
        <v>62</v>
      </c>
      <c r="J32" s="22">
        <f t="shared" si="0"/>
        <v>0.13219616204690832</v>
      </c>
      <c r="K32" s="20">
        <v>1</v>
      </c>
      <c r="L32" s="21">
        <v>1</v>
      </c>
      <c r="M32" s="22">
        <f t="shared" si="1"/>
        <v>1</v>
      </c>
      <c r="N32" s="20">
        <f t="shared" si="2"/>
        <v>1.6129032258064516E-2</v>
      </c>
      <c r="O32" s="23">
        <f>AVERAGE(O31,O20,O26)</f>
        <v>1</v>
      </c>
      <c r="P32" s="20">
        <f>+P31+P26+P20</f>
        <v>44</v>
      </c>
      <c r="Q32" s="21">
        <f t="shared" ref="Q32" si="13">+Q31+Q26+Q20</f>
        <v>39</v>
      </c>
      <c r="R32" s="22">
        <f t="shared" si="3"/>
        <v>0.88636363636363635</v>
      </c>
      <c r="S32" s="20">
        <f>+S31+S26+S20</f>
        <v>51.1</v>
      </c>
      <c r="T32" s="21">
        <f t="shared" ref="T32" si="14">+T31+T26+T20</f>
        <v>38.674999999999997</v>
      </c>
      <c r="U32" s="22">
        <f t="shared" si="4"/>
        <v>0.75684931506849307</v>
      </c>
      <c r="V32" s="20">
        <f t="shared" si="5"/>
        <v>0.99166666666666659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D1" workbookViewId="0">
      <selection activeCell="M13" sqref="M13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8.5429687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4</v>
      </c>
      <c r="C2" s="62">
        <f>+B2/A2</f>
        <v>0.14814814814814814</v>
      </c>
      <c r="D2" s="91">
        <f>+A2-B2</f>
        <v>23</v>
      </c>
      <c r="F2" s="89">
        <v>46300</v>
      </c>
      <c r="G2" s="114" t="s">
        <v>34</v>
      </c>
      <c r="H2" s="115"/>
      <c r="I2" s="115"/>
      <c r="J2" s="115"/>
      <c r="K2" s="111" t="s">
        <v>48</v>
      </c>
      <c r="L2" s="112"/>
      <c r="M2" s="112"/>
      <c r="N2" s="112"/>
      <c r="O2" s="113"/>
      <c r="P2" s="117" t="s">
        <v>35</v>
      </c>
      <c r="Q2" s="118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66</v>
      </c>
      <c r="E4" s="47" t="s">
        <v>22</v>
      </c>
      <c r="F4" s="99" t="s">
        <v>23</v>
      </c>
      <c r="G4" s="30">
        <v>600</v>
      </c>
      <c r="H4" s="68"/>
      <c r="I4" s="31">
        <f>15+13</f>
        <v>28</v>
      </c>
      <c r="J4" s="67">
        <f>IFERROR(I4/G4,0)</f>
        <v>4.6666666666666669E-2</v>
      </c>
      <c r="K4" s="7">
        <v>450</v>
      </c>
      <c r="L4" s="8">
        <v>38.375</v>
      </c>
      <c r="M4" s="82">
        <f>IFERROR(L4/K4,0)</f>
        <v>8.5277777777777772E-2</v>
      </c>
      <c r="N4" s="8">
        <f t="shared" ref="N4:N7" si="0">K4-L4</f>
        <v>411.625</v>
      </c>
      <c r="O4" s="10">
        <f t="shared" ref="O4:O7" si="1">N4/$D$2</f>
        <v>17.896739130434781</v>
      </c>
      <c r="P4" s="68">
        <f t="shared" ref="P4:P13" si="2">L4/I4</f>
        <v>1.3705357142857142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66</v>
      </c>
      <c r="E5" s="16" t="s">
        <v>22</v>
      </c>
      <c r="F5" s="17" t="s">
        <v>24</v>
      </c>
      <c r="G5" s="11">
        <v>600</v>
      </c>
      <c r="H5" s="71"/>
      <c r="I5" s="12">
        <f>6+5</f>
        <v>11</v>
      </c>
      <c r="J5" s="69">
        <f t="shared" ref="J5:J29" si="3">IFERROR(I5/G5,0)</f>
        <v>1.8333333333333333E-2</v>
      </c>
      <c r="K5" s="11">
        <v>350</v>
      </c>
      <c r="L5" s="12">
        <v>25.5</v>
      </c>
      <c r="M5" s="70">
        <f t="shared" ref="M5:M29" si="4">IFERROR(L5/K5,0)</f>
        <v>7.2857142857142856E-2</v>
      </c>
      <c r="N5" s="12">
        <f t="shared" si="0"/>
        <v>324.5</v>
      </c>
      <c r="O5" s="14">
        <f t="shared" si="1"/>
        <v>14.108695652173912</v>
      </c>
      <c r="P5" s="71">
        <f t="shared" si="2"/>
        <v>2.3181818181818183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66</v>
      </c>
      <c r="E6" s="16" t="s">
        <v>22</v>
      </c>
      <c r="F6" s="17" t="s">
        <v>58</v>
      </c>
      <c r="G6" s="11">
        <v>600</v>
      </c>
      <c r="H6" s="71"/>
      <c r="I6" s="12">
        <f>6+4</f>
        <v>10</v>
      </c>
      <c r="J6" s="69">
        <f t="shared" si="3"/>
        <v>1.6666666666666666E-2</v>
      </c>
      <c r="K6" s="11">
        <v>350</v>
      </c>
      <c r="L6" s="12">
        <v>25.324999999999999</v>
      </c>
      <c r="M6" s="70">
        <f t="shared" si="4"/>
        <v>7.2357142857142856E-2</v>
      </c>
      <c r="N6" s="12">
        <f t="shared" si="0"/>
        <v>324.67500000000001</v>
      </c>
      <c r="O6" s="14">
        <f t="shared" si="1"/>
        <v>14.116304347826087</v>
      </c>
      <c r="P6" s="71">
        <f t="shared" si="2"/>
        <v>2.5324999999999998</v>
      </c>
      <c r="Q6" s="14"/>
      <c r="R6" s="34"/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66</v>
      </c>
      <c r="E7" s="16" t="s">
        <v>22</v>
      </c>
      <c r="F7" s="17" t="s">
        <v>53</v>
      </c>
      <c r="G7" s="11">
        <v>600</v>
      </c>
      <c r="H7" s="71"/>
      <c r="I7" s="12">
        <f>2+2</f>
        <v>4</v>
      </c>
      <c r="J7" s="69">
        <f t="shared" si="3"/>
        <v>6.6666666666666671E-3</v>
      </c>
      <c r="K7" s="11">
        <v>250</v>
      </c>
      <c r="L7" s="12">
        <v>15.6</v>
      </c>
      <c r="M7" s="70">
        <f t="shared" si="4"/>
        <v>6.2399999999999997E-2</v>
      </c>
      <c r="N7" s="12">
        <f t="shared" si="0"/>
        <v>234.4</v>
      </c>
      <c r="O7" s="14">
        <f t="shared" si="1"/>
        <v>10.191304347826087</v>
      </c>
      <c r="P7" s="71">
        <f t="shared" si="2"/>
        <v>3.9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66</v>
      </c>
      <c r="E8" s="16" t="s">
        <v>22</v>
      </c>
      <c r="F8" s="17" t="s">
        <v>59</v>
      </c>
      <c r="G8" s="11">
        <v>600</v>
      </c>
      <c r="H8" s="71"/>
      <c r="I8" s="12">
        <f>3+6</f>
        <v>9</v>
      </c>
      <c r="J8" s="69">
        <f t="shared" si="3"/>
        <v>1.4999999999999999E-2</v>
      </c>
      <c r="K8" s="11">
        <v>250</v>
      </c>
      <c r="L8" s="12">
        <v>16.899999999999999</v>
      </c>
      <c r="M8" s="70">
        <f t="shared" si="4"/>
        <v>6.7599999999999993E-2</v>
      </c>
      <c r="N8" s="12">
        <f t="shared" ref="N8:N29" si="5">K8-L8</f>
        <v>233.1</v>
      </c>
      <c r="O8" s="14">
        <f t="shared" ref="O8:O29" si="6">N8/$D$2</f>
        <v>10.134782608695652</v>
      </c>
      <c r="P8" s="71">
        <f t="shared" si="2"/>
        <v>1.8777777777777775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66</v>
      </c>
      <c r="E9" s="16" t="s">
        <v>22</v>
      </c>
      <c r="F9" s="17" t="s">
        <v>70</v>
      </c>
      <c r="G9" s="11">
        <v>600</v>
      </c>
      <c r="H9" s="71"/>
      <c r="I9" s="12"/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66</v>
      </c>
      <c r="E10" s="16" t="s">
        <v>22</v>
      </c>
      <c r="F10" s="17" t="s">
        <v>25</v>
      </c>
      <c r="G10" s="11">
        <v>200</v>
      </c>
      <c r="H10" s="71"/>
      <c r="I10" s="12">
        <v>3</v>
      </c>
      <c r="J10" s="69">
        <f t="shared" si="3"/>
        <v>1.4999999999999999E-2</v>
      </c>
      <c r="K10" s="11">
        <v>2300</v>
      </c>
      <c r="L10" s="12">
        <v>140</v>
      </c>
      <c r="M10" s="70">
        <f t="shared" si="4"/>
        <v>6.0869565217391307E-2</v>
      </c>
      <c r="N10" s="12">
        <f t="shared" si="5"/>
        <v>2160</v>
      </c>
      <c r="O10" s="14">
        <f t="shared" si="6"/>
        <v>93.913043478260875</v>
      </c>
      <c r="P10" s="71">
        <f t="shared" si="2"/>
        <v>46.666666666666664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66</v>
      </c>
      <c r="E11" s="16" t="s">
        <v>22</v>
      </c>
      <c r="F11" s="17" t="s">
        <v>60</v>
      </c>
      <c r="G11" s="11">
        <v>600</v>
      </c>
      <c r="H11" s="71"/>
      <c r="I11" s="12">
        <v>9</v>
      </c>
      <c r="J11" s="69">
        <f t="shared" si="3"/>
        <v>1.4999999999999999E-2</v>
      </c>
      <c r="K11" s="11">
        <v>450</v>
      </c>
      <c r="L11" s="12">
        <v>18</v>
      </c>
      <c r="M11" s="70">
        <f t="shared" si="4"/>
        <v>0.04</v>
      </c>
      <c r="N11" s="12">
        <f t="shared" si="5"/>
        <v>432</v>
      </c>
      <c r="O11" s="14">
        <f t="shared" si="6"/>
        <v>18.782608695652176</v>
      </c>
      <c r="P11" s="71">
        <f t="shared" si="2"/>
        <v>2</v>
      </c>
      <c r="Q11" s="14"/>
      <c r="R11" s="3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66</v>
      </c>
      <c r="E12" s="16" t="s">
        <v>22</v>
      </c>
      <c r="F12" s="17" t="s">
        <v>61</v>
      </c>
      <c r="G12" s="11">
        <v>600</v>
      </c>
      <c r="H12" s="71"/>
      <c r="I12" s="12">
        <v>9</v>
      </c>
      <c r="J12" s="69">
        <f t="shared" si="3"/>
        <v>1.4999999999999999E-2</v>
      </c>
      <c r="K12" s="11">
        <v>300</v>
      </c>
      <c r="L12" s="12">
        <v>12</v>
      </c>
      <c r="M12" s="70">
        <f t="shared" si="4"/>
        <v>0.04</v>
      </c>
      <c r="N12" s="12">
        <f t="shared" si="5"/>
        <v>288</v>
      </c>
      <c r="O12" s="14">
        <f t="shared" si="6"/>
        <v>12.521739130434783</v>
      </c>
      <c r="P12" s="71">
        <f t="shared" si="2"/>
        <v>1.3333333333333333</v>
      </c>
      <c r="Q12" s="14"/>
      <c r="R12" s="3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66</v>
      </c>
      <c r="E13" s="16" t="s">
        <v>22</v>
      </c>
      <c r="F13" s="17" t="s">
        <v>62</v>
      </c>
      <c r="G13" s="11">
        <v>600</v>
      </c>
      <c r="H13" s="71"/>
      <c r="I13" s="12">
        <v>0</v>
      </c>
      <c r="J13" s="69">
        <f t="shared" si="3"/>
        <v>0</v>
      </c>
      <c r="K13" s="11">
        <v>250</v>
      </c>
      <c r="L13" s="12">
        <v>4</v>
      </c>
      <c r="M13" s="70">
        <f t="shared" si="4"/>
        <v>1.6E-2</v>
      </c>
      <c r="N13" s="12">
        <f t="shared" si="5"/>
        <v>246</v>
      </c>
      <c r="O13" s="14">
        <f t="shared" si="6"/>
        <v>10.695652173913043</v>
      </c>
      <c r="P13" s="71" t="e">
        <f t="shared" si="2"/>
        <v>#DIV/0!</v>
      </c>
      <c r="Q13" s="14"/>
      <c r="R13" s="1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66</v>
      </c>
      <c r="E14" s="16" t="s">
        <v>22</v>
      </c>
      <c r="F14" s="100" t="s">
        <v>63</v>
      </c>
      <c r="G14" s="11">
        <v>0</v>
      </c>
      <c r="H14" s="71"/>
      <c r="I14" s="12"/>
      <c r="J14" s="69">
        <f t="shared" si="3"/>
        <v>0</v>
      </c>
      <c r="K14" s="11"/>
      <c r="L14" s="12"/>
      <c r="M14" s="70">
        <f t="shared" si="4"/>
        <v>0</v>
      </c>
      <c r="N14" s="12">
        <f t="shared" si="5"/>
        <v>0</v>
      </c>
      <c r="O14" s="14">
        <f t="shared" si="6"/>
        <v>0</v>
      </c>
      <c r="P14" s="71"/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66</v>
      </c>
      <c r="E15" s="16" t="s">
        <v>22</v>
      </c>
      <c r="F15" s="100" t="s">
        <v>64</v>
      </c>
      <c r="G15" s="11"/>
      <c r="H15" s="71"/>
      <c r="I15" s="12"/>
      <c r="J15" s="69">
        <f t="shared" si="3"/>
        <v>0</v>
      </c>
      <c r="K15" s="11"/>
      <c r="L15" s="12"/>
      <c r="M15" s="70">
        <f t="shared" si="4"/>
        <v>0</v>
      </c>
      <c r="N15" s="12">
        <f t="shared" si="5"/>
        <v>0</v>
      </c>
      <c r="O15" s="14">
        <f t="shared" si="6"/>
        <v>0</v>
      </c>
      <c r="P15" s="71"/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66</v>
      </c>
      <c r="E16" s="16" t="s">
        <v>22</v>
      </c>
      <c r="F16" s="101" t="s">
        <v>65</v>
      </c>
      <c r="G16" s="11"/>
      <c r="H16" s="71"/>
      <c r="I16" s="12"/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>
        <f t="shared" si="6"/>
        <v>0</v>
      </c>
      <c r="P16" s="71"/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5" t="s">
        <v>18</v>
      </c>
      <c r="E17" s="106"/>
      <c r="F17" s="107"/>
      <c r="G17" s="40">
        <f>SUM(G4:G14)</f>
        <v>5600</v>
      </c>
      <c r="H17" s="41">
        <f>SUM(H4:H13)</f>
        <v>0</v>
      </c>
      <c r="I17" s="41">
        <f>SUM(I4:I13)</f>
        <v>83</v>
      </c>
      <c r="J17" s="75">
        <f t="shared" si="3"/>
        <v>1.4821428571428572E-2</v>
      </c>
      <c r="K17" s="76">
        <f>SUM(K4:K16)</f>
        <v>5100</v>
      </c>
      <c r="L17" s="77">
        <f>SUM(L4:L16)</f>
        <v>295.7</v>
      </c>
      <c r="M17" s="78">
        <f t="shared" si="4"/>
        <v>5.7980392156862744E-2</v>
      </c>
      <c r="N17" s="77">
        <f t="shared" si="5"/>
        <v>4804.3</v>
      </c>
      <c r="O17" s="79">
        <f t="shared" si="6"/>
        <v>208.88260869565218</v>
      </c>
      <c r="P17" s="80">
        <f>L17/I17</f>
        <v>3.5626506024096383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18.508695652173913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18.508695652173913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18.508695652173913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18.508695652173913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18.508695652173913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5" t="s">
        <v>18</v>
      </c>
      <c r="E23" s="106"/>
      <c r="F23" s="107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18.508695652173913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18.508695652173913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18.508695652173913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18.508695652173913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18.508695652173913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5" t="s">
        <v>18</v>
      </c>
      <c r="E28" s="106"/>
      <c r="F28" s="107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18.508695652173913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5609</v>
      </c>
      <c r="H29" s="21">
        <f t="shared" ref="H29:I29" si="11">+H28+H23+H17</f>
        <v>0</v>
      </c>
      <c r="I29" s="21">
        <f t="shared" si="11"/>
        <v>92</v>
      </c>
      <c r="J29" s="83">
        <f t="shared" si="3"/>
        <v>1.6402210732750937E-2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18.508695652173913</v>
      </c>
      <c r="P29" s="88">
        <f>L29/I29</f>
        <v>1.8945652173913046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2026-10-06T05:29:20Z</dcterms:modified>
</cp:coreProperties>
</file>