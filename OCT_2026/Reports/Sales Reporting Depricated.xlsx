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A6707FF-DEC4-425F-A093-68DDF7B6F44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2" l="1"/>
  <c r="L11" i="2"/>
  <c r="L13" i="2"/>
  <c r="I10" i="2"/>
  <c r="I8" i="2"/>
  <c r="I7" i="2"/>
  <c r="I5" i="2"/>
  <c r="I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<sst xmlns="http://schemas.openxmlformats.org/spreadsheetml/2006/main" count="363" uniqueCount="77">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</sst>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zoomScale="85" zoomScaleNormal="85" workbookViewId="0"/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E1" workbookViewId="0">
      <selection activeCell="K11" sqref="K1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16</v>
      </c>
      <c r="C2" s="62">
        <f>+B2/A2</f>
        <v>0.59259259259259256</v>
      </c>
      <c r="D2" s="91">
        <f>+A2-B2</f>
        <v>11</v>
      </c>
      <c r="F2" s="89">
        <v>46314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</f>
        <v>119</v>
      </c>
      <c r="J4" s="67">
        <f>IFERROR(I4/G4,0)</f>
        <v>0.36615384615384616</v>
      </c>
      <c r="K4" s="7">
        <v>450</v>
      </c>
      <c r="L4" s="8">
        <v>159.05000000000001</v>
      </c>
      <c r="M4" s="82">
        <f>IFERROR(L4/K4,0)</f>
        <v>0.35344444444444445</v>
      </c>
      <c r="N4" s="8">
        <f t="shared" ref="N4:N7" si="0">K4-L4</f>
        <v>290.95</v>
      </c>
      <c r="O4" s="10">
        <f t="shared" ref="O4:O7" si="1">N4/$D$2</f>
        <v>26.45</v>
      </c>
      <c r="P4" s="68">
        <f t="shared" ref="P4:P16" si="2">L4/I4</f>
        <v>1.3365546218487396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</f>
        <v>106</v>
      </c>
      <c r="J5" s="69">
        <f t="shared" ref="J5:J29" si="3">IFERROR(I5/G5,0)</f>
        <v>0.4472573839662447</v>
      </c>
      <c r="K5" s="11">
        <v>350</v>
      </c>
      <c r="L5" s="12">
        <v>109.1</v>
      </c>
      <c r="M5" s="70">
        <f t="shared" ref="M5:M29" si="4">IFERROR(L5/K5,0)</f>
        <v>0.31171428571428572</v>
      </c>
      <c r="N5" s="12">
        <f t="shared" si="0"/>
        <v>240.9</v>
      </c>
      <c r="O5" s="14">
        <f t="shared" si="1"/>
        <v>21.900000000000002</v>
      </c>
      <c r="P5" s="71">
        <f t="shared" si="2"/>
        <v>1.0292452830188679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29.152272727272727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</f>
        <v>51</v>
      </c>
      <c r="J7" s="69">
        <f t="shared" si="3"/>
        <v>0.17708333333333334</v>
      </c>
      <c r="K7" s="11">
        <v>250</v>
      </c>
      <c r="L7" s="12">
        <v>76.174999999999997</v>
      </c>
      <c r="M7" s="70">
        <f t="shared" si="4"/>
        <v>0.30469999999999997</v>
      </c>
      <c r="N7" s="12">
        <f t="shared" si="0"/>
        <v>173.82499999999999</v>
      </c>
      <c r="O7" s="14">
        <f t="shared" si="1"/>
        <v>15.802272727272726</v>
      </c>
      <c r="P7" s="71">
        <f t="shared" si="2"/>
        <v>1.4936274509803922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</f>
        <v>60</v>
      </c>
      <c r="J8" s="69">
        <f t="shared" si="3"/>
        <v>0.16806722689075632</v>
      </c>
      <c r="K8" s="11">
        <v>250</v>
      </c>
      <c r="L8" s="12">
        <v>88.85</v>
      </c>
      <c r="M8" s="70">
        <f t="shared" si="4"/>
        <v>0.35539999999999999</v>
      </c>
      <c r="N8" s="12">
        <f t="shared" ref="N8:N29" si="5">K8-L8</f>
        <v>161.15</v>
      </c>
      <c r="O8" s="14">
        <f t="shared" ref="O8:O29" si="6">N8/$D$2</f>
        <v>14.65</v>
      </c>
      <c r="P8" s="71">
        <f t="shared" si="2"/>
        <v>1.4808333333333332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</f>
        <v>46</v>
      </c>
      <c r="J10" s="69">
        <f t="shared" si="3"/>
        <v>0.4144144144144144</v>
      </c>
      <c r="K10" s="11">
        <v>2300</v>
      </c>
      <c r="L10" s="12">
        <v>1103</v>
      </c>
      <c r="M10" s="70">
        <f t="shared" si="4"/>
        <v>0.47956521739130437</v>
      </c>
      <c r="N10" s="12">
        <f t="shared" si="5"/>
        <v>1197</v>
      </c>
      <c r="O10" s="14">
        <f t="shared" si="6"/>
        <v>108.81818181818181</v>
      </c>
      <c r="P10" s="71">
        <f t="shared" si="2"/>
        <v>23.978260869565219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82</v>
      </c>
      <c r="J11" s="69">
        <f t="shared" si="3"/>
        <v>0.25465838509316768</v>
      </c>
      <c r="K11" s="11">
        <v>450</v>
      </c>
      <c r="L11" s="12">
        <f>106+16+15+38+16+18+9</f>
        <v>218</v>
      </c>
      <c r="M11" s="70">
        <f t="shared" si="4"/>
        <v>0.48444444444444446</v>
      </c>
      <c r="N11" s="12">
        <f t="shared" si="5"/>
        <v>232</v>
      </c>
      <c r="O11" s="14">
        <f t="shared" si="6"/>
        <v>21.09090909090909</v>
      </c>
      <c r="P11" s="71">
        <f t="shared" si="2"/>
        <v>2.6585365853658538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80</v>
      </c>
      <c r="J12" s="69">
        <f t="shared" si="3"/>
        <v>0.25723472668810288</v>
      </c>
      <c r="K12" s="11">
        <v>300</v>
      </c>
      <c r="L12" s="12">
        <f>100+8+8+6+8+8+6</f>
        <v>144</v>
      </c>
      <c r="M12" s="70">
        <f t="shared" si="4"/>
        <v>0.48</v>
      </c>
      <c r="N12" s="12">
        <f t="shared" si="5"/>
        <v>156</v>
      </c>
      <c r="O12" s="14">
        <f t="shared" si="6"/>
        <v>14.181818181818182</v>
      </c>
      <c r="P12" s="71">
        <f t="shared" si="2"/>
        <v>1.8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68</v>
      </c>
      <c r="J13" s="69">
        <f t="shared" si="3"/>
        <v>0.48571428571428571</v>
      </c>
      <c r="K13" s="11">
        <v>250</v>
      </c>
      <c r="L13" s="12">
        <f>50+10+10+4+5+5+3.5</f>
        <v>87.5</v>
      </c>
      <c r="M13" s="70">
        <f t="shared" si="4"/>
        <v>0.35</v>
      </c>
      <c r="N13" s="12">
        <f t="shared" si="5"/>
        <v>162.5</v>
      </c>
      <c r="O13" s="14">
        <f t="shared" si="6"/>
        <v>14.772727272727273</v>
      </c>
      <c r="P13" s="71">
        <f t="shared" si="2"/>
        <v>1.286764705882353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0.90909090909090906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2.2727272727272729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430</v>
      </c>
      <c r="M16" s="70">
        <f t="shared" si="4"/>
        <v>0</v>
      </c>
      <c r="N16" s="12">
        <f t="shared" si="5"/>
        <v>-430</v>
      </c>
      <c r="O16" s="14">
        <f t="shared" si="6"/>
        <v>-39.090909090909093</v>
      </c>
      <c r="P16" s="71">
        <f t="shared" si="2"/>
        <v>430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634</v>
      </c>
      <c r="J17" s="75">
        <f t="shared" si="3"/>
        <v>0.25431207380665866</v>
      </c>
      <c r="K17" s="76">
        <f>SUM(K4:K16)</f>
        <v>5300</v>
      </c>
      <c r="L17" s="77">
        <f>SUM(L4:L16)</f>
        <v>2610</v>
      </c>
      <c r="M17" s="78">
        <f t="shared" si="4"/>
        <v>0.49245283018867925</v>
      </c>
      <c r="N17" s="77">
        <f t="shared" si="5"/>
        <v>2690</v>
      </c>
      <c r="O17" s="79">
        <f t="shared" si="6"/>
        <v>244.54545454545453</v>
      </c>
      <c r="P17" s="80">
        <f>L17/I17</f>
        <v>4.1167192429022084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38.699999999999996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38.699999999999996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38.699999999999996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38.699999999999996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38.699999999999996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38.699999999999996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38.699999999999996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38.699999999999996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38.699999999999996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38.699999999999996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38.699999999999996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643</v>
      </c>
      <c r="J29" s="83">
        <f t="shared" si="3"/>
        <v>0.25699440447641886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38.699999999999996</v>
      </c>
      <c r="P29" s="88">
        <f>L29/I29</f>
        <v>0.27107309486780717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2026-10-20T04:55:39Z</dcterms:modified>
</cp:coreProperties>
</file>