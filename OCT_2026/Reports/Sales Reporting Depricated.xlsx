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8CACB445-C54C-42E2-988D-95579D7D9DE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9" i="2" l="1"/>
  <c r="M9" i="2"/>
  <c r="J9" i="2"/>
  <c r="L20" i="1" l="1"/>
  <c r="K20" i="1"/>
  <c r="M4" i="1" l="1"/>
  <c r="N4" i="1"/>
  <c r="L17" i="2"/>
  <c r="G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I17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<sst xmlns="http://schemas.openxmlformats.org/spreadsheetml/2006/main" count="361" uniqueCount="75">
  <si>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</si>
  <si>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</si>
  <si>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</si>
  <si>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</si>
  <si>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</si>
  <si>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</si>
  <si>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</si>
  <si>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</si>
  <si>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</si>
  <si>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</si>
  <si>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</si>
  <si>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</si>
  <si>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</si>
  <si>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</si>
  <si>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</si>
  <si>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</si>
  <si>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</si>
  <si>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</si>
  <si>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</si>
  <si>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</si>
  <si>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</si>
  <si>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</si>
  <si>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</si>
  <si>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</si>
  <si>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</si>
  <si>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</si>
  <si>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</si>
  <si>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</si>
  <si>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</si>
  <si>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</si>
  <si>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</si>
  <si>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</si>
  <si>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</si>
  <si>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</si>
  <si>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</si>
  <si>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</si>
  <si>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</si>
  <si>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</si>
  <si>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</si>
  <si>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</si>
  <si>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</si>
  <si>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</si>
  <si>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</si>
  <si>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</si>
  <si>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</si>
  <si>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</si>
  <si>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</si>
  <si>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</si>
  <si>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</si>
  <si>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</si>
  <si>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</si>
  <si>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</si>
  <si>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</si>
  <si>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</si>
  <si>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</si>
  <si>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</si>
  <si>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</si>
  <si>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</si>
  <si>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</si>
  <si>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</si>
  <si>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</si>
  <si>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</si>
  <si>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</si>
  <si>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Kasur</t>
  </si>
  <si>
    <t xml:space="preserve">Riwand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</si>
  <si>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</si>
  <si>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</si>
  <si>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</si>
  <si>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</si>
  <si>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</si>
  <si>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</si>
  <si>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</si>
  <si>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</si>
  <si>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SD</t>
  </si>
  <si>
    <t>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</si>
</sst>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zoomScale="85" zoomScaleNormal="85" workbookViewId="0">
      <selection activeCell="A10" sqref="A1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46298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67</v>
      </c>
      <c r="G4" s="30">
        <v>50</v>
      </c>
      <c r="H4" s="68">
        <v>40</v>
      </c>
      <c r="I4" s="12">
        <v>14</v>
      </c>
      <c r="J4" s="32">
        <f>IFERROR(I4/G4,0)</f>
        <v>0.28000000000000003</v>
      </c>
      <c r="K4" s="30">
        <v>40</v>
      </c>
      <c r="L4" s="12">
        <v>16.875</v>
      </c>
      <c r="M4" s="32">
        <f>IFERROR(L4/K4,0)</f>
        <v>0.421875</v>
      </c>
      <c r="N4" s="90">
        <f>IFERROR(L4/I4,0)</f>
        <v>1.2053571428571428</v>
      </c>
      <c r="O4" s="33"/>
      <c r="P4" s="30">
        <v>17</v>
      </c>
      <c r="Q4" s="31">
        <v>15</v>
      </c>
      <c r="R4" s="32">
        <f>IFERROR(Q4/P4,0)</f>
        <v>0.88235294117647056</v>
      </c>
      <c r="S4" s="30">
        <v>13.6</v>
      </c>
      <c r="T4" s="31">
        <v>11</v>
      </c>
      <c r="U4" s="32">
        <f>IFERROR(T4/S4,0)</f>
        <v>0.80882352941176472</v>
      </c>
      <c r="V4" s="90">
        <f>IFERROR(T4/Q4,0)</f>
        <v>0.73333333333333328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45</v>
      </c>
      <c r="I5" s="12">
        <v>6</v>
      </c>
      <c r="J5" s="13">
        <f t="shared" ref="J5:J32" si="0">IFERROR(I5/G5,0)</f>
        <v>0.12</v>
      </c>
      <c r="K5" s="11">
        <v>30</v>
      </c>
      <c r="L5" s="12">
        <v>8.625</v>
      </c>
      <c r="M5" s="13">
        <f t="shared" ref="M5:M32" si="1">IFERROR(L5/K5,0)</f>
        <v>0.28749999999999998</v>
      </c>
      <c r="N5" s="11">
        <f t="shared" ref="N5:N32" si="2">IFERROR(L5/I5,0)</f>
        <v>1.4375</v>
      </c>
      <c r="O5" s="14"/>
      <c r="P5" s="11">
        <v>6</v>
      </c>
      <c r="Q5" s="12">
        <v>6</v>
      </c>
      <c r="R5" s="13">
        <f t="shared" ref="R5:R32" si="3">IFERROR(Q5/P5,0)</f>
        <v>1</v>
      </c>
      <c r="S5" s="11">
        <v>5</v>
      </c>
      <c r="T5" s="12">
        <v>3</v>
      </c>
      <c r="U5" s="13">
        <f t="shared" ref="U5:U32" si="4">IFERROR(T5/S5,0)</f>
        <v>0.6</v>
      </c>
      <c r="V5" s="11">
        <f t="shared" ref="V5:V32" si="5">IFERROR(T5/Q5,0)</f>
        <v>0.5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68</v>
      </c>
      <c r="G6" s="11">
        <v>50</v>
      </c>
      <c r="H6" s="71">
        <v>40</v>
      </c>
      <c r="I6" s="12">
        <v>4</v>
      </c>
      <c r="J6" s="13">
        <f t="shared" si="0"/>
        <v>0.08</v>
      </c>
      <c r="K6" s="11">
        <v>25</v>
      </c>
      <c r="L6" s="12">
        <v>5</v>
      </c>
      <c r="M6" s="13">
        <f t="shared" si="1"/>
        <v>0.2</v>
      </c>
      <c r="N6" s="11">
        <f t="shared" si="2"/>
        <v>1.25</v>
      </c>
      <c r="O6" s="14"/>
      <c r="P6" s="11">
        <v>8</v>
      </c>
      <c r="Q6" s="12">
        <v>6</v>
      </c>
      <c r="R6" s="13">
        <f t="shared" si="3"/>
        <v>0.75</v>
      </c>
      <c r="S6" s="11">
        <v>12.025</v>
      </c>
      <c r="T6" s="12">
        <v>9.9250000000000007</v>
      </c>
      <c r="U6" s="13">
        <f t="shared" si="4"/>
        <v>0.82536382536382535</v>
      </c>
      <c r="V6" s="11">
        <f t="shared" si="5"/>
        <v>1.6541666666666668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53</v>
      </c>
      <c r="G7" s="11">
        <v>50</v>
      </c>
      <c r="H7" s="71">
        <v>45</v>
      </c>
      <c r="I7" s="12">
        <v>4</v>
      </c>
      <c r="J7" s="13">
        <f t="shared" si="0"/>
        <v>0.08</v>
      </c>
      <c r="K7" s="11">
        <v>30</v>
      </c>
      <c r="L7" s="12">
        <v>5.9</v>
      </c>
      <c r="M7" s="13">
        <f t="shared" si="1"/>
        <v>0.19666666666666668</v>
      </c>
      <c r="N7" s="11">
        <f t="shared" si="2"/>
        <v>1.4750000000000001</v>
      </c>
      <c r="O7" s="14"/>
      <c r="P7" s="11">
        <v>2</v>
      </c>
      <c r="Q7" s="12">
        <v>2</v>
      </c>
      <c r="R7" s="13">
        <f t="shared" si="3"/>
        <v>1</v>
      </c>
      <c r="S7" s="11">
        <v>1.4</v>
      </c>
      <c r="T7" s="12">
        <v>1.4</v>
      </c>
      <c r="U7" s="13">
        <f t="shared" si="4"/>
        <v>1</v>
      </c>
      <c r="V7" s="11">
        <f t="shared" si="5"/>
        <v>0.7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59</v>
      </c>
      <c r="G8" s="11">
        <v>50</v>
      </c>
      <c r="H8" s="71">
        <v>40</v>
      </c>
      <c r="I8" s="12">
        <v>7</v>
      </c>
      <c r="J8" s="13">
        <f t="shared" si="0"/>
        <v>0.14000000000000001</v>
      </c>
      <c r="K8" s="11">
        <v>20</v>
      </c>
      <c r="L8" s="12">
        <v>5.7</v>
      </c>
      <c r="M8" s="13">
        <f t="shared" si="1"/>
        <v>0.28500000000000003</v>
      </c>
      <c r="N8" s="11">
        <f t="shared" si="2"/>
        <v>0.81428571428571428</v>
      </c>
      <c r="O8" s="14"/>
      <c r="P8" s="11">
        <v>5</v>
      </c>
      <c r="Q8" s="12">
        <v>3</v>
      </c>
      <c r="R8" s="13">
        <f t="shared" si="3"/>
        <v>0.6</v>
      </c>
      <c r="S8" s="11">
        <v>6.3</v>
      </c>
      <c r="T8" s="12">
        <v>4.3</v>
      </c>
      <c r="U8" s="13">
        <f t="shared" si="4"/>
        <v>0.68253968253968256</v>
      </c>
      <c r="V8" s="11">
        <f t="shared" si="5"/>
        <v>1.4333333333333333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70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/>
      <c r="M9" s="13">
        <f t="shared" si="1"/>
        <v>0</v>
      </c>
      <c r="N9" s="11">
        <f t="shared" si="2"/>
        <v>0</v>
      </c>
      <c r="O9" s="14"/>
      <c r="P9" s="11"/>
      <c r="Q9" s="12">
        <v>0</v>
      </c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69</v>
      </c>
      <c r="G10" s="11">
        <v>10</v>
      </c>
      <c r="H10" s="71">
        <v>10</v>
      </c>
      <c r="I10" s="12">
        <v>0</v>
      </c>
      <c r="J10" s="13">
        <f t="shared" si="0"/>
        <v>0</v>
      </c>
      <c r="K10" s="11">
        <v>20</v>
      </c>
      <c r="L10" s="12">
        <v>0</v>
      </c>
      <c r="M10" s="13">
        <f t="shared" si="1"/>
        <v>0</v>
      </c>
      <c r="N10" s="11">
        <f t="shared" si="2"/>
        <v>0</v>
      </c>
      <c r="O10" s="14"/>
      <c r="P10" s="11">
        <v>3</v>
      </c>
      <c r="Q10" s="12">
        <v>3</v>
      </c>
      <c r="R10" s="13">
        <f t="shared" si="3"/>
        <v>1</v>
      </c>
      <c r="S10" s="11">
        <v>45</v>
      </c>
      <c r="T10" s="12">
        <v>45</v>
      </c>
      <c r="U10" s="13">
        <f t="shared" si="4"/>
        <v>1</v>
      </c>
      <c r="V10" s="11">
        <f t="shared" si="5"/>
        <v>15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71</v>
      </c>
      <c r="G11" s="11">
        <v>50</v>
      </c>
      <c r="H11" s="71">
        <v>40</v>
      </c>
      <c r="I11" s="12">
        <v>8</v>
      </c>
      <c r="J11" s="13">
        <f t="shared" si="0"/>
        <v>0.16</v>
      </c>
      <c r="K11" s="11">
        <v>20</v>
      </c>
      <c r="L11" s="12">
        <v>10</v>
      </c>
      <c r="M11" s="13">
        <f t="shared" si="1"/>
        <v>0.5</v>
      </c>
      <c r="N11" s="11">
        <f t="shared" si="2"/>
        <v>1.25</v>
      </c>
      <c r="O11" s="14"/>
      <c r="P11" s="11">
        <v>9</v>
      </c>
      <c r="Q11" s="12">
        <v>9</v>
      </c>
      <c r="R11" s="13">
        <f t="shared" si="3"/>
        <v>1</v>
      </c>
      <c r="S11" s="11">
        <v>10</v>
      </c>
      <c r="T11" s="12">
        <v>10</v>
      </c>
      <c r="U11" s="13">
        <f t="shared" si="4"/>
        <v>1</v>
      </c>
      <c r="V11" s="11">
        <f t="shared" si="5"/>
        <v>1.1111111111111112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72</v>
      </c>
      <c r="G12" s="11">
        <v>50</v>
      </c>
      <c r="H12" s="71">
        <v>40</v>
      </c>
      <c r="I12" s="12">
        <v>22</v>
      </c>
      <c r="J12" s="13">
        <f t="shared" si="0"/>
        <v>0.44</v>
      </c>
      <c r="K12" s="11">
        <v>30</v>
      </c>
      <c r="L12" s="12">
        <v>28</v>
      </c>
      <c r="M12" s="13">
        <f t="shared" si="1"/>
        <v>0.93333333333333335</v>
      </c>
      <c r="N12" s="11">
        <f t="shared" si="2"/>
        <v>1.2727272727272727</v>
      </c>
      <c r="O12" s="14"/>
      <c r="P12" s="11">
        <v>9</v>
      </c>
      <c r="Q12" s="12">
        <v>9</v>
      </c>
      <c r="R12" s="13">
        <f t="shared" si="3"/>
        <v>1</v>
      </c>
      <c r="S12" s="11">
        <v>8</v>
      </c>
      <c r="T12" s="12">
        <v>8</v>
      </c>
      <c r="U12" s="13">
        <f t="shared" si="4"/>
        <v>1</v>
      </c>
      <c r="V12" s="11">
        <f t="shared" si="5"/>
        <v>0.88888888888888884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62</v>
      </c>
      <c r="G13" s="11"/>
      <c r="H13" s="71"/>
      <c r="I13" s="12">
        <v>0</v>
      </c>
      <c r="J13" s="13">
        <f t="shared" si="0"/>
        <v>0</v>
      </c>
      <c r="K13" s="11"/>
      <c r="L13" s="12">
        <v>0</v>
      </c>
      <c r="M13" s="13">
        <f t="shared" si="1"/>
        <v>0</v>
      </c>
      <c r="N13" s="11">
        <f t="shared" si="2"/>
        <v>0</v>
      </c>
      <c r="O13" s="14"/>
      <c r="P13" s="11">
        <v>3</v>
      </c>
      <c r="Q13" s="12">
        <v>3</v>
      </c>
      <c r="R13" s="13">
        <f t="shared" si="3"/>
        <v>1</v>
      </c>
      <c r="S13" s="11">
        <v>3</v>
      </c>
      <c r="T13" s="12">
        <v>3</v>
      </c>
      <c r="U13" s="13">
        <f t="shared" si="4"/>
        <v>1</v>
      </c>
      <c r="V13" s="11">
        <f t="shared" si="5"/>
        <v>1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73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410</v>
      </c>
      <c r="H20" s="41">
        <f>SUM(H4:H19)</f>
        <v>300</v>
      </c>
      <c r="I20" s="41">
        <f>SUM(I4:I19)</f>
        <v>65</v>
      </c>
      <c r="J20" s="42">
        <f t="shared" si="0"/>
        <v>0.15853658536585366</v>
      </c>
      <c r="K20" s="40">
        <f>SUM(K4:K12)</f>
        <v>295</v>
      </c>
      <c r="L20" s="40">
        <f>SUM(L4:L12)</f>
        <v>80.099999999999994</v>
      </c>
      <c r="M20" s="42">
        <f t="shared" si="1"/>
        <v>0.27152542372881355</v>
      </c>
      <c r="N20" s="40">
        <f t="shared" si="2"/>
        <v>1.2323076923076923</v>
      </c>
      <c r="O20" s="43">
        <f>AVERAGE(O4:O19)</f>
        <v>1</v>
      </c>
      <c r="P20" s="40">
        <f>SUM(P4:P19)</f>
        <v>62</v>
      </c>
      <c r="Q20" s="41">
        <f>SUM(Q4:Q19)</f>
        <v>56</v>
      </c>
      <c r="R20" s="42">
        <f t="shared" si="3"/>
        <v>0.90322580645161288</v>
      </c>
      <c r="S20" s="40">
        <f>SUM(S4:S19)</f>
        <v>104.32499999999999</v>
      </c>
      <c r="T20" s="41">
        <f>SUM(T4:T19)</f>
        <v>95.625</v>
      </c>
      <c r="U20" s="42">
        <f t="shared" si="4"/>
        <v>0.91660675772825317</v>
      </c>
      <c r="V20" s="40">
        <f t="shared" si="5"/>
        <v>1.7075892857142858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419</v>
      </c>
      <c r="H32" s="21">
        <f t="shared" ref="H32:I32" si="12">+H31+H26+H20</f>
        <v>300</v>
      </c>
      <c r="I32" s="21">
        <f t="shared" si="12"/>
        <v>65</v>
      </c>
      <c r="J32" s="22">
        <f t="shared" si="0"/>
        <v>0.15513126491646778</v>
      </c>
      <c r="K32" s="20">
        <v>1</v>
      </c>
      <c r="L32" s="21">
        <v>1</v>
      </c>
      <c r="M32" s="22">
        <f t="shared" si="1"/>
        <v>1</v>
      </c>
      <c r="N32" s="20">
        <f t="shared" si="2"/>
        <v>1.5384615384615385E-2</v>
      </c>
      <c r="O32" s="23">
        <f>AVERAGE(O31,O20,O26)</f>
        <v>1</v>
      </c>
      <c r="P32" s="20">
        <f>+P31+P26+P20</f>
        <v>71</v>
      </c>
      <c r="Q32" s="21">
        <f t="shared" ref="Q32" si="13">+Q31+Q26+Q20</f>
        <v>65</v>
      </c>
      <c r="R32" s="22">
        <f t="shared" si="3"/>
        <v>0.91549295774647887</v>
      </c>
      <c r="S32" s="20">
        <f>+S31+S26+S20</f>
        <v>113.32499999999999</v>
      </c>
      <c r="T32" s="21">
        <f t="shared" ref="T32" si="14">+T31+T26+T20</f>
        <v>104.625</v>
      </c>
      <c r="U32" s="22">
        <f t="shared" si="4"/>
        <v>0.92322964923891471</v>
      </c>
      <c r="V32" s="20">
        <f t="shared" si="5"/>
        <v>1.6096153846153847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3" workbookViewId="0">
      <selection activeCell="I14" sqref="I14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3</v>
      </c>
      <c r="C2" s="62">
        <f>+B2/A2</f>
        <v>0.1111111111111111</v>
      </c>
      <c r="D2" s="91">
        <f>+A2-B2</f>
        <v>24</v>
      </c>
      <c r="F2" s="89">
        <v>46298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66</v>
      </c>
      <c r="E4" s="47" t="s">
        <v>22</v>
      </c>
      <c r="F4" s="99" t="s">
        <v>23</v>
      </c>
      <c r="G4" s="30">
        <v>600</v>
      </c>
      <c r="H4" s="68"/>
      <c r="I4" s="31">
        <v>15</v>
      </c>
      <c r="J4" s="67">
        <f>IFERROR(I4/G4,0)</f>
        <v>2.5000000000000001E-2</v>
      </c>
      <c r="K4" s="7">
        <v>600</v>
      </c>
      <c r="L4" s="8">
        <v>11</v>
      </c>
      <c r="M4" s="82">
        <f>IFERROR(L4/K4,0)</f>
        <v>1.8333333333333333E-2</v>
      </c>
      <c r="N4" s="8">
        <f t="shared" ref="N4:N7" si="0">K4-L4</f>
        <v>589</v>
      </c>
      <c r="O4" s="10">
        <f t="shared" ref="O4:O7" si="1">N4/$D$2</f>
        <v>24.541666666666668</v>
      </c>
      <c r="P4" s="68">
        <f t="shared" ref="P4:P13" si="2">L4/I4</f>
        <v>0.73333333333333328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66</v>
      </c>
      <c r="E5" s="16" t="s">
        <v>22</v>
      </c>
      <c r="F5" s="17" t="s">
        <v>24</v>
      </c>
      <c r="G5" s="11">
        <v>600</v>
      </c>
      <c r="H5" s="71"/>
      <c r="I5" s="12">
        <v>6</v>
      </c>
      <c r="J5" s="69">
        <f t="shared" ref="J5:J29" si="3">IFERROR(I5/G5,0)</f>
        <v>0.01</v>
      </c>
      <c r="K5" s="11">
        <v>500</v>
      </c>
      <c r="L5" s="12">
        <v>3</v>
      </c>
      <c r="M5" s="70">
        <f t="shared" ref="M5:M29" si="4">IFERROR(L5/K5,0)</f>
        <v>6.0000000000000001E-3</v>
      </c>
      <c r="N5" s="12">
        <f t="shared" si="0"/>
        <v>497</v>
      </c>
      <c r="O5" s="14">
        <f t="shared" si="1"/>
        <v>20.708333333333332</v>
      </c>
      <c r="P5" s="71">
        <f t="shared" si="2"/>
        <v>0.5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66</v>
      </c>
      <c r="E6" s="16" t="s">
        <v>22</v>
      </c>
      <c r="F6" s="17" t="s">
        <v>58</v>
      </c>
      <c r="G6" s="11">
        <v>600</v>
      </c>
      <c r="H6" s="71"/>
      <c r="I6" s="12">
        <v>6</v>
      </c>
      <c r="J6" s="69">
        <f t="shared" si="3"/>
        <v>0.01</v>
      </c>
      <c r="K6" s="11">
        <v>500</v>
      </c>
      <c r="L6" s="12">
        <v>9.9250000000000007</v>
      </c>
      <c r="M6" s="70">
        <f t="shared" si="4"/>
        <v>1.9850000000000003E-2</v>
      </c>
      <c r="N6" s="12">
        <f t="shared" si="0"/>
        <v>490.07499999999999</v>
      </c>
      <c r="O6" s="14">
        <f t="shared" si="1"/>
        <v>20.419791666666665</v>
      </c>
      <c r="P6" s="71">
        <f t="shared" si="2"/>
        <v>1.6541666666666668</v>
      </c>
      <c r="Q6" s="14"/>
      <c r="R6" s="34"/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66</v>
      </c>
      <c r="E7" s="16" t="s">
        <v>22</v>
      </c>
      <c r="F7" s="17" t="s">
        <v>53</v>
      </c>
      <c r="G7" s="11">
        <v>600</v>
      </c>
      <c r="H7" s="71"/>
      <c r="I7" s="12">
        <v>2</v>
      </c>
      <c r="J7" s="69">
        <f t="shared" si="3"/>
        <v>3.3333333333333335E-3</v>
      </c>
      <c r="K7" s="11">
        <v>400</v>
      </c>
      <c r="L7" s="12">
        <v>1.4</v>
      </c>
      <c r="M7" s="70">
        <f t="shared" si="4"/>
        <v>3.4999999999999996E-3</v>
      </c>
      <c r="N7" s="12">
        <f t="shared" si="0"/>
        <v>398.6</v>
      </c>
      <c r="O7" s="14">
        <f t="shared" si="1"/>
        <v>16.608333333333334</v>
      </c>
      <c r="P7" s="71">
        <f t="shared" si="2"/>
        <v>0.7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66</v>
      </c>
      <c r="E8" s="16" t="s">
        <v>22</v>
      </c>
      <c r="F8" s="17" t="s">
        <v>59</v>
      </c>
      <c r="G8" s="11">
        <v>600</v>
      </c>
      <c r="H8" s="71"/>
      <c r="I8" s="12">
        <v>3</v>
      </c>
      <c r="J8" s="69">
        <f t="shared" si="3"/>
        <v>5.0000000000000001E-3</v>
      </c>
      <c r="K8" s="11">
        <v>400</v>
      </c>
      <c r="L8" s="12">
        <v>4.3</v>
      </c>
      <c r="M8" s="70">
        <f t="shared" si="4"/>
        <v>1.0749999999999999E-2</v>
      </c>
      <c r="N8" s="12">
        <f t="shared" ref="N8:N29" si="5">K8-L8</f>
        <v>395.7</v>
      </c>
      <c r="O8" s="14">
        <f t="shared" ref="O8:O29" si="6">N8/$D$2</f>
        <v>16.487500000000001</v>
      </c>
      <c r="P8" s="71">
        <f t="shared" si="2"/>
        <v>1.4333333333333333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66</v>
      </c>
      <c r="E9" s="16" t="s">
        <v>22</v>
      </c>
      <c r="F9" s="17" t="s">
        <v>70</v>
      </c>
      <c r="G9" s="11">
        <v>600</v>
      </c>
      <c r="H9" s="71"/>
      <c r="I9" s="12"/>
      <c r="J9" s="69">
        <f t="shared" si="3"/>
        <v>0</v>
      </c>
      <c r="K9" s="11"/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66</v>
      </c>
      <c r="E10" s="16" t="s">
        <v>22</v>
      </c>
      <c r="F10" s="17" t="s">
        <v>25</v>
      </c>
      <c r="G10" s="11">
        <v>200</v>
      </c>
      <c r="H10" s="71"/>
      <c r="I10" s="12">
        <v>3</v>
      </c>
      <c r="J10" s="69">
        <f t="shared" si="3"/>
        <v>1.4999999999999999E-2</v>
      </c>
      <c r="K10" s="11">
        <v>2500</v>
      </c>
      <c r="L10" s="12">
        <v>23.75</v>
      </c>
      <c r="M10" s="70">
        <f t="shared" si="4"/>
        <v>9.4999999999999998E-3</v>
      </c>
      <c r="N10" s="12">
        <f t="shared" si="5"/>
        <v>2476.25</v>
      </c>
      <c r="O10" s="14">
        <f t="shared" si="6"/>
        <v>103.17708333333333</v>
      </c>
      <c r="P10" s="71">
        <f t="shared" si="2"/>
        <v>7.916666666666667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66</v>
      </c>
      <c r="E11" s="16" t="s">
        <v>22</v>
      </c>
      <c r="F11" s="17" t="s">
        <v>60</v>
      </c>
      <c r="G11" s="11">
        <v>600</v>
      </c>
      <c r="H11" s="71"/>
      <c r="I11" s="12">
        <v>9</v>
      </c>
      <c r="J11" s="69">
        <f t="shared" si="3"/>
        <v>1.4999999999999999E-2</v>
      </c>
      <c r="K11" s="11">
        <v>500</v>
      </c>
      <c r="L11" s="12">
        <v>10</v>
      </c>
      <c r="M11" s="70">
        <f t="shared" si="4"/>
        <v>0.02</v>
      </c>
      <c r="N11" s="12">
        <f t="shared" si="5"/>
        <v>490</v>
      </c>
      <c r="O11" s="14">
        <f t="shared" si="6"/>
        <v>20.416666666666668</v>
      </c>
      <c r="P11" s="71">
        <f t="shared" si="2"/>
        <v>1.1111111111111112</v>
      </c>
      <c r="Q11" s="14"/>
      <c r="R11" s="3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66</v>
      </c>
      <c r="E12" s="16" t="s">
        <v>22</v>
      </c>
      <c r="F12" s="17" t="s">
        <v>61</v>
      </c>
      <c r="G12" s="11">
        <v>600</v>
      </c>
      <c r="H12" s="71"/>
      <c r="I12" s="12">
        <v>9</v>
      </c>
      <c r="J12" s="69">
        <f t="shared" si="3"/>
        <v>1.4999999999999999E-2</v>
      </c>
      <c r="K12" s="11">
        <v>500</v>
      </c>
      <c r="L12" s="12">
        <v>8</v>
      </c>
      <c r="M12" s="70">
        <f t="shared" si="4"/>
        <v>1.6E-2</v>
      </c>
      <c r="N12" s="12">
        <f t="shared" si="5"/>
        <v>492</v>
      </c>
      <c r="O12" s="14">
        <f t="shared" si="6"/>
        <v>20.5</v>
      </c>
      <c r="P12" s="71">
        <f t="shared" si="2"/>
        <v>0.88888888888888884</v>
      </c>
      <c r="Q12" s="14"/>
      <c r="R12" s="3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66</v>
      </c>
      <c r="E13" s="16" t="s">
        <v>22</v>
      </c>
      <c r="F13" s="17" t="s">
        <v>62</v>
      </c>
      <c r="G13" s="11">
        <v>600</v>
      </c>
      <c r="H13" s="71"/>
      <c r="I13" s="12">
        <v>0</v>
      </c>
      <c r="J13" s="69">
        <f t="shared" si="3"/>
        <v>0</v>
      </c>
      <c r="K13" s="11">
        <v>400</v>
      </c>
      <c r="L13" s="12">
        <v>0</v>
      </c>
      <c r="M13" s="70">
        <f t="shared" si="4"/>
        <v>0</v>
      </c>
      <c r="N13" s="12">
        <f t="shared" si="5"/>
        <v>400</v>
      </c>
      <c r="O13" s="14">
        <f t="shared" si="6"/>
        <v>16.666666666666668</v>
      </c>
      <c r="P13" s="71" t="e">
        <f t="shared" si="2"/>
        <v>#DIV/0!</v>
      </c>
      <c r="Q13" s="14"/>
      <c r="R13" s="14" t="s">
        <v>74</v>
      </c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66</v>
      </c>
      <c r="E14" s="16" t="s">
        <v>22</v>
      </c>
      <c r="F14" s="100" t="s">
        <v>63</v>
      </c>
      <c r="G14" s="11">
        <v>0</v>
      </c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66</v>
      </c>
      <c r="E15" s="16" t="s">
        <v>22</v>
      </c>
      <c r="F15" s="100" t="s">
        <v>64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66</v>
      </c>
      <c r="E16" s="16" t="s">
        <v>22</v>
      </c>
      <c r="F16" s="101" t="s">
        <v>65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/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5" t="s">
        <v>18</v>
      </c>
      <c r="E17" s="106"/>
      <c r="F17" s="107"/>
      <c r="G17" s="40">
        <f>SUM(G4:G14)</f>
        <v>5600</v>
      </c>
      <c r="H17" s="41">
        <f>SUM(H4:H13)</f>
        <v>0</v>
      </c>
      <c r="I17" s="41">
        <f>SUM(I4:I13)</f>
        <v>53</v>
      </c>
      <c r="J17" s="75">
        <f t="shared" si="3"/>
        <v>9.464285714285715E-3</v>
      </c>
      <c r="K17" s="76">
        <f>SUM(K4:K16)</f>
        <v>6300</v>
      </c>
      <c r="L17" s="77">
        <f>SUM(L4:L16)</f>
        <v>71.375</v>
      </c>
      <c r="M17" s="78">
        <f t="shared" si="4"/>
        <v>1.132936507936508E-2</v>
      </c>
      <c r="N17" s="77">
        <f t="shared" si="5"/>
        <v>6228.625</v>
      </c>
      <c r="O17" s="79">
        <f t="shared" si="6"/>
        <v>259.52604166666669</v>
      </c>
      <c r="P17" s="80">
        <f>L17/I17</f>
        <v>1.3466981132075471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17.737500000000001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17.737500000000001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17.737500000000001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17.737500000000001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17.737500000000001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5" t="s">
        <v>18</v>
      </c>
      <c r="E23" s="106"/>
      <c r="F23" s="107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17.737500000000001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17.737500000000001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17.737500000000001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17.737500000000001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17.737500000000001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5" t="s">
        <v>18</v>
      </c>
      <c r="E28" s="106"/>
      <c r="F28" s="107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17.737500000000001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5609</v>
      </c>
      <c r="H29" s="21">
        <f t="shared" ref="H29:I29" si="11">+H28+H23+H17</f>
        <v>0</v>
      </c>
      <c r="I29" s="21">
        <f t="shared" si="11"/>
        <v>62</v>
      </c>
      <c r="J29" s="83">
        <f t="shared" si="3"/>
        <v>1.1053663754679978E-2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17.737500000000001</v>
      </c>
      <c r="P29" s="88">
        <f>L29/I29</f>
        <v>2.8112903225806454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2026-10-05T05:00:11Z</dcterms:modified>
</cp:coreProperties>
</file>