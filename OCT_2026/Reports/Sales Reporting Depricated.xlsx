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074496B6-BF39-40F7-9C62-E005F59D196F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I13" i="2"/>
  <c r="L12" i="2"/>
  <c r="I12" i="2"/>
  <c r="I11" i="2"/>
  <c r="L11" i="2"/>
  <c r="I10" i="2"/>
  <c r="I7" i="2"/>
  <c r="I5" i="2"/>
  <c r="I4" i="2"/>
  <c r="I8" i="2"/>
  <c r="L20" i="1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<sst xmlns="http://schemas.openxmlformats.org/spreadsheetml/2006/main" count="363" uniqueCount="77">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</sst>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E1" zoomScale="85" zoomScaleNormal="85" workbookViewId="0">
      <selection activeCell="L12" sqref="L12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46312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10</v>
      </c>
      <c r="J4" s="32">
        <f>IFERROR(I4/G4,0)</f>
        <v>0.2</v>
      </c>
      <c r="K4" s="30">
        <v>40</v>
      </c>
      <c r="L4" s="12">
        <v>11.5</v>
      </c>
      <c r="M4" s="32">
        <f>IFERROR(L4/K4,0)</f>
        <v>0.28749999999999998</v>
      </c>
      <c r="N4" s="90">
        <f>IFERROR(L4/I4,0)</f>
        <v>1.1499999999999999</v>
      </c>
      <c r="O4" s="33"/>
      <c r="P4" s="30">
        <v>14</v>
      </c>
      <c r="Q4" s="31">
        <v>14</v>
      </c>
      <c r="R4" s="32">
        <f>IFERROR(Q4/P4,0)</f>
        <v>1</v>
      </c>
      <c r="S4" s="30">
        <v>14</v>
      </c>
      <c r="T4" s="31">
        <v>14</v>
      </c>
      <c r="U4" s="32">
        <f>IFERROR(T4/S4,0)</f>
        <v>1</v>
      </c>
      <c r="V4" s="90">
        <f>IFERROR(T4/Q4,0)</f>
        <v>1</v>
      </c>
      <c r="W4" s="33"/>
      <c r="X4" s="103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12.025</v>
      </c>
      <c r="M5" s="70">
        <f t="shared" ref="M5:M32" si="1">IFERROR(L5/K5,0)</f>
        <v>0.40083333333333332</v>
      </c>
      <c r="N5" s="71">
        <f t="shared" ref="N5:N32" si="2">IFERROR(L5/I5,0)</f>
        <v>0.60125000000000006</v>
      </c>
      <c r="O5" s="14"/>
      <c r="P5" s="11">
        <v>20</v>
      </c>
      <c r="Q5" s="12">
        <v>19</v>
      </c>
      <c r="R5" s="13">
        <f t="shared" ref="R5:R32" si="3">IFERROR(Q5/P5,0)</f>
        <v>0.95</v>
      </c>
      <c r="S5" s="11">
        <v>10</v>
      </c>
      <c r="T5" s="12">
        <v>9</v>
      </c>
      <c r="U5" s="13">
        <f t="shared" ref="U5:U32" si="4">IFERROR(T5/S5,0)</f>
        <v>0.9</v>
      </c>
      <c r="V5" s="11">
        <f t="shared" ref="V5:V32" si="5">IFERROR(T5/Q5,0)</f>
        <v>0.47368421052631576</v>
      </c>
      <c r="W5" s="14"/>
      <c r="X5" s="103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03" t="s">
        <v>76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8.6750000000000007</v>
      </c>
      <c r="M7" s="70">
        <f t="shared" si="1"/>
        <v>0.28916666666666668</v>
      </c>
      <c r="N7" s="71">
        <f t="shared" si="2"/>
        <v>1.2392857142857143</v>
      </c>
      <c r="O7" s="14"/>
      <c r="P7" s="11">
        <v>10</v>
      </c>
      <c r="Q7" s="12">
        <v>1</v>
      </c>
      <c r="R7" s="13">
        <f t="shared" si="3"/>
        <v>0.1</v>
      </c>
      <c r="S7" s="11">
        <v>9</v>
      </c>
      <c r="T7" s="12">
        <v>1</v>
      </c>
      <c r="U7" s="13">
        <f t="shared" si="4"/>
        <v>0.1111111111111111</v>
      </c>
      <c r="V7" s="11">
        <f t="shared" si="5"/>
        <v>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22.45</v>
      </c>
      <c r="M8" s="70">
        <f t="shared" si="1"/>
        <v>1.1225000000000001</v>
      </c>
      <c r="N8" s="71">
        <f t="shared" si="2"/>
        <v>3.7416666666666667</v>
      </c>
      <c r="O8" s="14"/>
      <c r="P8" s="11">
        <v>8</v>
      </c>
      <c r="Q8" s="12">
        <v>7</v>
      </c>
      <c r="R8" s="13">
        <f t="shared" si="3"/>
        <v>0.875</v>
      </c>
      <c r="S8" s="11">
        <v>8</v>
      </c>
      <c r="T8" s="12">
        <v>6</v>
      </c>
      <c r="U8" s="13">
        <f t="shared" si="4"/>
        <v>0.75</v>
      </c>
      <c r="V8" s="11">
        <f t="shared" si="5"/>
        <v>0.8571428571428571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7</v>
      </c>
      <c r="J10" s="13">
        <f t="shared" si="0"/>
        <v>0.7</v>
      </c>
      <c r="K10" s="11">
        <v>20</v>
      </c>
      <c r="L10" s="12">
        <v>110</v>
      </c>
      <c r="M10" s="70">
        <f t="shared" si="1"/>
        <v>5.5</v>
      </c>
      <c r="N10" s="71">
        <f t="shared" si="2"/>
        <v>15.714285714285714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250</v>
      </c>
      <c r="T10" s="12">
        <v>215</v>
      </c>
      <c r="U10" s="13">
        <f t="shared" si="4"/>
        <v>0.86</v>
      </c>
      <c r="V10" s="11">
        <f t="shared" si="5"/>
        <v>30.714285714285715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0.83333333333333337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>
        <v>1</v>
      </c>
      <c r="Q19" s="37">
        <v>1</v>
      </c>
      <c r="R19" s="38">
        <f t="shared" si="3"/>
        <v>1</v>
      </c>
      <c r="S19" s="36">
        <v>196</v>
      </c>
      <c r="T19" s="37">
        <v>196</v>
      </c>
      <c r="U19" s="38">
        <f t="shared" si="4"/>
        <v>1</v>
      </c>
      <c r="V19" s="36">
        <f t="shared" si="5"/>
        <v>196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86</v>
      </c>
      <c r="J20" s="42">
        <f t="shared" si="0"/>
        <v>0.18655097613882862</v>
      </c>
      <c r="K20" s="40">
        <f t="shared" ref="K20" si="6">SUM(K4:K19)</f>
        <v>329</v>
      </c>
      <c r="L20" s="40">
        <f>SUM(L4:L19)</f>
        <v>199.65</v>
      </c>
      <c r="M20" s="42">
        <f t="shared" si="1"/>
        <v>0.60683890577507604</v>
      </c>
      <c r="N20" s="40">
        <f t="shared" si="2"/>
        <v>2.3215116279069767</v>
      </c>
      <c r="O20" s="43" t="e">
        <f>AVERAGE(O4:O19)</f>
        <v>#DIV/0!</v>
      </c>
      <c r="P20" s="40">
        <f t="shared" ref="P20" si="7">SUM(P4:P19)</f>
        <v>91</v>
      </c>
      <c r="Q20" s="41">
        <f t="shared" ref="Q20" si="8">SUM(Q4:Q19)</f>
        <v>76</v>
      </c>
      <c r="R20" s="42">
        <f t="shared" si="3"/>
        <v>0.8351648351648352</v>
      </c>
      <c r="S20" s="40">
        <f t="shared" ref="S20" si="9">SUM(S4:S19)</f>
        <v>514</v>
      </c>
      <c r="T20" s="41">
        <f t="shared" ref="T20" si="10">SUM(T4:T19)</f>
        <v>468</v>
      </c>
      <c r="U20" s="42">
        <f t="shared" si="4"/>
        <v>0.91050583657587547</v>
      </c>
      <c r="V20" s="40">
        <f t="shared" si="5"/>
        <v>6.1578947368421053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86</v>
      </c>
      <c r="J32" s="22">
        <f t="shared" si="0"/>
        <v>0.18297872340425531</v>
      </c>
      <c r="K32" s="20">
        <v>1</v>
      </c>
      <c r="L32" s="21">
        <v>1</v>
      </c>
      <c r="M32" s="22">
        <f t="shared" si="1"/>
        <v>1</v>
      </c>
      <c r="N32" s="20">
        <f t="shared" si="2"/>
        <v>1.1627906976744186E-2</v>
      </c>
      <c r="O32" s="23" t="e">
        <f>AVERAGE(O31,O20,O26)</f>
        <v>#DIV/0!</v>
      </c>
      <c r="P32" s="20">
        <f>+P31+P26+P20</f>
        <v>100</v>
      </c>
      <c r="Q32" s="21">
        <f t="shared" ref="Q32" si="18">+Q31+Q26+Q20</f>
        <v>85</v>
      </c>
      <c r="R32" s="22">
        <f t="shared" si="3"/>
        <v>0.85</v>
      </c>
      <c r="S32" s="20">
        <f>+S31+S26+S20</f>
        <v>523</v>
      </c>
      <c r="T32" s="21">
        <f t="shared" ref="T32" si="19">+T31+T26+T20</f>
        <v>477</v>
      </c>
      <c r="U32" s="22">
        <f t="shared" si="4"/>
        <v>0.91204588910133844</v>
      </c>
      <c r="V32" s="20">
        <f t="shared" si="5"/>
        <v>5.6117647058823525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E13" workbookViewId="0">
      <selection activeCell="T21" sqref="T21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17</v>
      </c>
      <c r="C2" s="62">
        <f>+B2/A2</f>
        <v>0.62962962962962965</v>
      </c>
      <c r="D2" s="91">
        <f>+A2-B2</f>
        <v>10</v>
      </c>
      <c r="F2" s="89">
        <v>46315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15+13+9+11+10+11+8+12+12+8+10+12</f>
        <v>131</v>
      </c>
      <c r="J4" s="67">
        <f>IFERROR(I4/G4,0)</f>
        <v>0.40307692307692305</v>
      </c>
      <c r="K4" s="7">
        <v>450</v>
      </c>
      <c r="L4" s="8">
        <v>173.7</v>
      </c>
      <c r="M4" s="82">
        <f>IFERROR(L4/K4,0)</f>
        <v>0.38599999999999995</v>
      </c>
      <c r="N4" s="8">
        <f t="shared" ref="N4:N7" si="0">K4-L4</f>
        <v>276.3</v>
      </c>
      <c r="O4" s="10">
        <f t="shared" ref="O4:O7" si="1">N4/$D$2</f>
        <v>27.630000000000003</v>
      </c>
      <c r="P4" s="68">
        <f t="shared" ref="P4:P16" si="2">L4/I4</f>
        <v>1.3259541984732823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6+5+5+3+3+4+3+5+10+19+20+23+20</f>
        <v>126</v>
      </c>
      <c r="J5" s="69">
        <f t="shared" ref="J5:J29" si="3">IFERROR(I5/G5,0)</f>
        <v>0.53164556962025311</v>
      </c>
      <c r="K5" s="11">
        <v>350</v>
      </c>
      <c r="L5" s="12">
        <v>118.3</v>
      </c>
      <c r="M5" s="70">
        <f t="shared" ref="M5:M29" si="4">IFERROR(L5/K5,0)</f>
        <v>0.33799999999999997</v>
      </c>
      <c r="N5" s="12">
        <f t="shared" si="0"/>
        <v>231.7</v>
      </c>
      <c r="O5" s="14">
        <f t="shared" si="1"/>
        <v>23.169999999999998</v>
      </c>
      <c r="P5" s="71">
        <f t="shared" si="2"/>
        <v>0.93888888888888888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v>19</v>
      </c>
      <c r="J6" s="69">
        <f t="shared" si="3"/>
        <v>7.5999999999999998E-2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32.067500000000003</v>
      </c>
      <c r="P6" s="71">
        <f t="shared" si="2"/>
        <v>1.5434210526315788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2+2+6+4+9+7+8+1+6+6+8</f>
        <v>59</v>
      </c>
      <c r="J7" s="69">
        <f t="shared" si="3"/>
        <v>0.2048611111111111</v>
      </c>
      <c r="K7" s="11">
        <v>250</v>
      </c>
      <c r="L7" s="12">
        <v>83.525000000000006</v>
      </c>
      <c r="M7" s="70">
        <f t="shared" si="4"/>
        <v>0.33410000000000001</v>
      </c>
      <c r="N7" s="12">
        <f t="shared" si="0"/>
        <v>166.47499999999999</v>
      </c>
      <c r="O7" s="14">
        <f t="shared" si="1"/>
        <v>16.647500000000001</v>
      </c>
      <c r="P7" s="71">
        <f t="shared" si="2"/>
        <v>1.4156779661016949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3+6+7+6+6+3+5+8+6+4+6</f>
        <v>60</v>
      </c>
      <c r="J8" s="69">
        <f t="shared" si="3"/>
        <v>0.16806722689075632</v>
      </c>
      <c r="K8" s="11">
        <v>250</v>
      </c>
      <c r="L8" s="12">
        <v>88.85</v>
      </c>
      <c r="M8" s="70">
        <f t="shared" si="4"/>
        <v>0.35539999999999999</v>
      </c>
      <c r="N8" s="12">
        <f t="shared" ref="N8:N29" si="5">K8-L8</f>
        <v>161.15</v>
      </c>
      <c r="O8" s="14">
        <f t="shared" ref="O8:O29" si="6">N8/$D$2</f>
        <v>16.115000000000002</v>
      </c>
      <c r="P8" s="71">
        <f t="shared" si="2"/>
        <v>1.4808333333333332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28+9+9+5</f>
        <v>51</v>
      </c>
      <c r="J10" s="69">
        <f t="shared" si="3"/>
        <v>0.45945945945945948</v>
      </c>
      <c r="K10" s="11">
        <v>2300</v>
      </c>
      <c r="L10" s="12">
        <v>1150</v>
      </c>
      <c r="M10" s="70">
        <f t="shared" si="4"/>
        <v>0.5</v>
      </c>
      <c r="N10" s="12">
        <f t="shared" si="5"/>
        <v>1150</v>
      </c>
      <c r="O10" s="14">
        <f t="shared" si="6"/>
        <v>115</v>
      </c>
      <c r="P10" s="71">
        <f t="shared" si="2"/>
        <v>22.549019607843139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f>82+12</f>
        <v>94</v>
      </c>
      <c r="J11" s="69">
        <f t="shared" si="3"/>
        <v>0.29192546583850931</v>
      </c>
      <c r="K11" s="11">
        <v>450</v>
      </c>
      <c r="L11" s="12">
        <f>106+16+15+38+16+18+9+16</f>
        <v>234</v>
      </c>
      <c r="M11" s="70">
        <f t="shared" si="4"/>
        <v>0.52</v>
      </c>
      <c r="N11" s="12">
        <f t="shared" si="5"/>
        <v>216</v>
      </c>
      <c r="O11" s="14">
        <f t="shared" si="6"/>
        <v>21.6</v>
      </c>
      <c r="P11" s="71">
        <f t="shared" si="2"/>
        <v>2.4893617021276597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f>80+8</f>
        <v>88</v>
      </c>
      <c r="J12" s="69">
        <f t="shared" si="3"/>
        <v>0.28295819935691319</v>
      </c>
      <c r="K12" s="11">
        <v>300</v>
      </c>
      <c r="L12" s="12">
        <f>100+8+8+6+8+8+6+8</f>
        <v>152</v>
      </c>
      <c r="M12" s="70">
        <f t="shared" si="4"/>
        <v>0.50666666666666671</v>
      </c>
      <c r="N12" s="12">
        <f t="shared" si="5"/>
        <v>148</v>
      </c>
      <c r="O12" s="14">
        <f t="shared" si="6"/>
        <v>14.8</v>
      </c>
      <c r="P12" s="71">
        <f t="shared" si="2"/>
        <v>1.7272727272727273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f>68+10</f>
        <v>78</v>
      </c>
      <c r="J13" s="69">
        <f t="shared" si="3"/>
        <v>0.55714285714285716</v>
      </c>
      <c r="K13" s="11">
        <v>250</v>
      </c>
      <c r="L13" s="12">
        <f>50+10+10+4+5+5+3.5+8</f>
        <v>95.5</v>
      </c>
      <c r="M13" s="70">
        <f t="shared" si="4"/>
        <v>0.38200000000000001</v>
      </c>
      <c r="N13" s="12">
        <f t="shared" si="5"/>
        <v>154.5</v>
      </c>
      <c r="O13" s="14">
        <f t="shared" si="6"/>
        <v>15.45</v>
      </c>
      <c r="P13" s="71">
        <f t="shared" si="2"/>
        <v>1.2243589743589745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>
        <v>100</v>
      </c>
      <c r="L14" s="12">
        <v>90</v>
      </c>
      <c r="M14" s="70">
        <f t="shared" si="4"/>
        <v>0.9</v>
      </c>
      <c r="N14" s="12">
        <f t="shared" si="5"/>
        <v>10</v>
      </c>
      <c r="O14" s="14">
        <f t="shared" si="6"/>
        <v>1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>
        <v>100</v>
      </c>
      <c r="L15" s="12">
        <v>75</v>
      </c>
      <c r="M15" s="70">
        <f t="shared" si="4"/>
        <v>0.75</v>
      </c>
      <c r="N15" s="12">
        <f t="shared" si="5"/>
        <v>25</v>
      </c>
      <c r="O15" s="14">
        <f t="shared" si="6"/>
        <v>2.5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 t="e">
        <f t="shared" si="2"/>
        <v>#DIV/0!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708</v>
      </c>
      <c r="J17" s="75">
        <f t="shared" si="3"/>
        <v>0.28399518652226236</v>
      </c>
      <c r="K17" s="76">
        <f>SUM(K4:K16)</f>
        <v>5300</v>
      </c>
      <c r="L17" s="77">
        <f>SUM(L4:L16)</f>
        <v>2290.1999999999998</v>
      </c>
      <c r="M17" s="78">
        <f t="shared" si="4"/>
        <v>0.43211320754716975</v>
      </c>
      <c r="N17" s="77">
        <f t="shared" si="5"/>
        <v>3009.8</v>
      </c>
      <c r="O17" s="79">
        <f t="shared" si="6"/>
        <v>300.98</v>
      </c>
      <c r="P17" s="80">
        <f>L17/I17</f>
        <v>3.2347457627118641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42.57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42.57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42.57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42.57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42.57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42.57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42.57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42.57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42.57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42.57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42.57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717</v>
      </c>
      <c r="J29" s="83">
        <f t="shared" si="3"/>
        <v>0.28657074340527577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42.57</v>
      </c>
      <c r="P29" s="88">
        <f>L29/I29</f>
        <v>0.24309623430962346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2026-10-21T05:50:00Z</dcterms:modified>
</cp:coreProperties>
</file>