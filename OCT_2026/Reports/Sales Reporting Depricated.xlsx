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8A9AD18-A77D-4CA2-A011-5D3465B0366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2" l="1"/>
  <c r="I7" i="2"/>
  <c r="I6" i="2"/>
  <c r="I5" i="2"/>
  <c r="I4" i="2"/>
  <c r="R4" i="1" l="1"/>
  <c r="U4" i="1"/>
  <c r="V4" i="1"/>
  <c r="L13" i="2"/>
  <c r="L12" i="2"/>
  <c r="P16" i="2"/>
  <c r="I17" i="2"/>
  <c r="T20" i="1" l="1"/>
  <c r="S20" i="1"/>
  <c r="Q20" i="1"/>
  <c r="P20" i="1"/>
  <c r="L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<sst xmlns="http://schemas.openxmlformats.org/spreadsheetml/2006/main" count="363" uniqueCount="77">
  <si>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</si>
  <si>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</si>
  <si>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</si>
  <si>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</si>
  <si>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</si>
  <si>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</si>
  <si>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</si>
  <si>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</si>
  <si>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</si>
  <si>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</si>
  <si>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</si>
  <si>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</si>
  <si>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</si>
  <si>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</si>
  <si>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</si>
  <si>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</si>
  <si>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</si>
  <si>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</si>
  <si>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</si>
  <si>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</si>
  <si>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</si>
  <si>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</si>
  <si>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</si>
  <si>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</si>
  <si>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</si>
  <si>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</si>
  <si>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</si>
  <si>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</si>
  <si>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</si>
  <si>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</si>
  <si>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</si>
  <si>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</si>
  <si>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</si>
  <si>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</si>
  <si>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</si>
  <si>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</si>
  <si>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</si>
  <si>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</si>
  <si>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</si>
  <si>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</si>
  <si>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</si>
  <si>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</si>
  <si>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</si>
  <si>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</si>
  <si>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</si>
  <si>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</si>
  <si>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</si>
  <si>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</si>
  <si>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</si>
  <si>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</si>
  <si>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</si>
  <si>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</si>
  <si>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</si>
  <si>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</si>
  <si>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</si>
  <si>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</si>
  <si>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</si>
  <si>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</si>
  <si>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</si>
  <si>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</si>
  <si>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</si>
  <si>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</si>
  <si>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</si>
  <si>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</si>
  <si>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</si>
  <si>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</si>
  <si>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</si>
  <si>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</si>
  <si>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</si>
  <si>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</si>
  <si>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</si>
  <si>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</si>
  <si>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</si>
  <si>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</si>
  <si>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Abdullah Traders SD</t>
  </si>
  <si>
    <t>Kasur SD</t>
  </si>
  <si>
    <t>Nabeel Traders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</si>
</sst>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F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2" t="s">
        <v>0</v>
      </c>
      <c r="H1" s="113"/>
      <c r="I1" s="113"/>
      <c r="J1" s="113"/>
      <c r="K1" s="113"/>
      <c r="L1" s="113"/>
      <c r="M1" s="113"/>
      <c r="N1" s="113"/>
      <c r="O1" s="114"/>
      <c r="P1" s="115" t="s">
        <v>1</v>
      </c>
      <c r="Q1" s="116"/>
      <c r="R1" s="116"/>
      <c r="S1" s="116"/>
      <c r="T1" s="116"/>
      <c r="U1" s="116"/>
      <c r="V1" s="116"/>
      <c r="W1" s="117"/>
    </row>
    <row r="2" spans="1:24" ht="15" thickBot="1" x14ac:dyDescent="0.4">
      <c r="F2" s="89">
        <v>46307</v>
      </c>
      <c r="G2" s="118" t="s">
        <v>2</v>
      </c>
      <c r="H2" s="119"/>
      <c r="I2" s="119"/>
      <c r="J2" s="120"/>
      <c r="K2" s="119" t="s">
        <v>3</v>
      </c>
      <c r="L2" s="119"/>
      <c r="M2" s="120"/>
      <c r="N2" s="1"/>
      <c r="O2" s="2"/>
      <c r="P2" s="118" t="s">
        <v>2</v>
      </c>
      <c r="Q2" s="119"/>
      <c r="R2" s="120"/>
      <c r="S2" s="119" t="s">
        <v>3</v>
      </c>
      <c r="T2" s="119"/>
      <c r="U2" s="120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12</v>
      </c>
      <c r="M4" s="32">
        <f>IFERROR(L4/K4,0)</f>
        <v>0.3</v>
      </c>
      <c r="N4" s="90">
        <f>IFERROR(L4/I4,0)</f>
        <v>1.3333333333333333</v>
      </c>
      <c r="O4" s="33"/>
      <c r="P4" s="30">
        <v>8</v>
      </c>
      <c r="Q4" s="31">
        <v>8</v>
      </c>
      <c r="R4" s="32">
        <f>IFERROR(Q4/P4,0)</f>
        <v>1</v>
      </c>
      <c r="S4" s="30">
        <v>9</v>
      </c>
      <c r="T4" s="31">
        <v>9</v>
      </c>
      <c r="U4" s="32">
        <f>IFERROR(T4/S4,0)</f>
        <v>1</v>
      </c>
      <c r="V4" s="90">
        <f>IFERROR(T4/Q4,0)</f>
        <v>1.125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9</v>
      </c>
      <c r="J5" s="13">
        <f t="shared" ref="J5:J32" si="0">IFERROR(I5/G5,0)</f>
        <v>0.18</v>
      </c>
      <c r="K5" s="11">
        <v>30</v>
      </c>
      <c r="L5" s="12">
        <v>21.9</v>
      </c>
      <c r="M5" s="70">
        <f t="shared" ref="M5:M32" si="1">IFERROR(L5/K5,0)</f>
        <v>0.73</v>
      </c>
      <c r="N5" s="71">
        <f t="shared" ref="N5:N32" si="2">IFERROR(L5/I5,0)</f>
        <v>2.4333333333333331</v>
      </c>
      <c r="O5" s="14"/>
      <c r="P5" s="11">
        <v>5</v>
      </c>
      <c r="Q5" s="12">
        <v>3</v>
      </c>
      <c r="R5" s="13">
        <f t="shared" ref="R5:R32" si="3">IFERROR(Q5/P5,0)</f>
        <v>0.6</v>
      </c>
      <c r="S5" s="11">
        <v>6</v>
      </c>
      <c r="T5" s="12">
        <v>4</v>
      </c>
      <c r="U5" s="13">
        <f t="shared" ref="U5:U32" si="4">IFERROR(T5/S5,0)</f>
        <v>0.66666666666666663</v>
      </c>
      <c r="V5" s="11">
        <f t="shared" ref="V5:V32" si="5">IFERROR(T5/Q5,0)</f>
        <v>1.3333333333333333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5.75</v>
      </c>
      <c r="M7" s="70">
        <f t="shared" si="1"/>
        <v>0.19166666666666668</v>
      </c>
      <c r="N7" s="71">
        <f t="shared" si="2"/>
        <v>0.63888888888888884</v>
      </c>
      <c r="O7" s="14"/>
      <c r="P7" s="11">
        <v>9</v>
      </c>
      <c r="Q7" s="12">
        <v>7</v>
      </c>
      <c r="R7" s="13">
        <f t="shared" si="3"/>
        <v>0.77777777777777779</v>
      </c>
      <c r="S7" s="11">
        <v>8.1</v>
      </c>
      <c r="T7" s="12">
        <v>5.8</v>
      </c>
      <c r="U7" s="13">
        <f t="shared" si="4"/>
        <v>0.71604938271604934</v>
      </c>
      <c r="V7" s="11">
        <f t="shared" si="5"/>
        <v>0.82857142857142851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11</v>
      </c>
      <c r="J8" s="13">
        <f t="shared" si="0"/>
        <v>0.22</v>
      </c>
      <c r="K8" s="11">
        <v>20</v>
      </c>
      <c r="L8" s="12">
        <v>16.7</v>
      </c>
      <c r="M8" s="70">
        <f t="shared" si="1"/>
        <v>0.83499999999999996</v>
      </c>
      <c r="N8" s="71">
        <f t="shared" si="2"/>
        <v>1.5181818181818181</v>
      </c>
      <c r="O8" s="14"/>
      <c r="P8" s="11">
        <v>6</v>
      </c>
      <c r="Q8" s="12">
        <v>5</v>
      </c>
      <c r="R8" s="13">
        <f t="shared" si="3"/>
        <v>0.83333333333333337</v>
      </c>
      <c r="S8" s="11">
        <v>5.7</v>
      </c>
      <c r="T8" s="12">
        <v>4.7</v>
      </c>
      <c r="U8" s="13">
        <f t="shared" si="4"/>
        <v>0.82456140350877194</v>
      </c>
      <c r="V8" s="11">
        <f t="shared" si="5"/>
        <v>0.94000000000000006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2</v>
      </c>
      <c r="J10" s="13">
        <f t="shared" si="0"/>
        <v>0.2</v>
      </c>
      <c r="K10" s="11">
        <v>20</v>
      </c>
      <c r="L10" s="12">
        <v>60</v>
      </c>
      <c r="M10" s="70">
        <f t="shared" si="1"/>
        <v>3</v>
      </c>
      <c r="N10" s="71">
        <f t="shared" si="2"/>
        <v>30</v>
      </c>
      <c r="O10" s="14"/>
      <c r="P10" s="11">
        <v>3</v>
      </c>
      <c r="Q10" s="12">
        <v>3</v>
      </c>
      <c r="R10" s="13">
        <f t="shared" si="3"/>
        <v>1</v>
      </c>
      <c r="S10" s="11">
        <v>66</v>
      </c>
      <c r="T10" s="12">
        <v>65.95</v>
      </c>
      <c r="U10" s="13">
        <f t="shared" si="4"/>
        <v>0.99924242424242427</v>
      </c>
      <c r="V10" s="11">
        <f t="shared" si="5"/>
        <v>21.983333333333334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10</v>
      </c>
      <c r="J11" s="13">
        <f t="shared" si="0"/>
        <v>0.2</v>
      </c>
      <c r="K11" s="11">
        <v>20</v>
      </c>
      <c r="L11" s="12">
        <v>12</v>
      </c>
      <c r="M11" s="70">
        <f t="shared" si="1"/>
        <v>0.6</v>
      </c>
      <c r="N11" s="71">
        <f t="shared" si="2"/>
        <v>1.2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34</v>
      </c>
      <c r="J12" s="13">
        <f t="shared" si="0"/>
        <v>0.68</v>
      </c>
      <c r="K12" s="11">
        <v>30</v>
      </c>
      <c r="L12" s="12">
        <v>48</v>
      </c>
      <c r="M12" s="13">
        <f t="shared" si="1"/>
        <v>1.6</v>
      </c>
      <c r="N12" s="11">
        <f t="shared" si="2"/>
        <v>1.411764705882353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9</v>
      </c>
      <c r="J13" s="13">
        <f t="shared" si="0"/>
        <v>0.18</v>
      </c>
      <c r="K13" s="11">
        <v>30</v>
      </c>
      <c r="L13" s="12">
        <v>8</v>
      </c>
      <c r="M13" s="13">
        <f t="shared" si="1"/>
        <v>0.26666666666666666</v>
      </c>
      <c r="N13" s="11">
        <f t="shared" si="2"/>
        <v>0.88888888888888884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76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>
        <v>0</v>
      </c>
      <c r="M19" s="38">
        <f t="shared" si="1"/>
        <v>0</v>
      </c>
      <c r="N19" s="36">
        <f t="shared" si="2"/>
        <v>0</v>
      </c>
      <c r="O19" s="39"/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6" t="s">
        <v>18</v>
      </c>
      <c r="E20" s="107"/>
      <c r="F20" s="108"/>
      <c r="G20" s="40">
        <f>SUM(G4:G19)</f>
        <v>461</v>
      </c>
      <c r="H20" s="41">
        <f>SUM(H4:H19)</f>
        <v>350</v>
      </c>
      <c r="I20" s="41">
        <f>SUM(I4:I19)</f>
        <v>93</v>
      </c>
      <c r="J20" s="42">
        <f t="shared" si="0"/>
        <v>0.2017353579175705</v>
      </c>
      <c r="K20" s="40">
        <f t="shared" ref="K20:L20" si="6">SUM(K4:K19)</f>
        <v>329</v>
      </c>
      <c r="L20" s="40">
        <f t="shared" si="6"/>
        <v>188.35</v>
      </c>
      <c r="M20" s="42">
        <f t="shared" si="1"/>
        <v>0.57249240121580547</v>
      </c>
      <c r="N20" s="40">
        <f t="shared" si="2"/>
        <v>2.0252688172043012</v>
      </c>
      <c r="O20" s="43" t="e">
        <f>AVERAGE(O4:O19)</f>
        <v>#DIV/0!</v>
      </c>
      <c r="P20" s="40">
        <f t="shared" ref="P20" si="7">SUM(P4:P19)</f>
        <v>58</v>
      </c>
      <c r="Q20" s="41">
        <f t="shared" ref="Q20" si="8">SUM(Q4:Q19)</f>
        <v>53</v>
      </c>
      <c r="R20" s="42">
        <f t="shared" si="3"/>
        <v>0.91379310344827591</v>
      </c>
      <c r="S20" s="40">
        <f t="shared" ref="S20" si="9">SUM(S4:S19)</f>
        <v>121.8</v>
      </c>
      <c r="T20" s="41">
        <f t="shared" ref="T20" si="10">SUM(T4:T19)</f>
        <v>116.45</v>
      </c>
      <c r="U20" s="42">
        <f t="shared" si="4"/>
        <v>0.95607553366174058</v>
      </c>
      <c r="V20" s="40">
        <f t="shared" si="5"/>
        <v>2.1971698113207547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6" t="s">
        <v>18</v>
      </c>
      <c r="E26" s="107"/>
      <c r="F26" s="108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9" t="s">
        <v>18</v>
      </c>
      <c r="E31" s="110"/>
      <c r="F31" s="111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93</v>
      </c>
      <c r="J32" s="22">
        <f t="shared" si="0"/>
        <v>0.19787234042553192</v>
      </c>
      <c r="K32" s="20">
        <v>1</v>
      </c>
      <c r="L32" s="21">
        <v>1</v>
      </c>
      <c r="M32" s="22">
        <f t="shared" si="1"/>
        <v>1</v>
      </c>
      <c r="N32" s="20">
        <f t="shared" si="2"/>
        <v>1.0752688172043012E-2</v>
      </c>
      <c r="O32" s="23" t="e">
        <f>AVERAGE(O31,O20,O26)</f>
        <v>#DIV/0!</v>
      </c>
      <c r="P32" s="20">
        <f>+P31+P26+P20</f>
        <v>67</v>
      </c>
      <c r="Q32" s="21">
        <f t="shared" ref="Q32" si="18">+Q31+Q26+Q20</f>
        <v>62</v>
      </c>
      <c r="R32" s="22">
        <f t="shared" si="3"/>
        <v>0.92537313432835822</v>
      </c>
      <c r="S32" s="20">
        <f>+S31+S26+S20</f>
        <v>130.80000000000001</v>
      </c>
      <c r="T32" s="21">
        <f t="shared" ref="T32" si="19">+T31+T26+T20</f>
        <v>125.45</v>
      </c>
      <c r="U32" s="22">
        <f t="shared" si="4"/>
        <v>0.95909785932721703</v>
      </c>
      <c r="V32" s="20">
        <f t="shared" si="5"/>
        <v>2.0233870967741936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E3" workbookViewId="0">
      <selection activeCell="R10" sqref="R10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9</v>
      </c>
      <c r="C2" s="62">
        <f>+B2/A2</f>
        <v>0.33333333333333331</v>
      </c>
      <c r="D2" s="91">
        <f>+A2-B2</f>
        <v>18</v>
      </c>
      <c r="F2" s="89">
        <v>46305</v>
      </c>
      <c r="G2" s="118" t="s">
        <v>34</v>
      </c>
      <c r="H2" s="119"/>
      <c r="I2" s="119"/>
      <c r="J2" s="119"/>
      <c r="K2" s="115" t="s">
        <v>48</v>
      </c>
      <c r="L2" s="116"/>
      <c r="M2" s="116"/>
      <c r="N2" s="116"/>
      <c r="O2" s="117"/>
      <c r="P2" s="121" t="s">
        <v>35</v>
      </c>
      <c r="Q2" s="122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</f>
        <v>77</v>
      </c>
      <c r="J4" s="67">
        <f>IFERROR(I4/G4,0)</f>
        <v>0.23692307692307693</v>
      </c>
      <c r="K4" s="7">
        <v>450</v>
      </c>
      <c r="L4" s="8">
        <v>88.5</v>
      </c>
      <c r="M4" s="82">
        <f>IFERROR(L4/K4,0)</f>
        <v>0.19666666666666666</v>
      </c>
      <c r="N4" s="8">
        <f t="shared" ref="N4:N7" si="0">K4-L4</f>
        <v>361.5</v>
      </c>
      <c r="O4" s="10">
        <f t="shared" ref="O4:O7" si="1">N4/$D$2</f>
        <v>20.083333333333332</v>
      </c>
      <c r="P4" s="68">
        <f t="shared" ref="P4:P16" si="2">L4/I4</f>
        <v>1.1493506493506493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</f>
        <v>29</v>
      </c>
      <c r="J5" s="69">
        <f t="shared" ref="J5:J29" si="3">IFERROR(I5/G5,0)</f>
        <v>0.12236286919831224</v>
      </c>
      <c r="K5" s="11">
        <v>350</v>
      </c>
      <c r="L5" s="12">
        <v>51.6</v>
      </c>
      <c r="M5" s="70">
        <f t="shared" ref="M5:M29" si="4">IFERROR(L5/K5,0)</f>
        <v>0.14742857142857144</v>
      </c>
      <c r="N5" s="12">
        <f t="shared" si="0"/>
        <v>298.39999999999998</v>
      </c>
      <c r="O5" s="14">
        <f t="shared" si="1"/>
        <v>16.577777777777776</v>
      </c>
      <c r="P5" s="71">
        <f t="shared" si="2"/>
        <v>1.7793103448275862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17.81527777777778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</f>
        <v>30</v>
      </c>
      <c r="J7" s="69">
        <f t="shared" si="3"/>
        <v>0.10416666666666667</v>
      </c>
      <c r="K7" s="11">
        <v>250</v>
      </c>
      <c r="L7" s="12">
        <v>44.9</v>
      </c>
      <c r="M7" s="70">
        <f t="shared" si="4"/>
        <v>0.17959999999999998</v>
      </c>
      <c r="N7" s="12">
        <f t="shared" si="0"/>
        <v>205.1</v>
      </c>
      <c r="O7" s="14">
        <f t="shared" si="1"/>
        <v>11.394444444444444</v>
      </c>
      <c r="P7" s="71">
        <f t="shared" si="2"/>
        <v>1.4966666666666666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</f>
        <v>36</v>
      </c>
      <c r="J8" s="69">
        <f t="shared" si="3"/>
        <v>0.10084033613445378</v>
      </c>
      <c r="K8" s="11">
        <v>250</v>
      </c>
      <c r="L8" s="12">
        <v>41.725000000000001</v>
      </c>
      <c r="M8" s="70">
        <f t="shared" si="4"/>
        <v>0.16689999999999999</v>
      </c>
      <c r="N8" s="12">
        <f t="shared" ref="N8:N29" si="5">K8-L8</f>
        <v>208.27500000000001</v>
      </c>
      <c r="O8" s="14">
        <f t="shared" ref="O8:O29" si="6">N8/$D$2</f>
        <v>11.570833333333333</v>
      </c>
      <c r="P8" s="71">
        <f t="shared" si="2"/>
        <v>1.1590277777777778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22</v>
      </c>
      <c r="J10" s="69">
        <f t="shared" si="3"/>
        <v>0.1981981981981982</v>
      </c>
      <c r="K10" s="11">
        <v>2300</v>
      </c>
      <c r="L10" s="12">
        <v>486.05</v>
      </c>
      <c r="M10" s="70">
        <f t="shared" si="4"/>
        <v>0.21132608695652175</v>
      </c>
      <c r="N10" s="12">
        <f t="shared" si="5"/>
        <v>1813.95</v>
      </c>
      <c r="O10" s="14">
        <f t="shared" si="6"/>
        <v>100.77500000000001</v>
      </c>
      <c r="P10" s="71">
        <f t="shared" si="2"/>
        <v>22.093181818181819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24</v>
      </c>
      <c r="P11" s="71">
        <f t="shared" si="2"/>
        <v>2</v>
      </c>
      <c r="Q11" s="14"/>
      <c r="R11" s="105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f>12+15</f>
        <v>27</v>
      </c>
      <c r="M12" s="70">
        <f t="shared" si="4"/>
        <v>0.09</v>
      </c>
      <c r="N12" s="12">
        <f t="shared" si="5"/>
        <v>273</v>
      </c>
      <c r="O12" s="14">
        <f t="shared" si="6"/>
        <v>15.166666666666666</v>
      </c>
      <c r="P12" s="71">
        <f t="shared" si="2"/>
        <v>3</v>
      </c>
      <c r="Q12" s="14"/>
      <c r="R12" s="105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f>4+12</f>
        <v>16</v>
      </c>
      <c r="M13" s="70">
        <f t="shared" si="4"/>
        <v>6.4000000000000001E-2</v>
      </c>
      <c r="N13" s="12">
        <f t="shared" si="5"/>
        <v>234</v>
      </c>
      <c r="O13" s="14">
        <f t="shared" si="6"/>
        <v>13</v>
      </c>
      <c r="P13" s="71" t="e">
        <f t="shared" si="2"/>
        <v>#DIV/0!</v>
      </c>
      <c r="Q13" s="14"/>
      <c r="R13" s="105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75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74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-4.166666666666667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200</v>
      </c>
      <c r="M16" s="70">
        <f t="shared" si="4"/>
        <v>0</v>
      </c>
      <c r="N16" s="12">
        <f t="shared" si="5"/>
        <v>-200</v>
      </c>
      <c r="O16" s="14">
        <f t="shared" si="6"/>
        <v>-11.111111111111111</v>
      </c>
      <c r="P16" s="71">
        <f t="shared" si="2"/>
        <v>200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9" t="s">
        <v>18</v>
      </c>
      <c r="E17" s="110"/>
      <c r="F17" s="111"/>
      <c r="G17" s="40">
        <f>SUM(G4:G15)</f>
        <v>2493</v>
      </c>
      <c r="H17" s="41">
        <f>SUM(H4:H13)</f>
        <v>0</v>
      </c>
      <c r="I17" s="41">
        <f>SUM(I4:I16)</f>
        <v>229</v>
      </c>
      <c r="J17" s="75">
        <f t="shared" si="3"/>
        <v>9.1857200160449251E-2</v>
      </c>
      <c r="K17" s="76">
        <f>SUM(K4:K16)</f>
        <v>5100</v>
      </c>
      <c r="L17" s="77">
        <f>SUM(L4:L16)</f>
        <v>1168.0999999999999</v>
      </c>
      <c r="M17" s="78">
        <f t="shared" si="4"/>
        <v>0.2290392156862745</v>
      </c>
      <c r="N17" s="77">
        <f t="shared" si="5"/>
        <v>3931.9</v>
      </c>
      <c r="O17" s="79">
        <f t="shared" si="6"/>
        <v>218.4388888888889</v>
      </c>
      <c r="P17" s="80">
        <f>L17/I17</f>
        <v>5.1008733624454141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23.65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23.65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23.65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23.65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23.65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9" t="s">
        <v>18</v>
      </c>
      <c r="E23" s="110"/>
      <c r="F23" s="111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23.65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23.65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23.65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23.65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23.65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9" t="s">
        <v>18</v>
      </c>
      <c r="E28" s="110"/>
      <c r="F28" s="111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23.65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238</v>
      </c>
      <c r="J29" s="83">
        <f t="shared" si="3"/>
        <v>9.5123900879296563E-2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23.65</v>
      </c>
      <c r="P29" s="88">
        <f>L29/I29</f>
        <v>0.73235294117647065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2026-10-12T05:56:06Z</dcterms:modified>
</cp:coreProperties>
</file>