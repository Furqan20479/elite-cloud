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2D7267F-C3B0-4C01-955D-F423DA49323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  <c r="L13" i="2"/>
  <c r="L12" i="2"/>
  <c r="L11" i="2"/>
  <c r="I8" i="2"/>
  <c r="I7" i="2"/>
  <c r="I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<sst xmlns="http://schemas.openxmlformats.org/spreadsheetml/2006/main" count="363" uniqueCount="77">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</sst>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G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E3" workbookViewId="0">
      <selection activeCell="S10" sqref="S10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14</v>
      </c>
      <c r="C2" s="62">
        <f>+B2/A2</f>
        <v>0.51851851851851849</v>
      </c>
      <c r="D2" s="91">
        <f>+A2-B2</f>
        <v>13</v>
      </c>
      <c r="F2" s="89">
        <v>46311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</f>
        <v>101</v>
      </c>
      <c r="J4" s="67">
        <f>IFERROR(I4/G4,0)</f>
        <v>0.31076923076923074</v>
      </c>
      <c r="K4" s="7">
        <v>450</v>
      </c>
      <c r="L4" s="8">
        <v>127.05</v>
      </c>
      <c r="M4" s="82">
        <f>IFERROR(L4/K4,0)</f>
        <v>0.28233333333333333</v>
      </c>
      <c r="N4" s="8">
        <f t="shared" ref="N4:N7" si="0">K4-L4</f>
        <v>322.95</v>
      </c>
      <c r="O4" s="10">
        <f t="shared" ref="O4:O7" si="1">N4/$D$2</f>
        <v>24.842307692307692</v>
      </c>
      <c r="P4" s="68">
        <f t="shared" ref="P4:P16" si="2">L4/I4</f>
        <v>1.2579207920792079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</f>
        <v>63</v>
      </c>
      <c r="J5" s="69">
        <f t="shared" ref="J5:J29" si="3">IFERROR(I5/G5,0)</f>
        <v>0.26582278481012656</v>
      </c>
      <c r="K5" s="11">
        <v>350</v>
      </c>
      <c r="L5" s="12">
        <v>88.075000000000003</v>
      </c>
      <c r="M5" s="70">
        <f t="shared" ref="M5:M29" si="4">IFERROR(L5/K5,0)</f>
        <v>0.25164285714285717</v>
      </c>
      <c r="N5" s="12">
        <f t="shared" si="0"/>
        <v>261.92500000000001</v>
      </c>
      <c r="O5" s="14">
        <f t="shared" si="1"/>
        <v>20.148076923076925</v>
      </c>
      <c r="P5" s="71">
        <f t="shared" si="2"/>
        <v>1.3980158730158732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24.667307692307695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</f>
        <v>39</v>
      </c>
      <c r="J7" s="69">
        <f t="shared" si="3"/>
        <v>0.13541666666666666</v>
      </c>
      <c r="K7" s="11">
        <v>250</v>
      </c>
      <c r="L7" s="12">
        <v>61.274999999999999</v>
      </c>
      <c r="M7" s="70">
        <f t="shared" si="4"/>
        <v>0.24509999999999998</v>
      </c>
      <c r="N7" s="12">
        <f t="shared" si="0"/>
        <v>188.72499999999999</v>
      </c>
      <c r="O7" s="14">
        <f t="shared" si="1"/>
        <v>14.517307692307693</v>
      </c>
      <c r="P7" s="71">
        <f t="shared" si="2"/>
        <v>1.5711538461538461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</f>
        <v>50</v>
      </c>
      <c r="J8" s="69">
        <f t="shared" si="3"/>
        <v>0.14005602240896359</v>
      </c>
      <c r="K8" s="11">
        <v>250</v>
      </c>
      <c r="L8" s="12">
        <v>69.900000000000006</v>
      </c>
      <c r="M8" s="70">
        <f t="shared" si="4"/>
        <v>0.27960000000000002</v>
      </c>
      <c r="N8" s="12">
        <f t="shared" ref="N8:N29" si="5">K8-L8</f>
        <v>180.1</v>
      </c>
      <c r="O8" s="14">
        <f t="shared" ref="O8:O29" si="6">N8/$D$2</f>
        <v>13.853846153846153</v>
      </c>
      <c r="P8" s="71">
        <f t="shared" si="2"/>
        <v>1.3980000000000001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28</v>
      </c>
      <c r="J10" s="69">
        <f t="shared" si="3"/>
        <v>0.25225225225225223</v>
      </c>
      <c r="K10" s="11">
        <v>2300</v>
      </c>
      <c r="L10" s="12">
        <v>774</v>
      </c>
      <c r="M10" s="70">
        <f t="shared" si="4"/>
        <v>0.33652173913043476</v>
      </c>
      <c r="N10" s="12">
        <f t="shared" si="5"/>
        <v>1526</v>
      </c>
      <c r="O10" s="14">
        <f t="shared" si="6"/>
        <v>117.38461538461539</v>
      </c>
      <c r="P10" s="71">
        <f t="shared" si="2"/>
        <v>27.642857142857142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82</v>
      </c>
      <c r="J11" s="69">
        <f t="shared" si="3"/>
        <v>0.25465838509316768</v>
      </c>
      <c r="K11" s="11">
        <v>450</v>
      </c>
      <c r="L11" s="12">
        <f>106+16+15+38+16</f>
        <v>191</v>
      </c>
      <c r="M11" s="70">
        <f t="shared" si="4"/>
        <v>0.42444444444444446</v>
      </c>
      <c r="N11" s="12">
        <f t="shared" si="5"/>
        <v>259</v>
      </c>
      <c r="O11" s="14">
        <f t="shared" si="6"/>
        <v>19.923076923076923</v>
      </c>
      <c r="P11" s="71">
        <f t="shared" si="2"/>
        <v>2.3292682926829267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80</v>
      </c>
      <c r="J12" s="69">
        <f t="shared" si="3"/>
        <v>0.25723472668810288</v>
      </c>
      <c r="K12" s="11">
        <v>300</v>
      </c>
      <c r="L12" s="12">
        <f>100+8+8+6+8</f>
        <v>130</v>
      </c>
      <c r="M12" s="70">
        <f t="shared" si="4"/>
        <v>0.43333333333333335</v>
      </c>
      <c r="N12" s="12">
        <f t="shared" si="5"/>
        <v>170</v>
      </c>
      <c r="O12" s="14">
        <f t="shared" si="6"/>
        <v>13.076923076923077</v>
      </c>
      <c r="P12" s="71">
        <f t="shared" si="2"/>
        <v>1.625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68</v>
      </c>
      <c r="J13" s="69">
        <f t="shared" si="3"/>
        <v>0.48571428571428571</v>
      </c>
      <c r="K13" s="11">
        <v>250</v>
      </c>
      <c r="L13" s="12">
        <f>50+10+10+4+5</f>
        <v>79</v>
      </c>
      <c r="M13" s="70">
        <f t="shared" si="4"/>
        <v>0.316</v>
      </c>
      <c r="N13" s="12">
        <f t="shared" si="5"/>
        <v>171</v>
      </c>
      <c r="O13" s="14">
        <f t="shared" si="6"/>
        <v>13.153846153846153</v>
      </c>
      <c r="P13" s="71">
        <f t="shared" si="2"/>
        <v>1.161764705882353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0.76923076923076927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1.9230769230769231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430</v>
      </c>
      <c r="M16" s="70">
        <f t="shared" si="4"/>
        <v>0</v>
      </c>
      <c r="N16" s="12">
        <f t="shared" si="5"/>
        <v>-430</v>
      </c>
      <c r="O16" s="14">
        <f t="shared" si="6"/>
        <v>-33.07692307692308</v>
      </c>
      <c r="P16" s="71">
        <f t="shared" si="2"/>
        <v>430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533</v>
      </c>
      <c r="J17" s="75">
        <f t="shared" si="3"/>
        <v>0.21379863618130765</v>
      </c>
      <c r="K17" s="76">
        <f>SUM(K4:K16)</f>
        <v>5300</v>
      </c>
      <c r="L17" s="77">
        <f>SUM(L4:L16)</f>
        <v>2144.625</v>
      </c>
      <c r="M17" s="78">
        <f t="shared" si="4"/>
        <v>0.40464622641509435</v>
      </c>
      <c r="N17" s="77">
        <f t="shared" si="5"/>
        <v>3155.375</v>
      </c>
      <c r="O17" s="79">
        <f t="shared" si="6"/>
        <v>242.72115384615384</v>
      </c>
      <c r="P17" s="80">
        <f>L17/I17</f>
        <v>4.0236866791744843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32.746153846153845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32.746153846153845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32.746153846153845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32.746153846153845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32.746153846153845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32.746153846153845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32.746153846153845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32.746153846153845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32.746153846153845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32.746153846153845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32.746153846153845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542</v>
      </c>
      <c r="J29" s="83">
        <f t="shared" si="3"/>
        <v>0.21662669864108713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32.746153846153845</v>
      </c>
      <c r="P29" s="88">
        <f>L29/I29</f>
        <v>0.3215867158671587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2026-10-17T05:32:31Z</dcterms:modified>
</cp:coreProperties>
</file>