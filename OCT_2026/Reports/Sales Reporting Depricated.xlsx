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3B5987AD-F9ED-464C-B040-B6E2E06FAD1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8" i="2"/>
  <c r="I7" i="2"/>
  <c r="I5" i="2"/>
  <c r="I4" i="2"/>
  <c r="L20" i="1"/>
  <c r="L10" i="1"/>
  <c r="I6" i="2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<sst xmlns="http://schemas.openxmlformats.org/spreadsheetml/2006/main" count="368" uniqueCount="78">
  <si>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</si>
  <si>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</si>
  <si>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</si>
  <si>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</si>
  <si>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</si>
  <si>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</si>
  <si>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</si>
  <si>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</si>
  <si>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</si>
  <si>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</si>
  <si>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</si>
  <si>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</si>
  <si>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</si>
  <si>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</si>
  <si>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</si>
  <si>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</si>
  <si>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</si>
  <si>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</si>
  <si>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</si>
  <si>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</si>
  <si>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</si>
  <si>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</si>
  <si>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</si>
  <si>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</si>
  <si>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</si>
  <si>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</si>
  <si>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</si>
  <si>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</si>
  <si>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</si>
  <si>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</si>
  <si>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</si>
  <si>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</si>
  <si>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</si>
  <si>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</si>
  <si>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</si>
  <si>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</si>
  <si>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</si>
  <si>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</si>
  <si>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</si>
  <si>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</si>
  <si>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</si>
  <si>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</si>
  <si>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</si>
  <si>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</si>
  <si>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</si>
  <si>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</si>
  <si>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</si>
  <si>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</si>
  <si>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</si>
  <si>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</si>
  <si>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</si>
  <si>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</si>
  <si>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</si>
  <si>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</si>
  <si>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</si>
  <si>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</si>
  <si>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</si>
  <si>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</si>
  <si>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</si>
  <si>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</si>
  <si>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</si>
  <si>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</si>
  <si>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</si>
  <si>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</si>
  <si>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</si>
  <si>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</si>
  <si>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</si>
  <si>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</si>
  <si>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</si>
  <si>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</si>
  <si>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</si>
  <si>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</si>
  <si>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</si>
  <si>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ABSENT</t>
  </si>
  <si>
    <t>Abdullah Traders SD</t>
  </si>
  <si>
    <t>Kasur SD</t>
  </si>
  <si>
    <t>Nabeel Traders SD</t>
  </si>
  <si>
    <t xml:space="preserve">Not Delivered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</si>
</sst>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5" borderId="34" xfId="0" applyFont="1" applyFill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topLeftCell="E1" zoomScale="85" zoomScaleNormal="85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2" t="s">
        <v>0</v>
      </c>
      <c r="H1" s="113"/>
      <c r="I1" s="113"/>
      <c r="J1" s="113"/>
      <c r="K1" s="113"/>
      <c r="L1" s="113"/>
      <c r="M1" s="113"/>
      <c r="N1" s="113"/>
      <c r="O1" s="114"/>
      <c r="P1" s="115" t="s">
        <v>1</v>
      </c>
      <c r="Q1" s="116"/>
      <c r="R1" s="116"/>
      <c r="S1" s="116"/>
      <c r="T1" s="116"/>
      <c r="U1" s="116"/>
      <c r="V1" s="116"/>
      <c r="W1" s="117"/>
    </row>
    <row r="2" spans="1:24" ht="15" thickBot="1" x14ac:dyDescent="0.4">
      <c r="F2" s="89">
        <v>46310</v>
      </c>
      <c r="G2" s="118" t="s">
        <v>2</v>
      </c>
      <c r="H2" s="119"/>
      <c r="I2" s="119"/>
      <c r="J2" s="120"/>
      <c r="K2" s="119" t="s">
        <v>3</v>
      </c>
      <c r="L2" s="119"/>
      <c r="M2" s="120"/>
      <c r="N2" s="1"/>
      <c r="O2" s="2"/>
      <c r="P2" s="118" t="s">
        <v>2</v>
      </c>
      <c r="Q2" s="119"/>
      <c r="R2" s="120"/>
      <c r="S2" s="119" t="s">
        <v>3</v>
      </c>
      <c r="T2" s="119"/>
      <c r="U2" s="120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5</v>
      </c>
      <c r="J4" s="32">
        <f>IFERROR(I4/G4,0)</f>
        <v>0.1</v>
      </c>
      <c r="K4" s="30">
        <v>40</v>
      </c>
      <c r="L4" s="12">
        <v>7.45</v>
      </c>
      <c r="M4" s="32">
        <f>IFERROR(L4/K4,0)</f>
        <v>0.18625</v>
      </c>
      <c r="N4" s="90">
        <f>IFERROR(L4/I4,0)</f>
        <v>1.49</v>
      </c>
      <c r="O4" s="33"/>
      <c r="P4" s="30">
        <v>13</v>
      </c>
      <c r="Q4" s="31">
        <v>12</v>
      </c>
      <c r="R4" s="32">
        <f>IFERROR(Q4/P4,0)</f>
        <v>0.92307692307692313</v>
      </c>
      <c r="S4" s="30">
        <v>17.850000000000001</v>
      </c>
      <c r="T4" s="31">
        <v>16.100000000000001</v>
      </c>
      <c r="U4" s="32">
        <f>IFERROR(T4/S4,0)</f>
        <v>0.90196078431372551</v>
      </c>
      <c r="V4" s="90">
        <f>IFERROR(T4/Q4,0)</f>
        <v>1.3416666666666668</v>
      </c>
      <c r="W4" s="33"/>
      <c r="X4" s="104" t="s">
        <v>77</v>
      </c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5</v>
      </c>
      <c r="J5" s="13">
        <f t="shared" ref="J5:J32" si="0">IFERROR(I5/G5,0)</f>
        <v>0.1</v>
      </c>
      <c r="K5" s="11">
        <v>30</v>
      </c>
      <c r="L5" s="12">
        <v>7</v>
      </c>
      <c r="M5" s="70">
        <f t="shared" ref="M5:M32" si="1">IFERROR(L5/K5,0)</f>
        <v>0.23333333333333334</v>
      </c>
      <c r="N5" s="71">
        <f t="shared" ref="N5:N32" si="2">IFERROR(L5/I5,0)</f>
        <v>1.4</v>
      </c>
      <c r="O5" s="14"/>
      <c r="P5" s="11">
        <v>7</v>
      </c>
      <c r="Q5" s="12">
        <v>5</v>
      </c>
      <c r="R5" s="13">
        <f t="shared" ref="R5:R32" si="3">IFERROR(Q5/P5,0)</f>
        <v>0.7142857142857143</v>
      </c>
      <c r="S5" s="11">
        <v>10.525</v>
      </c>
      <c r="T5" s="12">
        <v>9.0250000000000004</v>
      </c>
      <c r="U5" s="13">
        <f t="shared" ref="U5:U32" si="4">IFERROR(T5/S5,0)</f>
        <v>0.85748218527315911</v>
      </c>
      <c r="V5" s="11">
        <f t="shared" ref="V5:V32" si="5">IFERROR(T5/Q5,0)</f>
        <v>1.8050000000000002</v>
      </c>
      <c r="W5" s="14"/>
      <c r="X5" s="104" t="s">
        <v>77</v>
      </c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/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>
        <v>0</v>
      </c>
      <c r="T6" s="12">
        <v>0</v>
      </c>
      <c r="U6" s="13">
        <f t="shared" si="4"/>
        <v>0</v>
      </c>
      <c r="V6" s="11">
        <f t="shared" si="5"/>
        <v>0</v>
      </c>
      <c r="W6" s="14"/>
      <c r="X6" s="104" t="s">
        <v>72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3.05</v>
      </c>
      <c r="M7" s="70">
        <f t="shared" si="1"/>
        <v>0.10166666666666666</v>
      </c>
      <c r="N7" s="71">
        <f t="shared" si="2"/>
        <v>0.43571428571428567</v>
      </c>
      <c r="O7" s="14"/>
      <c r="P7" s="11">
        <v>10</v>
      </c>
      <c r="Q7" s="12">
        <v>8</v>
      </c>
      <c r="R7" s="13">
        <f t="shared" si="3"/>
        <v>0.8</v>
      </c>
      <c r="S7" s="11">
        <v>10.65</v>
      </c>
      <c r="T7" s="12">
        <v>9.4749999999999996</v>
      </c>
      <c r="U7" s="13">
        <f t="shared" si="4"/>
        <v>0.88967136150234738</v>
      </c>
      <c r="V7" s="11">
        <f t="shared" si="5"/>
        <v>1.184375</v>
      </c>
      <c r="W7" s="14"/>
      <c r="X7" s="104" t="s">
        <v>77</v>
      </c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9</v>
      </c>
      <c r="J8" s="13">
        <f t="shared" si="0"/>
        <v>0.18</v>
      </c>
      <c r="K8" s="11">
        <v>20</v>
      </c>
      <c r="L8" s="12">
        <v>4.1500000000000004</v>
      </c>
      <c r="M8" s="70">
        <f t="shared" si="1"/>
        <v>0.20750000000000002</v>
      </c>
      <c r="N8" s="71">
        <f t="shared" si="2"/>
        <v>0.46111111111111114</v>
      </c>
      <c r="O8" s="14"/>
      <c r="P8" s="11">
        <v>11</v>
      </c>
      <c r="Q8" s="12">
        <v>8</v>
      </c>
      <c r="R8" s="13">
        <f t="shared" si="3"/>
        <v>0.72727272727272729</v>
      </c>
      <c r="S8" s="11">
        <v>11.125</v>
      </c>
      <c r="T8" s="12">
        <v>7.5750000000000002</v>
      </c>
      <c r="U8" s="13">
        <f t="shared" si="4"/>
        <v>0.68089887640449442</v>
      </c>
      <c r="V8" s="11">
        <f t="shared" si="5"/>
        <v>0.94687500000000002</v>
      </c>
      <c r="W8" s="14"/>
      <c r="X8" s="104" t="s">
        <v>77</v>
      </c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70">
        <f t="shared" si="1"/>
        <v>0</v>
      </c>
      <c r="N9" s="71">
        <f t="shared" si="2"/>
        <v>0</v>
      </c>
      <c r="O9" s="14"/>
      <c r="P9" s="11">
        <v>0</v>
      </c>
      <c r="Q9" s="12">
        <v>0</v>
      </c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5</v>
      </c>
      <c r="J10" s="13">
        <f t="shared" si="0"/>
        <v>0.5</v>
      </c>
      <c r="K10" s="11">
        <v>20</v>
      </c>
      <c r="L10" s="12">
        <f>166+66</f>
        <v>232</v>
      </c>
      <c r="M10" s="70">
        <f t="shared" si="1"/>
        <v>11.6</v>
      </c>
      <c r="N10" s="71">
        <f t="shared" si="2"/>
        <v>46.4</v>
      </c>
      <c r="O10" s="14"/>
      <c r="P10" s="11"/>
      <c r="Q10" s="12"/>
      <c r="R10" s="13">
        <f t="shared" si="3"/>
        <v>0</v>
      </c>
      <c r="S10" s="11"/>
      <c r="T10" s="12"/>
      <c r="U10" s="13">
        <f t="shared" si="4"/>
        <v>0</v>
      </c>
      <c r="V10" s="11">
        <f t="shared" si="5"/>
        <v>0</v>
      </c>
      <c r="W10" s="14"/>
      <c r="X10" s="104" t="s">
        <v>77</v>
      </c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25</v>
      </c>
      <c r="J11" s="13">
        <f t="shared" si="0"/>
        <v>0.5</v>
      </c>
      <c r="K11" s="11">
        <v>20</v>
      </c>
      <c r="L11" s="12">
        <v>38</v>
      </c>
      <c r="M11" s="70">
        <f t="shared" si="1"/>
        <v>1.9</v>
      </c>
      <c r="N11" s="71">
        <f t="shared" si="2"/>
        <v>1.52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5</v>
      </c>
      <c r="J12" s="13">
        <f t="shared" si="0"/>
        <v>0.1</v>
      </c>
      <c r="K12" s="11">
        <v>30</v>
      </c>
      <c r="L12" s="12">
        <v>6</v>
      </c>
      <c r="M12" s="13">
        <f t="shared" si="1"/>
        <v>0.2</v>
      </c>
      <c r="N12" s="11">
        <f t="shared" si="2"/>
        <v>1.2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4</v>
      </c>
      <c r="M13" s="13">
        <f t="shared" si="1"/>
        <v>0.13333333333333333</v>
      </c>
      <c r="N13" s="11">
        <f t="shared" si="2"/>
        <v>0.66666666666666663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76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6" t="s">
        <v>18</v>
      </c>
      <c r="E20" s="107"/>
      <c r="F20" s="108"/>
      <c r="G20" s="40">
        <f>SUM(G4:G19)</f>
        <v>461</v>
      </c>
      <c r="H20" s="41">
        <f>SUM(H4:H19)</f>
        <v>350</v>
      </c>
      <c r="I20" s="41">
        <f>SUM(I4:I19)</f>
        <v>67</v>
      </c>
      <c r="J20" s="42">
        <f t="shared" si="0"/>
        <v>0.14533622559652928</v>
      </c>
      <c r="K20" s="40">
        <f t="shared" ref="K20" si="6">SUM(K4:K19)</f>
        <v>329</v>
      </c>
      <c r="L20" s="40">
        <f>SUM(L4:L19)</f>
        <v>305.64999999999998</v>
      </c>
      <c r="M20" s="42">
        <f t="shared" si="1"/>
        <v>0.92902735562310024</v>
      </c>
      <c r="N20" s="40">
        <f t="shared" si="2"/>
        <v>4.5619402985074622</v>
      </c>
      <c r="O20" s="43" t="e">
        <f>AVERAGE(O4:O19)</f>
        <v>#DIV/0!</v>
      </c>
      <c r="P20" s="40">
        <f t="shared" ref="P20" si="7">SUM(P4:P19)</f>
        <v>68</v>
      </c>
      <c r="Q20" s="41">
        <f t="shared" ref="Q20" si="8">SUM(Q4:Q19)</f>
        <v>60</v>
      </c>
      <c r="R20" s="42">
        <f t="shared" si="3"/>
        <v>0.88235294117647056</v>
      </c>
      <c r="S20" s="40">
        <f t="shared" ref="S20" si="9">SUM(S4:S19)</f>
        <v>77.150000000000006</v>
      </c>
      <c r="T20" s="41">
        <f t="shared" ref="T20" si="10">SUM(T4:T19)</f>
        <v>69.175000000000011</v>
      </c>
      <c r="U20" s="42">
        <f t="shared" si="4"/>
        <v>0.89662994167206744</v>
      </c>
      <c r="V20" s="40">
        <f t="shared" si="5"/>
        <v>1.1529166666666668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6" t="s">
        <v>18</v>
      </c>
      <c r="E26" s="107"/>
      <c r="F26" s="108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9" t="s">
        <v>18</v>
      </c>
      <c r="E31" s="110"/>
      <c r="F31" s="111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67</v>
      </c>
      <c r="J32" s="22">
        <f t="shared" si="0"/>
        <v>0.14255319148936171</v>
      </c>
      <c r="K32" s="20">
        <v>1</v>
      </c>
      <c r="L32" s="21">
        <v>1</v>
      </c>
      <c r="M32" s="22">
        <f t="shared" si="1"/>
        <v>1</v>
      </c>
      <c r="N32" s="20">
        <f t="shared" si="2"/>
        <v>1.4925373134328358E-2</v>
      </c>
      <c r="O32" s="23" t="e">
        <f>AVERAGE(O31,O20,O26)</f>
        <v>#DIV/0!</v>
      </c>
      <c r="P32" s="20">
        <f>+P31+P26+P20</f>
        <v>77</v>
      </c>
      <c r="Q32" s="21">
        <f t="shared" ref="Q32" si="18">+Q31+Q26+Q20</f>
        <v>69</v>
      </c>
      <c r="R32" s="22">
        <f t="shared" si="3"/>
        <v>0.89610389610389607</v>
      </c>
      <c r="S32" s="20">
        <f>+S31+S26+S20</f>
        <v>86.15</v>
      </c>
      <c r="T32" s="21">
        <f t="shared" ref="T32" si="19">+T31+T26+T20</f>
        <v>78.175000000000011</v>
      </c>
      <c r="U32" s="22">
        <f t="shared" si="4"/>
        <v>0.9074289030760303</v>
      </c>
      <c r="V32" s="20">
        <f t="shared" si="5"/>
        <v>1.1329710144927538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opLeftCell="D1" workbookViewId="0">
      <selection activeCell="J11" sqref="J11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11</v>
      </c>
      <c r="C2" s="62">
        <f>+B2/A2</f>
        <v>0.40740740740740738</v>
      </c>
      <c r="D2" s="91">
        <f>+A2-B2</f>
        <v>16</v>
      </c>
      <c r="F2" s="89">
        <v>46308</v>
      </c>
      <c r="G2" s="118" t="s">
        <v>34</v>
      </c>
      <c r="H2" s="119"/>
      <c r="I2" s="119"/>
      <c r="J2" s="119"/>
      <c r="K2" s="115" t="s">
        <v>48</v>
      </c>
      <c r="L2" s="116"/>
      <c r="M2" s="116"/>
      <c r="N2" s="116"/>
      <c r="O2" s="117"/>
      <c r="P2" s="121" t="s">
        <v>35</v>
      </c>
      <c r="Q2" s="122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</f>
        <v>89</v>
      </c>
      <c r="J4" s="67">
        <f>IFERROR(I4/G4,0)</f>
        <v>0.27384615384615385</v>
      </c>
      <c r="K4" s="7">
        <v>450</v>
      </c>
      <c r="L4" s="8">
        <v>113.6</v>
      </c>
      <c r="M4" s="82">
        <f>IFERROR(L4/K4,0)</f>
        <v>0.25244444444444442</v>
      </c>
      <c r="N4" s="8">
        <f t="shared" ref="N4:N7" si="0">K4-L4</f>
        <v>336.4</v>
      </c>
      <c r="O4" s="10">
        <f t="shared" ref="O4:O7" si="1">N4/$D$2</f>
        <v>21.024999999999999</v>
      </c>
      <c r="P4" s="68">
        <f t="shared" ref="P4:P16" si="2">L4/I4</f>
        <v>1.2764044943820223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</f>
        <v>34</v>
      </c>
      <c r="J5" s="69">
        <f t="shared" ref="J5:J29" si="3">IFERROR(I5/G5,0)</f>
        <v>0.14345991561181434</v>
      </c>
      <c r="K5" s="11">
        <v>350</v>
      </c>
      <c r="L5" s="12">
        <v>76.525000000000006</v>
      </c>
      <c r="M5" s="70">
        <f t="shared" ref="M5:M29" si="4">IFERROR(L5/K5,0)</f>
        <v>0.21864285714285717</v>
      </c>
      <c r="N5" s="12">
        <f t="shared" si="0"/>
        <v>273.47500000000002</v>
      </c>
      <c r="O5" s="14">
        <f t="shared" si="1"/>
        <v>17.092187500000001</v>
      </c>
      <c r="P5" s="71">
        <f t="shared" si="2"/>
        <v>2.2507352941176473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20.042187500000001</v>
      </c>
      <c r="P6" s="71">
        <f t="shared" si="2"/>
        <v>2.094642857142857</v>
      </c>
      <c r="Q6" s="14"/>
      <c r="R6" s="102" t="s">
        <v>73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</f>
        <v>38</v>
      </c>
      <c r="J7" s="69">
        <f t="shared" si="3"/>
        <v>0.13194444444444445</v>
      </c>
      <c r="K7" s="11">
        <v>250</v>
      </c>
      <c r="L7" s="12">
        <v>60.125</v>
      </c>
      <c r="M7" s="70">
        <f t="shared" si="4"/>
        <v>0.24049999999999999</v>
      </c>
      <c r="N7" s="12">
        <f t="shared" si="0"/>
        <v>189.875</v>
      </c>
      <c r="O7" s="14">
        <f t="shared" si="1"/>
        <v>11.8671875</v>
      </c>
      <c r="P7" s="71">
        <f t="shared" si="2"/>
        <v>1.5822368421052631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</f>
        <v>44</v>
      </c>
      <c r="J8" s="69">
        <f t="shared" si="3"/>
        <v>0.12324929971988796</v>
      </c>
      <c r="K8" s="11">
        <v>250</v>
      </c>
      <c r="L8" s="12">
        <v>63.7</v>
      </c>
      <c r="M8" s="70">
        <f t="shared" si="4"/>
        <v>0.25480000000000003</v>
      </c>
      <c r="N8" s="12">
        <f t="shared" ref="N8:N29" si="5">K8-L8</f>
        <v>186.3</v>
      </c>
      <c r="O8" s="14">
        <f t="shared" ref="O8:O29" si="6">N8/$D$2</f>
        <v>11.643750000000001</v>
      </c>
      <c r="P8" s="71">
        <f t="shared" si="2"/>
        <v>1.4477272727272728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v>22</v>
      </c>
      <c r="J10" s="69">
        <f t="shared" si="3"/>
        <v>0.1981981981981982</v>
      </c>
      <c r="K10" s="11">
        <v>2300</v>
      </c>
      <c r="L10" s="12">
        <v>578</v>
      </c>
      <c r="M10" s="70">
        <f t="shared" si="4"/>
        <v>0.25130434782608696</v>
      </c>
      <c r="N10" s="12">
        <f t="shared" si="5"/>
        <v>1722</v>
      </c>
      <c r="O10" s="14">
        <f t="shared" si="6"/>
        <v>107.625</v>
      </c>
      <c r="P10" s="71">
        <f t="shared" si="2"/>
        <v>26.272727272727273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76</v>
      </c>
      <c r="J11" s="69">
        <f t="shared" si="3"/>
        <v>0.2360248447204969</v>
      </c>
      <c r="K11" s="11">
        <v>450</v>
      </c>
      <c r="L11" s="12">
        <f>106+16+15</f>
        <v>137</v>
      </c>
      <c r="M11" s="70">
        <f t="shared" si="4"/>
        <v>0.30444444444444446</v>
      </c>
      <c r="N11" s="12">
        <f t="shared" si="5"/>
        <v>313</v>
      </c>
      <c r="O11" s="14">
        <f t="shared" si="6"/>
        <v>19.5625</v>
      </c>
      <c r="P11" s="71">
        <f t="shared" si="2"/>
        <v>1.8026315789473684</v>
      </c>
      <c r="Q11" s="14"/>
      <c r="R11" s="105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70</v>
      </c>
      <c r="J12" s="69">
        <f t="shared" si="3"/>
        <v>0.22508038585209003</v>
      </c>
      <c r="K12" s="11">
        <v>300</v>
      </c>
      <c r="L12" s="12">
        <f>100+8+8</f>
        <v>116</v>
      </c>
      <c r="M12" s="70">
        <f t="shared" si="4"/>
        <v>0.38666666666666666</v>
      </c>
      <c r="N12" s="12">
        <f t="shared" si="5"/>
        <v>184</v>
      </c>
      <c r="O12" s="14">
        <f t="shared" si="6"/>
        <v>11.5</v>
      </c>
      <c r="P12" s="71">
        <f t="shared" si="2"/>
        <v>1.6571428571428573</v>
      </c>
      <c r="Q12" s="14"/>
      <c r="R12" s="105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60</v>
      </c>
      <c r="J13" s="69">
        <f t="shared" si="3"/>
        <v>0.42857142857142855</v>
      </c>
      <c r="K13" s="11">
        <v>250</v>
      </c>
      <c r="L13" s="12">
        <f>50+10+10</f>
        <v>70</v>
      </c>
      <c r="M13" s="70">
        <f t="shared" si="4"/>
        <v>0.28000000000000003</v>
      </c>
      <c r="N13" s="12">
        <f t="shared" si="5"/>
        <v>180</v>
      </c>
      <c r="O13" s="14">
        <f t="shared" si="6"/>
        <v>11.25</v>
      </c>
      <c r="P13" s="71">
        <f t="shared" si="2"/>
        <v>1.1666666666666667</v>
      </c>
      <c r="Q13" s="14"/>
      <c r="R13" s="105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75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-5.625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74</v>
      </c>
      <c r="G15" s="11">
        <v>1</v>
      </c>
      <c r="H15" s="71"/>
      <c r="I15" s="12">
        <v>1</v>
      </c>
      <c r="J15" s="69">
        <f t="shared" si="3"/>
        <v>1</v>
      </c>
      <c r="K15" s="11"/>
      <c r="L15" s="12">
        <v>75</v>
      </c>
      <c r="M15" s="70">
        <f t="shared" si="4"/>
        <v>0</v>
      </c>
      <c r="N15" s="12">
        <f t="shared" si="5"/>
        <v>-75</v>
      </c>
      <c r="O15" s="14">
        <f t="shared" si="6"/>
        <v>-4.6875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215</v>
      </c>
      <c r="M16" s="70">
        <f t="shared" si="4"/>
        <v>0</v>
      </c>
      <c r="N16" s="12">
        <f t="shared" si="5"/>
        <v>-215</v>
      </c>
      <c r="O16" s="14">
        <f t="shared" si="6"/>
        <v>-13.4375</v>
      </c>
      <c r="P16" s="71">
        <f t="shared" si="2"/>
        <v>215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9" t="s">
        <v>18</v>
      </c>
      <c r="E17" s="110"/>
      <c r="F17" s="111"/>
      <c r="G17" s="40">
        <f>SUM(G4:G15)</f>
        <v>2493</v>
      </c>
      <c r="H17" s="41">
        <f>SUM(H4:H13)</f>
        <v>0</v>
      </c>
      <c r="I17" s="41">
        <f>SUM(I4:I16)</f>
        <v>450</v>
      </c>
      <c r="J17" s="75">
        <f t="shared" si="3"/>
        <v>0.18050541516245489</v>
      </c>
      <c r="K17" s="76">
        <f>SUM(K4:K16)</f>
        <v>5100</v>
      </c>
      <c r="L17" s="77">
        <f>SUM(L4:L16)</f>
        <v>1624.2750000000001</v>
      </c>
      <c r="M17" s="78">
        <f t="shared" si="4"/>
        <v>0.31848529411764709</v>
      </c>
      <c r="N17" s="77">
        <f t="shared" si="5"/>
        <v>3475.7249999999999</v>
      </c>
      <c r="O17" s="79">
        <f t="shared" si="6"/>
        <v>217.23281249999999</v>
      </c>
      <c r="P17" s="80">
        <f>L17/I17</f>
        <v>3.6095000000000002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26.606249999999999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26.606249999999999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26.606249999999999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26.606249999999999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26.606249999999999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9" t="s">
        <v>18</v>
      </c>
      <c r="E23" s="110"/>
      <c r="F23" s="111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26.606249999999999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26.606249999999999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26.606249999999999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26.606249999999999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26.606249999999999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9" t="s">
        <v>18</v>
      </c>
      <c r="E28" s="110"/>
      <c r="F28" s="111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26.606249999999999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459</v>
      </c>
      <c r="J29" s="83">
        <f t="shared" si="3"/>
        <v>0.18345323741007194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26.606249999999999</v>
      </c>
      <c r="P29" s="88">
        <f>L29/I29</f>
        <v>0.37973856209150331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2026-10-15T05:58:39Z</dcterms:modified>
</cp:coreProperties>
</file>