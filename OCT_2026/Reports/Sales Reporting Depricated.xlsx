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90CE5632-2A4C-4039-B7DC-601F2EA0472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2" l="1"/>
  <c r="I12" i="2"/>
  <c r="I11" i="2"/>
  <c r="L13" i="2"/>
  <c r="L12" i="2"/>
  <c r="L11" i="2"/>
  <c r="I10" i="2"/>
  <c r="I8" i="2"/>
  <c r="I7" i="2"/>
  <c r="I4" i="2"/>
  <c r="M4" i="2" l="1"/>
  <c r="N4" i="2"/>
  <c r="P4" i="2"/>
  <c r="I5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D2" i="2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O9" i="2" l="1"/>
  <c r="O4" i="2"/>
  <c r="R31" i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<sst xmlns="http://schemas.openxmlformats.org/spreadsheetml/2006/main" count="363" uniqueCount="77">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</sst>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E1" zoomScale="85" zoomScaleNormal="85" workbookViewId="0">
      <selection activeCell="L12" sqref="L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2" workbookViewId="0">
      <selection activeCell="I12" sqref="I12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21</v>
      </c>
      <c r="C2" s="62">
        <f>+B2/A2</f>
        <v>0.77777777777777779</v>
      </c>
      <c r="D2" s="91">
        <f>+A2-B2</f>
        <v>6</v>
      </c>
      <c r="F2" s="89">
        <v>46319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15+13+9+11+10+11+8+12+12+8+10+12+7+29+20+17</f>
        <v>204</v>
      </c>
      <c r="J4" s="67">
        <f>IFERROR(I4/G4,0)</f>
        <v>0.62769230769230766</v>
      </c>
      <c r="K4" s="7">
        <v>450</v>
      </c>
      <c r="L4" s="8">
        <v>259.95</v>
      </c>
      <c r="M4" s="82">
        <f>IFERROR(L4/K4,0)</f>
        <v>0.57766666666666666</v>
      </c>
      <c r="N4" s="8">
        <f t="shared" ref="N4:N7" si="0">K4-L4</f>
        <v>190.05</v>
      </c>
      <c r="O4" s="10">
        <f t="shared" ref="O4:O7" si="1">N4/$D$2</f>
        <v>31.675000000000001</v>
      </c>
      <c r="P4" s="68">
        <f t="shared" ref="P4:P16" si="2">L4/I4</f>
        <v>1.2742647058823529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6+5+5+3+3+4+3+5+10+19+20+23+20+14+13+14</f>
        <v>167</v>
      </c>
      <c r="J5" s="69">
        <f t="shared" ref="J5:J29" si="3">IFERROR(I5/G5,0)</f>
        <v>0.70464135021097052</v>
      </c>
      <c r="K5" s="11">
        <v>350</v>
      </c>
      <c r="L5" s="12">
        <v>146.44999999999999</v>
      </c>
      <c r="M5" s="70">
        <f t="shared" ref="M5:M29" si="4">IFERROR(L5/K5,0)</f>
        <v>0.41842857142857137</v>
      </c>
      <c r="N5" s="12">
        <f t="shared" si="0"/>
        <v>203.55</v>
      </c>
      <c r="O5" s="14">
        <f t="shared" si="1"/>
        <v>33.925000000000004</v>
      </c>
      <c r="P5" s="71">
        <f t="shared" si="2"/>
        <v>0.87694610778443105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53.445833333333333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2+2+6+4+9+7+8+1+6+6+8+4+4+5+8</f>
        <v>80</v>
      </c>
      <c r="J7" s="69">
        <f t="shared" si="3"/>
        <v>0.27777777777777779</v>
      </c>
      <c r="K7" s="11">
        <v>250</v>
      </c>
      <c r="L7" s="12">
        <v>121.325</v>
      </c>
      <c r="M7" s="70">
        <f t="shared" si="4"/>
        <v>0.48530000000000001</v>
      </c>
      <c r="N7" s="12">
        <f t="shared" si="0"/>
        <v>128.67500000000001</v>
      </c>
      <c r="O7" s="14">
        <f t="shared" si="1"/>
        <v>21.445833333333336</v>
      </c>
      <c r="P7" s="71">
        <f t="shared" si="2"/>
        <v>1.5165625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3+6+7+6+6+3+5+8+6+4+6+10+10+9+5</f>
        <v>94</v>
      </c>
      <c r="J8" s="69">
        <f t="shared" si="3"/>
        <v>0.26330532212885155</v>
      </c>
      <c r="K8" s="11">
        <v>250</v>
      </c>
      <c r="L8" s="12">
        <v>128</v>
      </c>
      <c r="M8" s="70">
        <f t="shared" si="4"/>
        <v>0.51200000000000001</v>
      </c>
      <c r="N8" s="12">
        <f t="shared" ref="N8:N29" si="5">K8-L8</f>
        <v>122</v>
      </c>
      <c r="O8" s="14">
        <f t="shared" ref="O8:O29" si="6">N8/$D$2</f>
        <v>20.333333333333332</v>
      </c>
      <c r="P8" s="71">
        <f t="shared" si="2"/>
        <v>1.3617021276595744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28+9+9+5+6+4+3+5</f>
        <v>69</v>
      </c>
      <c r="J10" s="69">
        <f t="shared" si="3"/>
        <v>0.6216216216216216</v>
      </c>
      <c r="K10" s="11">
        <v>2300</v>
      </c>
      <c r="L10" s="12">
        <v>1655</v>
      </c>
      <c r="M10" s="70">
        <f t="shared" si="4"/>
        <v>0.7195652173913043</v>
      </c>
      <c r="N10" s="12">
        <f t="shared" si="5"/>
        <v>645</v>
      </c>
      <c r="O10" s="14">
        <f t="shared" si="6"/>
        <v>107.5</v>
      </c>
      <c r="P10" s="71">
        <f t="shared" si="2"/>
        <v>23.985507246376812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f>82+12+14+10+10</f>
        <v>128</v>
      </c>
      <c r="J11" s="69">
        <f t="shared" si="3"/>
        <v>0.39751552795031053</v>
      </c>
      <c r="K11" s="11">
        <v>450</v>
      </c>
      <c r="L11" s="12">
        <f>106+16+15+38+16+18+9+16+11+14+12+8</f>
        <v>279</v>
      </c>
      <c r="M11" s="70">
        <f t="shared" si="4"/>
        <v>0.62</v>
      </c>
      <c r="N11" s="12">
        <f t="shared" si="5"/>
        <v>171</v>
      </c>
      <c r="O11" s="14">
        <f t="shared" si="6"/>
        <v>28.5</v>
      </c>
      <c r="P11" s="71">
        <f t="shared" si="2"/>
        <v>2.1796875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f>80+8+10+8+12</f>
        <v>118</v>
      </c>
      <c r="J12" s="69">
        <f t="shared" si="3"/>
        <v>0.37942122186495175</v>
      </c>
      <c r="K12" s="11">
        <v>300</v>
      </c>
      <c r="L12" s="12">
        <f>100+8+8+6+8+8+6+8+11+8+12+23</f>
        <v>206</v>
      </c>
      <c r="M12" s="70">
        <f t="shared" si="4"/>
        <v>0.68666666666666665</v>
      </c>
      <c r="N12" s="12">
        <f t="shared" si="5"/>
        <v>94</v>
      </c>
      <c r="O12" s="14">
        <f t="shared" si="6"/>
        <v>15.666666666666666</v>
      </c>
      <c r="P12" s="71">
        <f t="shared" si="2"/>
        <v>1.7457627118644068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f>68+10+4+5+8</f>
        <v>95</v>
      </c>
      <c r="J13" s="69">
        <f t="shared" si="3"/>
        <v>0.6785714285714286</v>
      </c>
      <c r="K13" s="11">
        <v>250</v>
      </c>
      <c r="L13" s="12">
        <f>50+10+10+4+5+5+3.5+8+4+10+5</f>
        <v>114.5</v>
      </c>
      <c r="M13" s="70">
        <f t="shared" si="4"/>
        <v>0.45800000000000002</v>
      </c>
      <c r="N13" s="12">
        <f t="shared" si="5"/>
        <v>135.5</v>
      </c>
      <c r="O13" s="14">
        <f t="shared" si="6"/>
        <v>22.583333333333332</v>
      </c>
      <c r="P13" s="71">
        <f t="shared" si="2"/>
        <v>1.2052631578947368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1.6666666666666667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4.166666666666667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 t="e">
        <f t="shared" si="2"/>
        <v>#DIV/0!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976</v>
      </c>
      <c r="J17" s="75">
        <f t="shared" si="3"/>
        <v>0.39149618933012437</v>
      </c>
      <c r="K17" s="76">
        <f>SUM(K4:K16)</f>
        <v>5300</v>
      </c>
      <c r="L17" s="77">
        <f>SUM(L4:L16)</f>
        <v>3104.55</v>
      </c>
      <c r="M17" s="78">
        <f t="shared" si="4"/>
        <v>0.58576415094339629</v>
      </c>
      <c r="N17" s="77">
        <f t="shared" si="5"/>
        <v>2195.4499999999998</v>
      </c>
      <c r="O17" s="79">
        <f t="shared" si="6"/>
        <v>365.9083333333333</v>
      </c>
      <c r="P17" s="80">
        <f>L17/I17</f>
        <v>3.1808913934426233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70.95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70.95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70.95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70.95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70.95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70.95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70.95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70.95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70.95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70.95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70.95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985</v>
      </c>
      <c r="J29" s="83">
        <f t="shared" si="3"/>
        <v>0.39368505195843323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70.95</v>
      </c>
      <c r="P29" s="88">
        <f>L29/I29</f>
        <v>0.17695431472081219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2026-10-26T05:34:23Z</dcterms:modified>
</cp:coreProperties>
</file>