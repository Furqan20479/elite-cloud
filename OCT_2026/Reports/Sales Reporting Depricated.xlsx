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5435E919-C678-459C-A3A5-20D9B75B20B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2" l="1"/>
  <c r="I12" i="2"/>
  <c r="I11" i="2"/>
  <c r="L13" i="2"/>
  <c r="L12" i="2"/>
  <c r="L11" i="2"/>
  <c r="I10" i="2"/>
  <c r="I8" i="2"/>
  <c r="I7" i="2"/>
  <c r="I5" i="2"/>
  <c r="I4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<sst xmlns="http://schemas.openxmlformats.org/spreadsheetml/2006/main" count="363" uniqueCount="77">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</sst>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E1" zoomScale="85" zoomScaleNormal="85" workbookViewId="0">
      <selection activeCell="L12" sqref="L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2" workbookViewId="0">
      <selection activeCell="F11" sqref="F11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19</v>
      </c>
      <c r="C2" s="62">
        <f>+B2/A2</f>
        <v>0.70370370370370372</v>
      </c>
      <c r="D2" s="91">
        <f>+A2-B2</f>
        <v>8</v>
      </c>
      <c r="F2" s="89">
        <v>46317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15+13+9+11+10+11+8+12+12+8+10+12+7+29</f>
        <v>167</v>
      </c>
      <c r="J4" s="67">
        <f>IFERROR(I4/G4,0)</f>
        <v>0.51384615384615384</v>
      </c>
      <c r="K4" s="7">
        <v>450</v>
      </c>
      <c r="L4" s="8">
        <v>228.45</v>
      </c>
      <c r="M4" s="82">
        <f>IFERROR(L4/K4,0)</f>
        <v>0.5076666666666666</v>
      </c>
      <c r="N4" s="8">
        <f t="shared" ref="N4:N7" si="0">K4-L4</f>
        <v>221.55</v>
      </c>
      <c r="O4" s="10">
        <f t="shared" ref="O4:O7" si="1">N4/$D$2</f>
        <v>27.693750000000001</v>
      </c>
      <c r="P4" s="68">
        <f t="shared" ref="P4:P16" si="2">L4/I4</f>
        <v>1.3679640718562873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6+5+5+3+3+4+3+5+10+19+20+23+20+14+13</f>
        <v>153</v>
      </c>
      <c r="J5" s="69">
        <f t="shared" ref="J5:J29" si="3">IFERROR(I5/G5,0)</f>
        <v>0.64556962025316456</v>
      </c>
      <c r="K5" s="11">
        <v>350</v>
      </c>
      <c r="L5" s="12">
        <v>141.42500000000001</v>
      </c>
      <c r="M5" s="70">
        <f t="shared" ref="M5:M29" si="4">IFERROR(L5/K5,0)</f>
        <v>0.40407142857142858</v>
      </c>
      <c r="N5" s="12">
        <f t="shared" si="0"/>
        <v>208.57499999999999</v>
      </c>
      <c r="O5" s="14">
        <f t="shared" si="1"/>
        <v>26.071874999999999</v>
      </c>
      <c r="P5" s="71">
        <f t="shared" si="2"/>
        <v>0.92434640522875822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40.084375000000001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2+2+6+4+9+7+8+1+6+6+8+4+4</f>
        <v>67</v>
      </c>
      <c r="J7" s="69">
        <f t="shared" si="3"/>
        <v>0.2326388888888889</v>
      </c>
      <c r="K7" s="11">
        <v>250</v>
      </c>
      <c r="L7" s="12">
        <v>96.474999999999994</v>
      </c>
      <c r="M7" s="70">
        <f t="shared" si="4"/>
        <v>0.38589999999999997</v>
      </c>
      <c r="N7" s="12">
        <f t="shared" si="0"/>
        <v>153.52500000000001</v>
      </c>
      <c r="O7" s="14">
        <f t="shared" si="1"/>
        <v>19.190625000000001</v>
      </c>
      <c r="P7" s="71">
        <f t="shared" si="2"/>
        <v>1.4399253731343282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3+6+7+6+6+3+5+8+6+4+6+10+10</f>
        <v>80</v>
      </c>
      <c r="J8" s="69">
        <f t="shared" si="3"/>
        <v>0.22408963585434175</v>
      </c>
      <c r="K8" s="11">
        <v>250</v>
      </c>
      <c r="L8" s="12">
        <v>112.95</v>
      </c>
      <c r="M8" s="70">
        <f t="shared" si="4"/>
        <v>0.45180000000000003</v>
      </c>
      <c r="N8" s="12">
        <f t="shared" ref="N8:N29" si="5">K8-L8</f>
        <v>137.05000000000001</v>
      </c>
      <c r="O8" s="14">
        <f t="shared" ref="O8:O29" si="6">N8/$D$2</f>
        <v>17.131250000000001</v>
      </c>
      <c r="P8" s="71">
        <f t="shared" si="2"/>
        <v>1.411875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28+9+9+5+6+4</f>
        <v>61</v>
      </c>
      <c r="J10" s="69">
        <f t="shared" si="3"/>
        <v>0.5495495495495496</v>
      </c>
      <c r="K10" s="11">
        <v>2300</v>
      </c>
      <c r="L10" s="12">
        <v>1504</v>
      </c>
      <c r="M10" s="70">
        <f t="shared" si="4"/>
        <v>0.65391304347826085</v>
      </c>
      <c r="N10" s="12">
        <f t="shared" si="5"/>
        <v>796</v>
      </c>
      <c r="O10" s="14">
        <f t="shared" si="6"/>
        <v>99.5</v>
      </c>
      <c r="P10" s="71">
        <f t="shared" si="2"/>
        <v>24.655737704918032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f>82+12+14</f>
        <v>108</v>
      </c>
      <c r="J11" s="69">
        <f t="shared" si="3"/>
        <v>0.33540372670807456</v>
      </c>
      <c r="K11" s="11">
        <v>450</v>
      </c>
      <c r="L11" s="12">
        <f>106+16+15+38+16+18+9+16+11+14</f>
        <v>259</v>
      </c>
      <c r="M11" s="70">
        <f t="shared" si="4"/>
        <v>0.5755555555555556</v>
      </c>
      <c r="N11" s="12">
        <f t="shared" si="5"/>
        <v>191</v>
      </c>
      <c r="O11" s="14">
        <f t="shared" si="6"/>
        <v>23.875</v>
      </c>
      <c r="P11" s="71">
        <f t="shared" si="2"/>
        <v>2.3981481481481484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f>80+8+10</f>
        <v>98</v>
      </c>
      <c r="J12" s="69">
        <f t="shared" si="3"/>
        <v>0.31511254019292606</v>
      </c>
      <c r="K12" s="11">
        <v>300</v>
      </c>
      <c r="L12" s="12">
        <f>100+8+8+6+8+8+6+8+11+8</f>
        <v>171</v>
      </c>
      <c r="M12" s="70">
        <f t="shared" si="4"/>
        <v>0.56999999999999995</v>
      </c>
      <c r="N12" s="12">
        <f t="shared" si="5"/>
        <v>129</v>
      </c>
      <c r="O12" s="14">
        <f t="shared" si="6"/>
        <v>16.125</v>
      </c>
      <c r="P12" s="71">
        <f t="shared" si="2"/>
        <v>1.7448979591836735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f>68+10+4</f>
        <v>82</v>
      </c>
      <c r="J13" s="69">
        <f t="shared" si="3"/>
        <v>0.58571428571428574</v>
      </c>
      <c r="K13" s="11">
        <v>250</v>
      </c>
      <c r="L13" s="12">
        <f>50+10+10+4+5+5+3.5+8+4</f>
        <v>99.5</v>
      </c>
      <c r="M13" s="70">
        <f t="shared" si="4"/>
        <v>0.39800000000000002</v>
      </c>
      <c r="N13" s="12">
        <f t="shared" si="5"/>
        <v>150.5</v>
      </c>
      <c r="O13" s="14">
        <f t="shared" si="6"/>
        <v>18.8125</v>
      </c>
      <c r="P13" s="71">
        <f t="shared" si="2"/>
        <v>1.2134146341463414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1.25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3.125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 t="e">
        <f t="shared" si="2"/>
        <v>#DIV/0!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837</v>
      </c>
      <c r="J17" s="75">
        <f t="shared" si="3"/>
        <v>0.33574007220216606</v>
      </c>
      <c r="K17" s="76">
        <f>SUM(K4:K16)</f>
        <v>5300</v>
      </c>
      <c r="L17" s="77">
        <f>SUM(L4:L16)</f>
        <v>2807.125</v>
      </c>
      <c r="M17" s="78">
        <f t="shared" si="4"/>
        <v>0.52964622641509429</v>
      </c>
      <c r="N17" s="77">
        <f t="shared" si="5"/>
        <v>2492.875</v>
      </c>
      <c r="O17" s="79">
        <f t="shared" si="6"/>
        <v>311.609375</v>
      </c>
      <c r="P17" s="80">
        <f>L17/I17</f>
        <v>3.3537933094384709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53.212499999999999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53.212499999999999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53.212499999999999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53.212499999999999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53.212499999999999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53.212499999999999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53.212499999999999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53.212499999999999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53.212499999999999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53.212499999999999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53.212499999999999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846</v>
      </c>
      <c r="J29" s="83">
        <f t="shared" si="3"/>
        <v>0.33812949640287771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53.212499999999999</v>
      </c>
      <c r="P29" s="88">
        <f>L29/I29</f>
        <v>0.20602836879432626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2026-10-23T05:07:57Z</dcterms:modified>
</cp:coreProperties>
</file>