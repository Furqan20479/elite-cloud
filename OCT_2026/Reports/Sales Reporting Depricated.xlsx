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EADE0765-E87E-4D61-A4F4-1BC7E9A52210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2" l="1"/>
  <c r="L12" i="2"/>
  <c r="L11" i="2"/>
  <c r="I13" i="2"/>
  <c r="I12" i="2"/>
  <c r="I11" i="2"/>
  <c r="I10" i="2"/>
  <c r="I7" i="2"/>
  <c r="I5" i="2"/>
  <c r="I4" i="2"/>
  <c r="I8" i="2" l="1"/>
  <c r="M4" i="2" l="1"/>
  <c r="N4" i="2"/>
  <c r="P4" i="2"/>
  <c r="L20" i="1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D2" i="2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O9" i="2" l="1"/>
  <c r="O4" i="2"/>
  <c r="R31" i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<sst xmlns="http://schemas.openxmlformats.org/spreadsheetml/2006/main" count="363" uniqueCount="77">
  <si>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</si>
  <si>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</si>
  <si>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</si>
  <si>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</si>
  <si>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</si>
  <si>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</si>
  <si>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</si>
  <si>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</si>
  <si>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</si>
  <si>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</si>
  <si>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</si>
  <si>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</si>
  <si>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</si>
  <si>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</si>
  <si>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</si>
  <si>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</si>
  <si>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</si>
  <si>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</si>
  <si>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</si>
  <si>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</si>
  <si>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</si>
  <si>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</si>
  <si>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</si>
  <si>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</si>
  <si>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</si>
  <si>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</si>
  <si>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</si>
  <si>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</si>
  <si>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</si>
  <si>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</si>
  <si>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</si>
  <si>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</si>
  <si>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</si>
  <si>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</si>
  <si>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</si>
  <si>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</si>
  <si>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</si>
  <si>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</si>
  <si>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</si>
  <si>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</si>
  <si>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</si>
  <si>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</si>
  <si>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</si>
  <si>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</si>
  <si>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</si>
  <si>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</si>
  <si>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</si>
  <si>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</si>
  <si>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</si>
  <si>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</si>
  <si>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</si>
  <si>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</si>
  <si>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</si>
  <si>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</si>
  <si>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</si>
  <si>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</si>
  <si>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</si>
  <si>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</si>
  <si>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</si>
  <si>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</si>
  <si>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</si>
  <si>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</si>
  <si>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</si>
  <si>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</si>
  <si>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</si>
  <si>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</si>
  <si>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</si>
  <si>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</si>
  <si>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</si>
  <si>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</si>
  <si>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</si>
  <si>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</si>
  <si>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</si>
  <si>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Abdullah Traders SD</t>
  </si>
  <si>
    <t>Kasur SD</t>
  </si>
  <si>
    <t>Nabeel Traders SD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</si>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</sst>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E1" zoomScale="85" zoomScaleNormal="85" workbookViewId="0">
      <selection activeCell="L12" sqref="L12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46312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10</v>
      </c>
      <c r="J4" s="32">
        <f>IFERROR(I4/G4,0)</f>
        <v>0.2</v>
      </c>
      <c r="K4" s="30">
        <v>40</v>
      </c>
      <c r="L4" s="12">
        <v>11.5</v>
      </c>
      <c r="M4" s="32">
        <f>IFERROR(L4/K4,0)</f>
        <v>0.28749999999999998</v>
      </c>
      <c r="N4" s="90">
        <f>IFERROR(L4/I4,0)</f>
        <v>1.1499999999999999</v>
      </c>
      <c r="O4" s="33"/>
      <c r="P4" s="30">
        <v>14</v>
      </c>
      <c r="Q4" s="31">
        <v>14</v>
      </c>
      <c r="R4" s="32">
        <f>IFERROR(Q4/P4,0)</f>
        <v>1</v>
      </c>
      <c r="S4" s="30">
        <v>14</v>
      </c>
      <c r="T4" s="31">
        <v>14</v>
      </c>
      <c r="U4" s="32">
        <f>IFERROR(T4/S4,0)</f>
        <v>1</v>
      </c>
      <c r="V4" s="90">
        <f>IFERROR(T4/Q4,0)</f>
        <v>1</v>
      </c>
      <c r="W4" s="33"/>
      <c r="X4" s="103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20</v>
      </c>
      <c r="J5" s="13">
        <f t="shared" ref="J5:J32" si="0">IFERROR(I5/G5,0)</f>
        <v>0.4</v>
      </c>
      <c r="K5" s="11">
        <v>30</v>
      </c>
      <c r="L5" s="12">
        <v>12.025</v>
      </c>
      <c r="M5" s="70">
        <f t="shared" ref="M5:M32" si="1">IFERROR(L5/K5,0)</f>
        <v>0.40083333333333332</v>
      </c>
      <c r="N5" s="71">
        <f t="shared" ref="N5:N32" si="2">IFERROR(L5/I5,0)</f>
        <v>0.60125000000000006</v>
      </c>
      <c r="O5" s="14"/>
      <c r="P5" s="11">
        <v>20</v>
      </c>
      <c r="Q5" s="12">
        <v>19</v>
      </c>
      <c r="R5" s="13">
        <f t="shared" ref="R5:R32" si="3">IFERROR(Q5/P5,0)</f>
        <v>0.95</v>
      </c>
      <c r="S5" s="11">
        <v>10</v>
      </c>
      <c r="T5" s="12">
        <v>9</v>
      </c>
      <c r="U5" s="13">
        <f t="shared" ref="U5:U32" si="4">IFERROR(T5/S5,0)</f>
        <v>0.9</v>
      </c>
      <c r="V5" s="11">
        <f t="shared" ref="V5:V32" si="5">IFERROR(T5/Q5,0)</f>
        <v>0.47368421052631576</v>
      </c>
      <c r="W5" s="14"/>
      <c r="X5" s="103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>
        <v>0</v>
      </c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/>
      <c r="T6" s="12"/>
      <c r="U6" s="13">
        <f t="shared" si="4"/>
        <v>0</v>
      </c>
      <c r="V6" s="11">
        <f t="shared" si="5"/>
        <v>0</v>
      </c>
      <c r="W6" s="14"/>
      <c r="X6" s="103" t="s">
        <v>76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7</v>
      </c>
      <c r="J7" s="13">
        <f t="shared" si="0"/>
        <v>0.14000000000000001</v>
      </c>
      <c r="K7" s="11">
        <v>30</v>
      </c>
      <c r="L7" s="12">
        <v>8.6750000000000007</v>
      </c>
      <c r="M7" s="70">
        <f t="shared" si="1"/>
        <v>0.28916666666666668</v>
      </c>
      <c r="N7" s="71">
        <f t="shared" si="2"/>
        <v>1.2392857142857143</v>
      </c>
      <c r="O7" s="14"/>
      <c r="P7" s="11">
        <v>10</v>
      </c>
      <c r="Q7" s="12">
        <v>1</v>
      </c>
      <c r="R7" s="13">
        <f t="shared" si="3"/>
        <v>0.1</v>
      </c>
      <c r="S7" s="11">
        <v>9</v>
      </c>
      <c r="T7" s="12">
        <v>1</v>
      </c>
      <c r="U7" s="13">
        <f t="shared" si="4"/>
        <v>0.1111111111111111</v>
      </c>
      <c r="V7" s="11">
        <f t="shared" si="5"/>
        <v>1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22.45</v>
      </c>
      <c r="M8" s="70">
        <f t="shared" si="1"/>
        <v>1.1225000000000001</v>
      </c>
      <c r="N8" s="71">
        <f t="shared" si="2"/>
        <v>3.7416666666666667</v>
      </c>
      <c r="O8" s="14"/>
      <c r="P8" s="11">
        <v>8</v>
      </c>
      <c r="Q8" s="12">
        <v>7</v>
      </c>
      <c r="R8" s="13">
        <f t="shared" si="3"/>
        <v>0.875</v>
      </c>
      <c r="S8" s="11">
        <v>8</v>
      </c>
      <c r="T8" s="12">
        <v>6</v>
      </c>
      <c r="U8" s="13">
        <f t="shared" si="4"/>
        <v>0.75</v>
      </c>
      <c r="V8" s="11">
        <f t="shared" si="5"/>
        <v>0.8571428571428571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>
        <v>0</v>
      </c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/>
      <c r="T9" s="12"/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7</v>
      </c>
      <c r="J10" s="13">
        <f t="shared" si="0"/>
        <v>0.7</v>
      </c>
      <c r="K10" s="11">
        <v>20</v>
      </c>
      <c r="L10" s="12">
        <v>110</v>
      </c>
      <c r="M10" s="70">
        <f t="shared" si="1"/>
        <v>5.5</v>
      </c>
      <c r="N10" s="71">
        <f t="shared" si="2"/>
        <v>15.714285714285714</v>
      </c>
      <c r="O10" s="14"/>
      <c r="P10" s="11">
        <v>11</v>
      </c>
      <c r="Q10" s="12">
        <v>7</v>
      </c>
      <c r="R10" s="13">
        <f t="shared" si="3"/>
        <v>0.63636363636363635</v>
      </c>
      <c r="S10" s="11">
        <v>250</v>
      </c>
      <c r="T10" s="12">
        <v>215</v>
      </c>
      <c r="U10" s="13">
        <f t="shared" si="4"/>
        <v>0.86</v>
      </c>
      <c r="V10" s="11">
        <f t="shared" si="5"/>
        <v>30.714285714285715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20</v>
      </c>
      <c r="J11" s="13">
        <f t="shared" si="0"/>
        <v>0.4</v>
      </c>
      <c r="K11" s="11">
        <v>20</v>
      </c>
      <c r="L11" s="12">
        <v>18</v>
      </c>
      <c r="M11" s="70">
        <f t="shared" si="1"/>
        <v>0.9</v>
      </c>
      <c r="N11" s="71">
        <f t="shared" si="2"/>
        <v>0.9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10</v>
      </c>
      <c r="J12" s="13">
        <f t="shared" si="0"/>
        <v>0.2</v>
      </c>
      <c r="K12" s="11">
        <v>30</v>
      </c>
      <c r="L12" s="12">
        <v>8</v>
      </c>
      <c r="M12" s="13">
        <f t="shared" si="1"/>
        <v>0.26666666666666666</v>
      </c>
      <c r="N12" s="11">
        <f t="shared" si="2"/>
        <v>0.8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6</v>
      </c>
      <c r="J13" s="13">
        <f t="shared" si="0"/>
        <v>0.12</v>
      </c>
      <c r="K13" s="11">
        <v>30</v>
      </c>
      <c r="L13" s="12">
        <v>5</v>
      </c>
      <c r="M13" s="13">
        <f t="shared" si="1"/>
        <v>0.16666666666666666</v>
      </c>
      <c r="N13" s="11">
        <f t="shared" si="2"/>
        <v>0.83333333333333337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75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>
        <v>1</v>
      </c>
      <c r="Q19" s="37">
        <v>1</v>
      </c>
      <c r="R19" s="38">
        <f t="shared" si="3"/>
        <v>1</v>
      </c>
      <c r="S19" s="36">
        <v>196</v>
      </c>
      <c r="T19" s="37">
        <v>196</v>
      </c>
      <c r="U19" s="38">
        <f t="shared" si="4"/>
        <v>1</v>
      </c>
      <c r="V19" s="36">
        <f t="shared" si="5"/>
        <v>196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461</v>
      </c>
      <c r="H20" s="41">
        <f>SUM(H4:H19)</f>
        <v>350</v>
      </c>
      <c r="I20" s="41">
        <f>SUM(I4:I19)</f>
        <v>86</v>
      </c>
      <c r="J20" s="42">
        <f t="shared" si="0"/>
        <v>0.18655097613882862</v>
      </c>
      <c r="K20" s="40">
        <f t="shared" ref="K20" si="6">SUM(K4:K19)</f>
        <v>329</v>
      </c>
      <c r="L20" s="40">
        <f>SUM(L4:L19)</f>
        <v>199.65</v>
      </c>
      <c r="M20" s="42">
        <f t="shared" si="1"/>
        <v>0.60683890577507604</v>
      </c>
      <c r="N20" s="40">
        <f t="shared" si="2"/>
        <v>2.3215116279069767</v>
      </c>
      <c r="O20" s="43" t="e">
        <f>AVERAGE(O4:O19)</f>
        <v>#DIV/0!</v>
      </c>
      <c r="P20" s="40">
        <f t="shared" ref="P20" si="7">SUM(P4:P19)</f>
        <v>91</v>
      </c>
      <c r="Q20" s="41">
        <f t="shared" ref="Q20" si="8">SUM(Q4:Q19)</f>
        <v>76</v>
      </c>
      <c r="R20" s="42">
        <f t="shared" si="3"/>
        <v>0.8351648351648352</v>
      </c>
      <c r="S20" s="40">
        <f t="shared" ref="S20" si="9">SUM(S4:S19)</f>
        <v>514</v>
      </c>
      <c r="T20" s="41">
        <f t="shared" ref="T20" si="10">SUM(T4:T19)</f>
        <v>468</v>
      </c>
      <c r="U20" s="42">
        <f t="shared" si="4"/>
        <v>0.91050583657587547</v>
      </c>
      <c r="V20" s="40">
        <f t="shared" si="5"/>
        <v>6.1578947368421053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86</v>
      </c>
      <c r="J32" s="22">
        <f t="shared" si="0"/>
        <v>0.18297872340425531</v>
      </c>
      <c r="K32" s="20">
        <v>1</v>
      </c>
      <c r="L32" s="21">
        <v>1</v>
      </c>
      <c r="M32" s="22">
        <f t="shared" si="1"/>
        <v>1</v>
      </c>
      <c r="N32" s="20">
        <f t="shared" si="2"/>
        <v>1.1627906976744186E-2</v>
      </c>
      <c r="O32" s="23" t="e">
        <f>AVERAGE(O31,O20,O26)</f>
        <v>#DIV/0!</v>
      </c>
      <c r="P32" s="20">
        <f>+P31+P26+P20</f>
        <v>100</v>
      </c>
      <c r="Q32" s="21">
        <f t="shared" ref="Q32" si="18">+Q31+Q26+Q20</f>
        <v>85</v>
      </c>
      <c r="R32" s="22">
        <f t="shared" si="3"/>
        <v>0.85</v>
      </c>
      <c r="S32" s="20">
        <f>+S31+S26+S20</f>
        <v>523</v>
      </c>
      <c r="T32" s="21">
        <f t="shared" ref="T32" si="19">+T31+T26+T20</f>
        <v>477</v>
      </c>
      <c r="U32" s="22">
        <f t="shared" si="4"/>
        <v>0.91204588910133844</v>
      </c>
      <c r="V32" s="20">
        <f t="shared" si="5"/>
        <v>5.6117647058823525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D2" workbookViewId="0">
      <selection activeCell="G7" sqref="G7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22</v>
      </c>
      <c r="C2" s="62">
        <f>+B2/A2</f>
        <v>0.81481481481481477</v>
      </c>
      <c r="D2" s="91">
        <f>+A2-B2</f>
        <v>5</v>
      </c>
      <c r="F2" s="89">
        <v>46321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15+13+9+11+10+11+8+12+12+8+10+12+7+29+20+17+13</f>
        <v>217</v>
      </c>
      <c r="J4" s="67">
        <f>IFERROR(I4/G4,0)</f>
        <v>0.6676923076923077</v>
      </c>
      <c r="K4" s="7">
        <v>450</v>
      </c>
      <c r="L4" s="8">
        <v>273.95</v>
      </c>
      <c r="M4" s="82">
        <f>IFERROR(L4/K4,0)</f>
        <v>0.60877777777777775</v>
      </c>
      <c r="N4" s="8">
        <f t="shared" ref="N4:N7" si="0">K4-L4</f>
        <v>176.05</v>
      </c>
      <c r="O4" s="10">
        <f t="shared" ref="O4:O7" si="1">N4/$D$2</f>
        <v>35.21</v>
      </c>
      <c r="P4" s="68">
        <f t="shared" ref="P4:P16" si="2">L4/I4</f>
        <v>1.262442396313364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6+5+5+3+3+4+3+5+10+19+20+23+20+14+13+14+7</f>
        <v>174</v>
      </c>
      <c r="J5" s="69">
        <f t="shared" ref="J5:J29" si="3">IFERROR(I5/G5,0)</f>
        <v>0.73417721518987344</v>
      </c>
      <c r="K5" s="11">
        <v>350</v>
      </c>
      <c r="L5" s="12">
        <v>157.47499999999999</v>
      </c>
      <c r="M5" s="70">
        <f t="shared" ref="M5:M29" si="4">IFERROR(L5/K5,0)</f>
        <v>0.4499285714285714</v>
      </c>
      <c r="N5" s="12">
        <f t="shared" si="0"/>
        <v>192.52500000000001</v>
      </c>
      <c r="O5" s="14">
        <f t="shared" si="1"/>
        <v>38.505000000000003</v>
      </c>
      <c r="P5" s="71">
        <f t="shared" si="2"/>
        <v>0.90502873563218389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v>19</v>
      </c>
      <c r="J6" s="69">
        <f t="shared" si="3"/>
        <v>7.5999999999999998E-2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64.135000000000005</v>
      </c>
      <c r="P6" s="71">
        <f t="shared" si="2"/>
        <v>1.5434210526315788</v>
      </c>
      <c r="Q6" s="14"/>
      <c r="R6" s="102" t="s">
        <v>72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2+2+6+4+9+7+8+1+6+6+8+4+4+5+8+5</f>
        <v>85</v>
      </c>
      <c r="J7" s="69">
        <f t="shared" si="3"/>
        <v>0.2951388888888889</v>
      </c>
      <c r="K7" s="11">
        <v>250</v>
      </c>
      <c r="L7" s="12">
        <v>129.85</v>
      </c>
      <c r="M7" s="70">
        <f t="shared" si="4"/>
        <v>0.51939999999999997</v>
      </c>
      <c r="N7" s="12">
        <f t="shared" si="0"/>
        <v>120.15</v>
      </c>
      <c r="O7" s="14">
        <f t="shared" si="1"/>
        <v>24.03</v>
      </c>
      <c r="P7" s="71">
        <f t="shared" si="2"/>
        <v>1.5276470588235294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3+6+7+6+6+3+5+8+6+4+6+10+10+9+5</f>
        <v>94</v>
      </c>
      <c r="J8" s="69">
        <f t="shared" si="3"/>
        <v>0.26330532212885155</v>
      </c>
      <c r="K8" s="11">
        <v>250</v>
      </c>
      <c r="L8" s="12">
        <v>128</v>
      </c>
      <c r="M8" s="70">
        <f t="shared" si="4"/>
        <v>0.51200000000000001</v>
      </c>
      <c r="N8" s="12">
        <f t="shared" ref="N8:N29" si="5">K8-L8</f>
        <v>122</v>
      </c>
      <c r="O8" s="14">
        <f t="shared" ref="O8:O29" si="6">N8/$D$2</f>
        <v>24.4</v>
      </c>
      <c r="P8" s="71">
        <f t="shared" si="2"/>
        <v>1.3617021276595744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f>28+9+9+5+6+4+3+5+2</f>
        <v>71</v>
      </c>
      <c r="J10" s="69">
        <f t="shared" si="3"/>
        <v>0.63963963963963966</v>
      </c>
      <c r="K10" s="11">
        <v>2300</v>
      </c>
      <c r="L10" s="12">
        <v>1668</v>
      </c>
      <c r="M10" s="70">
        <f t="shared" si="4"/>
        <v>0.72521739130434781</v>
      </c>
      <c r="N10" s="12">
        <f t="shared" si="5"/>
        <v>632</v>
      </c>
      <c r="O10" s="14">
        <f t="shared" si="6"/>
        <v>126.4</v>
      </c>
      <c r="P10" s="71">
        <f t="shared" si="2"/>
        <v>23.492957746478872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f>82+12+14+10+10+12</f>
        <v>140</v>
      </c>
      <c r="J11" s="69">
        <f t="shared" si="3"/>
        <v>0.43478260869565216</v>
      </c>
      <c r="K11" s="11">
        <v>450</v>
      </c>
      <c r="L11" s="12">
        <f>106+16+15+38+16+18+9+16+11+14+12+8+14</f>
        <v>293</v>
      </c>
      <c r="M11" s="70">
        <f t="shared" si="4"/>
        <v>0.65111111111111108</v>
      </c>
      <c r="N11" s="12">
        <f t="shared" si="5"/>
        <v>157</v>
      </c>
      <c r="O11" s="14">
        <f t="shared" si="6"/>
        <v>31.4</v>
      </c>
      <c r="P11" s="71">
        <f t="shared" si="2"/>
        <v>2.092857142857143</v>
      </c>
      <c r="Q11" s="14"/>
      <c r="R11" s="10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f>80+8+10+8+12+15</f>
        <v>133</v>
      </c>
      <c r="J12" s="69">
        <f t="shared" si="3"/>
        <v>0.42765273311897106</v>
      </c>
      <c r="K12" s="11">
        <v>300</v>
      </c>
      <c r="L12" s="12">
        <f>100+8+8+6+8+8+6+8+11+8+12+23+15</f>
        <v>221</v>
      </c>
      <c r="M12" s="70">
        <f t="shared" si="4"/>
        <v>0.73666666666666669</v>
      </c>
      <c r="N12" s="12">
        <f t="shared" si="5"/>
        <v>79</v>
      </c>
      <c r="O12" s="14">
        <f t="shared" si="6"/>
        <v>15.8</v>
      </c>
      <c r="P12" s="71">
        <f t="shared" si="2"/>
        <v>1.6616541353383458</v>
      </c>
      <c r="Q12" s="14"/>
      <c r="R12" s="10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f>68+10+4+5+8+8</f>
        <v>103</v>
      </c>
      <c r="J13" s="69">
        <f t="shared" si="3"/>
        <v>0.73571428571428577</v>
      </c>
      <c r="K13" s="11">
        <v>250</v>
      </c>
      <c r="L13" s="12">
        <f>50+10+10+4+5+5+3.5+8+4+10+5+8</f>
        <v>122.5</v>
      </c>
      <c r="M13" s="70">
        <f t="shared" si="4"/>
        <v>0.49</v>
      </c>
      <c r="N13" s="12">
        <f t="shared" si="5"/>
        <v>127.5</v>
      </c>
      <c r="O13" s="14">
        <f t="shared" si="6"/>
        <v>25.5</v>
      </c>
      <c r="P13" s="71">
        <f t="shared" si="2"/>
        <v>1.1893203883495145</v>
      </c>
      <c r="Q13" s="14"/>
      <c r="R13" s="10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74</v>
      </c>
      <c r="G14" s="11">
        <v>1</v>
      </c>
      <c r="H14" s="71"/>
      <c r="I14" s="12">
        <v>1</v>
      </c>
      <c r="J14" s="69">
        <f t="shared" si="3"/>
        <v>1</v>
      </c>
      <c r="K14" s="11">
        <v>100</v>
      </c>
      <c r="L14" s="12">
        <v>90</v>
      </c>
      <c r="M14" s="70">
        <f t="shared" si="4"/>
        <v>0.9</v>
      </c>
      <c r="N14" s="12">
        <f t="shared" si="5"/>
        <v>10</v>
      </c>
      <c r="O14" s="14">
        <f t="shared" si="6"/>
        <v>2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73</v>
      </c>
      <c r="G15" s="11">
        <v>1</v>
      </c>
      <c r="H15" s="71"/>
      <c r="I15" s="12">
        <v>1</v>
      </c>
      <c r="J15" s="69">
        <f t="shared" si="3"/>
        <v>1</v>
      </c>
      <c r="K15" s="11">
        <v>100</v>
      </c>
      <c r="L15" s="12">
        <v>75</v>
      </c>
      <c r="M15" s="70">
        <f t="shared" si="4"/>
        <v>0.75</v>
      </c>
      <c r="N15" s="12">
        <f t="shared" si="5"/>
        <v>25</v>
      </c>
      <c r="O15" s="14">
        <f t="shared" si="6"/>
        <v>5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/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 t="e">
        <f t="shared" si="2"/>
        <v>#DIV/0!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SUM(I4:I16)</f>
        <v>1038</v>
      </c>
      <c r="J17" s="75">
        <f t="shared" si="3"/>
        <v>0.41636582430806257</v>
      </c>
      <c r="K17" s="76">
        <f>SUM(K4:K16)</f>
        <v>5300</v>
      </c>
      <c r="L17" s="77">
        <f>SUM(L4:L16)</f>
        <v>3188.1</v>
      </c>
      <c r="M17" s="78">
        <f t="shared" si="4"/>
        <v>0.6015283018867924</v>
      </c>
      <c r="N17" s="77">
        <f t="shared" si="5"/>
        <v>2111.9</v>
      </c>
      <c r="O17" s="79">
        <f t="shared" si="6"/>
        <v>422.38</v>
      </c>
      <c r="P17" s="80">
        <f>L17/I17</f>
        <v>3.0713872832369939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85.14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85.14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85.14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85.14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85.14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85.14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85.14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85.14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85.14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85.14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85.14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1047</v>
      </c>
      <c r="J29" s="83">
        <f t="shared" si="3"/>
        <v>0.41846522781774581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85.14</v>
      </c>
      <c r="P29" s="88">
        <f>L29/I29</f>
        <v>0.16647564469914042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2026-10-27T05:18:23Z</dcterms:modified>
</cp:coreProperties>
</file>