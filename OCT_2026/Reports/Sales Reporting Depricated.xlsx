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734DB01-A343-4821-B943-1343784D80BE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0" i="2"/>
  <c r="I8" i="2"/>
  <c r="I7" i="2"/>
  <c r="I5" i="2"/>
  <c r="I4" i="2"/>
  <c r="I13" i="2"/>
  <c r="I12" i="2"/>
  <c r="I11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M4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P4" i="2"/>
  <c r="N4" i="2"/>
  <c r="D2" i="2"/>
  <c r="O9" i="2" s="1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R31" i="1" l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<sst xmlns="http://schemas.openxmlformats.org/spreadsheetml/2006/main" count="363" uniqueCount="77">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</sst>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workbookViewId="0">
      <selection activeCell="B3" sqref="B3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18</v>
      </c>
      <c r="C2" s="62">
        <f>+B2/A2</f>
        <v>0.66666666666666663</v>
      </c>
      <c r="D2" s="91">
        <f>+A2-B2</f>
        <v>9</v>
      </c>
      <c r="F2" s="89">
        <v>46316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</f>
        <v>138</v>
      </c>
      <c r="J4" s="67">
        <f>IFERROR(I4/G4,0)</f>
        <v>0.42461538461538462</v>
      </c>
      <c r="K4" s="7">
        <v>450</v>
      </c>
      <c r="L4" s="8">
        <v>197.7</v>
      </c>
      <c r="M4" s="82">
        <f>IFERROR(L4/K4,0)</f>
        <v>0.4393333333333333</v>
      </c>
      <c r="N4" s="8">
        <f t="shared" ref="N4:N7" si="0">K4-L4</f>
        <v>252.3</v>
      </c>
      <c r="O4" s="10">
        <f t="shared" ref="O4:O7" si="1">N4/$D$2</f>
        <v>28.033333333333335</v>
      </c>
      <c r="P4" s="68">
        <f t="shared" ref="P4:P16" si="2">L4/I4</f>
        <v>1.4326086956521737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</f>
        <v>140</v>
      </c>
      <c r="J5" s="69">
        <f t="shared" ref="J5:J29" si="3">IFERROR(I5/G5,0)</f>
        <v>0.59071729957805907</v>
      </c>
      <c r="K5" s="11">
        <v>350</v>
      </c>
      <c r="L5" s="12">
        <v>126.675</v>
      </c>
      <c r="M5" s="70">
        <f t="shared" ref="M5:M29" si="4">IFERROR(L5/K5,0)</f>
        <v>0.36192857142857143</v>
      </c>
      <c r="N5" s="12">
        <f t="shared" si="0"/>
        <v>223.32499999999999</v>
      </c>
      <c r="O5" s="14">
        <f t="shared" si="1"/>
        <v>24.813888888888886</v>
      </c>
      <c r="P5" s="71">
        <f t="shared" si="2"/>
        <v>0.90482142857142855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35.63055555555556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</f>
        <v>63</v>
      </c>
      <c r="J7" s="69">
        <f t="shared" si="3"/>
        <v>0.21875</v>
      </c>
      <c r="K7" s="11">
        <v>250</v>
      </c>
      <c r="L7" s="12">
        <v>92.125</v>
      </c>
      <c r="M7" s="70">
        <f t="shared" si="4"/>
        <v>0.36849999999999999</v>
      </c>
      <c r="N7" s="12">
        <f t="shared" si="0"/>
        <v>157.875</v>
      </c>
      <c r="O7" s="14">
        <f t="shared" si="1"/>
        <v>17.541666666666668</v>
      </c>
      <c r="P7" s="71">
        <f t="shared" si="2"/>
        <v>1.4623015873015872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</f>
        <v>70</v>
      </c>
      <c r="J8" s="69">
        <f t="shared" si="3"/>
        <v>0.19607843137254902</v>
      </c>
      <c r="K8" s="11">
        <v>250</v>
      </c>
      <c r="L8" s="12">
        <v>100.7</v>
      </c>
      <c r="M8" s="70">
        <f t="shared" si="4"/>
        <v>0.40279999999999999</v>
      </c>
      <c r="N8" s="12">
        <f t="shared" ref="N8:N29" si="5">K8-L8</f>
        <v>149.30000000000001</v>
      </c>
      <c r="O8" s="14">
        <f t="shared" ref="O8:O29" si="6">N8/$D$2</f>
        <v>16.588888888888889</v>
      </c>
      <c r="P8" s="71">
        <f t="shared" si="2"/>
        <v>1.4385714285714286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</f>
        <v>57</v>
      </c>
      <c r="J10" s="69">
        <f t="shared" si="3"/>
        <v>0.51351351351351349</v>
      </c>
      <c r="K10" s="11">
        <v>2300</v>
      </c>
      <c r="L10" s="12">
        <v>1322</v>
      </c>
      <c r="M10" s="70">
        <f t="shared" si="4"/>
        <v>0.57478260869565212</v>
      </c>
      <c r="N10" s="12">
        <f t="shared" si="5"/>
        <v>978</v>
      </c>
      <c r="O10" s="14">
        <f t="shared" si="6"/>
        <v>108.66666666666667</v>
      </c>
      <c r="P10" s="71">
        <f t="shared" si="2"/>
        <v>23.192982456140349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</f>
        <v>94</v>
      </c>
      <c r="J11" s="69">
        <f t="shared" si="3"/>
        <v>0.29192546583850931</v>
      </c>
      <c r="K11" s="11">
        <v>450</v>
      </c>
      <c r="L11" s="12">
        <f>106+16+15+38+16+18+9+16+11</f>
        <v>245</v>
      </c>
      <c r="M11" s="70">
        <f t="shared" si="4"/>
        <v>0.5444444444444444</v>
      </c>
      <c r="N11" s="12">
        <f t="shared" si="5"/>
        <v>205</v>
      </c>
      <c r="O11" s="14">
        <f t="shared" si="6"/>
        <v>22.777777777777779</v>
      </c>
      <c r="P11" s="71">
        <f t="shared" si="2"/>
        <v>2.6063829787234041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</f>
        <v>88</v>
      </c>
      <c r="J12" s="69">
        <f t="shared" si="3"/>
        <v>0.28295819935691319</v>
      </c>
      <c r="K12" s="11">
        <v>300</v>
      </c>
      <c r="L12" s="12">
        <f>100+8+8+6+8+8+6+8+11</f>
        <v>163</v>
      </c>
      <c r="M12" s="70">
        <f t="shared" si="4"/>
        <v>0.54333333333333333</v>
      </c>
      <c r="N12" s="12">
        <f t="shared" si="5"/>
        <v>137</v>
      </c>
      <c r="O12" s="14">
        <f t="shared" si="6"/>
        <v>15.222222222222221</v>
      </c>
      <c r="P12" s="71">
        <f t="shared" si="2"/>
        <v>1.8522727272727273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</f>
        <v>78</v>
      </c>
      <c r="J13" s="69">
        <f t="shared" si="3"/>
        <v>0.55714285714285716</v>
      </c>
      <c r="K13" s="11">
        <v>250</v>
      </c>
      <c r="L13" s="12">
        <f>50+10+10+4+5+5+3.5+8</f>
        <v>95.5</v>
      </c>
      <c r="M13" s="70">
        <f t="shared" si="4"/>
        <v>0.38200000000000001</v>
      </c>
      <c r="N13" s="12">
        <f t="shared" si="5"/>
        <v>154.5</v>
      </c>
      <c r="O13" s="14">
        <f t="shared" si="6"/>
        <v>17.166666666666668</v>
      </c>
      <c r="P13" s="71">
        <f t="shared" si="2"/>
        <v>1.2243589743589745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1.1111111111111112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2.7777777777777777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/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 t="e">
        <f t="shared" si="2"/>
        <v>#DIV/0!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749</v>
      </c>
      <c r="J17" s="75">
        <f t="shared" si="3"/>
        <v>0.30044123545928603</v>
      </c>
      <c r="K17" s="76">
        <f>SUM(K4:K16)</f>
        <v>5300</v>
      </c>
      <c r="L17" s="77">
        <f>SUM(L4:L16)</f>
        <v>2537.0250000000001</v>
      </c>
      <c r="M17" s="78">
        <f t="shared" si="4"/>
        <v>0.47868396226415094</v>
      </c>
      <c r="N17" s="77">
        <f t="shared" si="5"/>
        <v>2762.9749999999999</v>
      </c>
      <c r="O17" s="79">
        <f t="shared" si="6"/>
        <v>306.99722222222221</v>
      </c>
      <c r="P17" s="80">
        <f>L17/I17</f>
        <v>3.3872162883845127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47.3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47.3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47.3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47.3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47.3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47.3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47.3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47.3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47.3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47.3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47.3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758</v>
      </c>
      <c r="J29" s="83">
        <f t="shared" si="3"/>
        <v>0.30295763389288571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47.3</v>
      </c>
      <c r="P29" s="88">
        <f>L29/I29</f>
        <v>0.22994722955145119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2026-10-22T05:30:18Z</dcterms:modified>
</cp:coreProperties>
</file>