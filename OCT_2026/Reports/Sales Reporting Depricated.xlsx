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AB06CFC-3BAB-4478-AA7B-43D6A8569CD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2" l="1"/>
  <c r="I8" i="2"/>
  <c r="I7" i="2"/>
  <c r="I6" i="2"/>
  <c r="I5" i="2"/>
  <c r="I4" i="2"/>
  <c r="L11" i="2" l="1"/>
  <c r="L10" i="2"/>
  <c r="I11" i="2"/>
  <c r="I10" i="2"/>
  <c r="L20" i="1" l="1"/>
  <c r="K20" i="1"/>
  <c r="L12" i="2"/>
  <c r="I12" i="2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W32" i="1" l="1"/>
  <c r="Q27" i="2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3" i="2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<sst xmlns="http://schemas.openxmlformats.org/spreadsheetml/2006/main" count="354" uniqueCount="69">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</sst>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J1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46293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10.5</v>
      </c>
      <c r="M4" s="32">
        <f>IFERROR(L4/K4,0)</f>
        <v>0.26250000000000001</v>
      </c>
      <c r="N4" s="90">
        <f>IFERROR(L4/I4,0)</f>
        <v>1.1666666666666667</v>
      </c>
      <c r="O4" s="33"/>
      <c r="P4" s="30">
        <v>1</v>
      </c>
      <c r="Q4" s="31">
        <v>1</v>
      </c>
      <c r="R4" s="32">
        <f>IFERROR(Q4/P4,0)</f>
        <v>1</v>
      </c>
      <c r="S4" s="30">
        <v>60</v>
      </c>
      <c r="T4" s="31">
        <v>60</v>
      </c>
      <c r="U4" s="32">
        <f>IFERROR(T4/S4,0)</f>
        <v>1</v>
      </c>
      <c r="V4" s="90">
        <f>IFERROR(T4/Q4,0)</f>
        <v>60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27</v>
      </c>
      <c r="J5" s="13">
        <f t="shared" ref="J5:J32" si="0">IFERROR(I5/G5,0)</f>
        <v>0.54</v>
      </c>
      <c r="K5" s="11">
        <v>30</v>
      </c>
      <c r="L5" s="12">
        <v>10</v>
      </c>
      <c r="M5" s="13">
        <f t="shared" ref="M5:M32" si="1">IFERROR(L5/K5,0)</f>
        <v>0.33333333333333331</v>
      </c>
      <c r="N5" s="11">
        <f t="shared" ref="N5:N32" si="2">IFERROR(L5/I5,0)</f>
        <v>0.37037037037037035</v>
      </c>
      <c r="O5" s="14"/>
      <c r="P5" s="11">
        <v>18</v>
      </c>
      <c r="Q5" s="12">
        <v>18</v>
      </c>
      <c r="R5" s="13">
        <f t="shared" ref="R5:R32" si="3">IFERROR(Q5/P5,0)</f>
        <v>1</v>
      </c>
      <c r="S5" s="11">
        <v>9.5</v>
      </c>
      <c r="T5" s="12">
        <v>8</v>
      </c>
      <c r="U5" s="13">
        <f t="shared" ref="U5:U32" si="4">IFERROR(T5/S5,0)</f>
        <v>0.84210526315789469</v>
      </c>
      <c r="V5" s="11">
        <f t="shared" ref="V5:V32" si="5">IFERROR(T5/Q5,0)</f>
        <v>0.44444444444444442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7</v>
      </c>
      <c r="J6" s="13">
        <f t="shared" si="0"/>
        <v>0.14000000000000001</v>
      </c>
      <c r="K6" s="11">
        <v>25</v>
      </c>
      <c r="L6" s="12">
        <v>15.25</v>
      </c>
      <c r="M6" s="13">
        <f t="shared" si="1"/>
        <v>0.61</v>
      </c>
      <c r="N6" s="11">
        <f t="shared" si="2"/>
        <v>2.1785714285714284</v>
      </c>
      <c r="O6" s="14"/>
      <c r="P6" s="11">
        <v>8</v>
      </c>
      <c r="Q6" s="12">
        <v>8</v>
      </c>
      <c r="R6" s="13">
        <f t="shared" si="3"/>
        <v>1</v>
      </c>
      <c r="S6" s="11">
        <v>16.8</v>
      </c>
      <c r="T6" s="12">
        <v>14.8</v>
      </c>
      <c r="U6" s="13">
        <f t="shared" si="4"/>
        <v>0.88095238095238093</v>
      </c>
      <c r="V6" s="11">
        <f t="shared" si="5"/>
        <v>1.85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10.1</v>
      </c>
      <c r="M7" s="13">
        <f t="shared" si="1"/>
        <v>0.33666666666666667</v>
      </c>
      <c r="N7" s="11">
        <f t="shared" si="2"/>
        <v>1.1222222222222222</v>
      </c>
      <c r="O7" s="14"/>
      <c r="P7" s="11">
        <v>1</v>
      </c>
      <c r="Q7" s="12"/>
      <c r="R7" s="13">
        <f t="shared" si="3"/>
        <v>0</v>
      </c>
      <c r="S7" s="11">
        <v>2</v>
      </c>
      <c r="T7" s="12">
        <v>0</v>
      </c>
      <c r="U7" s="13">
        <f t="shared" si="4"/>
        <v>0</v>
      </c>
      <c r="V7" s="11">
        <f t="shared" si="5"/>
        <v>0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7.25</v>
      </c>
      <c r="M8" s="13">
        <f t="shared" si="1"/>
        <v>0.36249999999999999</v>
      </c>
      <c r="N8" s="11">
        <f t="shared" si="2"/>
        <v>1.2083333333333333</v>
      </c>
      <c r="O8" s="14"/>
      <c r="P8" s="11">
        <v>3</v>
      </c>
      <c r="Q8" s="12">
        <v>3</v>
      </c>
      <c r="R8" s="13">
        <f t="shared" si="3"/>
        <v>1</v>
      </c>
      <c r="S8" s="11">
        <v>6.55</v>
      </c>
      <c r="T8" s="12">
        <v>5.65</v>
      </c>
      <c r="U8" s="13">
        <f t="shared" si="4"/>
        <v>0.86259541984732835</v>
      </c>
      <c r="V8" s="11">
        <f t="shared" si="5"/>
        <v>1.8833333333333335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>
        <v>6</v>
      </c>
      <c r="J9" s="13">
        <f t="shared" si="0"/>
        <v>0.12</v>
      </c>
      <c r="K9" s="11">
        <v>80</v>
      </c>
      <c r="L9" s="12">
        <v>109</v>
      </c>
      <c r="M9" s="13">
        <f t="shared" si="1"/>
        <v>1.3625</v>
      </c>
      <c r="N9" s="11">
        <f t="shared" si="2"/>
        <v>18.166666666666668</v>
      </c>
      <c r="O9" s="14"/>
      <c r="P9" s="11">
        <v>7</v>
      </c>
      <c r="Q9" s="12">
        <v>7</v>
      </c>
      <c r="R9" s="13">
        <f t="shared" si="3"/>
        <v>1</v>
      </c>
      <c r="S9" s="11">
        <v>124</v>
      </c>
      <c r="T9" s="12">
        <v>100.5</v>
      </c>
      <c r="U9" s="13">
        <f t="shared" si="4"/>
        <v>0.81048387096774188</v>
      </c>
      <c r="V9" s="11">
        <f t="shared" si="5"/>
        <v>14.357142857142858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45</v>
      </c>
      <c r="I10" s="12">
        <v>10</v>
      </c>
      <c r="J10" s="13">
        <f t="shared" si="0"/>
        <v>0.2</v>
      </c>
      <c r="K10" s="11">
        <v>20</v>
      </c>
      <c r="L10" s="12">
        <v>12</v>
      </c>
      <c r="M10" s="13">
        <f t="shared" si="1"/>
        <v>0.6</v>
      </c>
      <c r="N10" s="11">
        <f t="shared" si="2"/>
        <v>1.2</v>
      </c>
      <c r="O10" s="14"/>
      <c r="P10" s="11">
        <v>7</v>
      </c>
      <c r="Q10" s="12">
        <v>7</v>
      </c>
      <c r="R10" s="13">
        <f t="shared" si="3"/>
        <v>1</v>
      </c>
      <c r="S10" s="11">
        <v>7</v>
      </c>
      <c r="T10" s="12">
        <v>7</v>
      </c>
      <c r="U10" s="13">
        <f t="shared" si="4"/>
        <v>1</v>
      </c>
      <c r="V10" s="11">
        <f t="shared" si="5"/>
        <v>1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>
        <v>7</v>
      </c>
      <c r="J11" s="13">
        <f t="shared" si="0"/>
        <v>0.14000000000000001</v>
      </c>
      <c r="K11" s="11">
        <v>20</v>
      </c>
      <c r="L11" s="12">
        <v>10</v>
      </c>
      <c r="M11" s="13">
        <f t="shared" si="1"/>
        <v>0.5</v>
      </c>
      <c r="N11" s="11">
        <f t="shared" si="2"/>
        <v>1.4285714285714286</v>
      </c>
      <c r="O11" s="14"/>
      <c r="P11" s="11">
        <v>20</v>
      </c>
      <c r="Q11" s="12">
        <v>20</v>
      </c>
      <c r="R11" s="13">
        <f t="shared" si="3"/>
        <v>1</v>
      </c>
      <c r="S11" s="11">
        <v>25</v>
      </c>
      <c r="T11" s="12">
        <v>25</v>
      </c>
      <c r="U11" s="13">
        <f t="shared" si="4"/>
        <v>1</v>
      </c>
      <c r="V11" s="11">
        <f t="shared" si="5"/>
        <v>1.25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>
        <v>18</v>
      </c>
      <c r="J12" s="13">
        <f t="shared" si="0"/>
        <v>0.36</v>
      </c>
      <c r="K12" s="11">
        <v>30</v>
      </c>
      <c r="L12" s="12">
        <v>9</v>
      </c>
      <c r="M12" s="13">
        <f t="shared" si="1"/>
        <v>0.3</v>
      </c>
      <c r="N12" s="11">
        <f t="shared" si="2"/>
        <v>0.5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345</v>
      </c>
      <c r="I20" s="41">
        <f>SUM(I4:I19)</f>
        <v>99</v>
      </c>
      <c r="J20" s="42">
        <f t="shared" si="0"/>
        <v>0.22</v>
      </c>
      <c r="K20" s="40">
        <f>SUM(K4:K12)</f>
        <v>295</v>
      </c>
      <c r="L20" s="40">
        <f>SUM(L4:L12)</f>
        <v>193.1</v>
      </c>
      <c r="M20" s="42">
        <f t="shared" si="1"/>
        <v>0.65457627118644068</v>
      </c>
      <c r="N20" s="40">
        <f t="shared" si="2"/>
        <v>1.9505050505050505</v>
      </c>
      <c r="O20" s="43">
        <f>AVERAGE(O4:O19)</f>
        <v>1</v>
      </c>
      <c r="P20" s="40">
        <f>SUM(P4:P19)</f>
        <v>65</v>
      </c>
      <c r="Q20" s="41">
        <f>SUM(Q4:Q19)</f>
        <v>64</v>
      </c>
      <c r="R20" s="42">
        <f t="shared" si="3"/>
        <v>0.98461538461538467</v>
      </c>
      <c r="S20" s="40">
        <f>SUM(S4:S19)</f>
        <v>250.85</v>
      </c>
      <c r="T20" s="41">
        <f>SUM(T4:T19)</f>
        <v>220.95</v>
      </c>
      <c r="U20" s="42">
        <f t="shared" si="4"/>
        <v>0.88080526210882992</v>
      </c>
      <c r="V20" s="40">
        <f t="shared" si="5"/>
        <v>3.4523437499999998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345</v>
      </c>
      <c r="I32" s="21">
        <f t="shared" si="12"/>
        <v>99</v>
      </c>
      <c r="J32" s="22">
        <f t="shared" si="0"/>
        <v>0.21568627450980393</v>
      </c>
      <c r="K32" s="20">
        <v>1</v>
      </c>
      <c r="L32" s="21">
        <v>1</v>
      </c>
      <c r="M32" s="22">
        <f t="shared" si="1"/>
        <v>1</v>
      </c>
      <c r="N32" s="20">
        <f t="shared" si="2"/>
        <v>1.0101010101010102E-2</v>
      </c>
      <c r="O32" s="23">
        <f>AVERAGE(O31,O20,O26)</f>
        <v>1</v>
      </c>
      <c r="P32" s="20">
        <f>+P31+P26+P20</f>
        <v>74</v>
      </c>
      <c r="Q32" s="21">
        <f t="shared" ref="Q32" si="13">+Q31+Q26+Q20</f>
        <v>73</v>
      </c>
      <c r="R32" s="22">
        <f t="shared" si="3"/>
        <v>0.98648648648648651</v>
      </c>
      <c r="S32" s="20">
        <f>+S31+S26+S20</f>
        <v>259.85000000000002</v>
      </c>
      <c r="T32" s="21">
        <f t="shared" ref="T32" si="14">+T31+T26+T20</f>
        <v>229.95</v>
      </c>
      <c r="U32" s="22">
        <f t="shared" si="4"/>
        <v>0.88493361554743111</v>
      </c>
      <c r="V32" s="20">
        <f t="shared" si="5"/>
        <v>3.15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abSelected="1" topLeftCell="D1" workbookViewId="0">
      <selection activeCell="L11" sqref="L11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26</v>
      </c>
      <c r="C2" s="62">
        <f>+B2/A2</f>
        <v>1</v>
      </c>
      <c r="D2" s="91">
        <f>+A2-B2</f>
        <v>0</v>
      </c>
      <c r="F2" s="89">
        <v>46295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f>271+8+7+21+1+8+16</f>
        <v>332</v>
      </c>
      <c r="J4" s="67">
        <f>IFERROR(I4/G4,0)</f>
        <v>0.55333333333333334</v>
      </c>
      <c r="K4" s="7">
        <v>550</v>
      </c>
      <c r="L4" s="8">
        <v>353.52499999999998</v>
      </c>
      <c r="M4" s="82">
        <f>IFERROR(L4/K4,0)</f>
        <v>0.64277272727272727</v>
      </c>
      <c r="N4" s="8">
        <f t="shared" ref="N4:N7" si="0">K4-L4</f>
        <v>196.47500000000002</v>
      </c>
      <c r="O4" s="10" t="e">
        <f t="shared" ref="O4:O7" si="1">N4/$D$2</f>
        <v>#DIV/0!</v>
      </c>
      <c r="P4" s="68">
        <f t="shared" ref="P4:P12" si="2">L4/I4</f>
        <v>1.0648343373493976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f>277+21+18+15+30</f>
        <v>361</v>
      </c>
      <c r="J5" s="69">
        <f t="shared" ref="J5:J28" si="3">IFERROR(I5/G5,0)</f>
        <v>0.60166666666666668</v>
      </c>
      <c r="K5" s="11">
        <v>450</v>
      </c>
      <c r="L5" s="12">
        <v>205.95</v>
      </c>
      <c r="M5" s="70">
        <f t="shared" ref="M5:M28" si="4">IFERROR(L5/K5,0)</f>
        <v>0.45766666666666667</v>
      </c>
      <c r="N5" s="12">
        <f t="shared" si="0"/>
        <v>244.05</v>
      </c>
      <c r="O5" s="14" t="e">
        <f t="shared" si="1"/>
        <v>#DIV/0!</v>
      </c>
      <c r="P5" s="71">
        <f t="shared" si="2"/>
        <v>0.57049861495844867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f>117+5+5+8+8+5+2</f>
        <v>150</v>
      </c>
      <c r="J6" s="69">
        <f t="shared" si="3"/>
        <v>0.25</v>
      </c>
      <c r="K6" s="11">
        <v>550</v>
      </c>
      <c r="L6" s="12">
        <v>212.72499999999999</v>
      </c>
      <c r="M6" s="70">
        <f t="shared" si="4"/>
        <v>0.38677272727272727</v>
      </c>
      <c r="N6" s="12">
        <f t="shared" si="0"/>
        <v>337.27499999999998</v>
      </c>
      <c r="O6" s="14" t="e">
        <f t="shared" si="1"/>
        <v>#DIV/0!</v>
      </c>
      <c r="P6" s="71">
        <f t="shared" si="2"/>
        <v>1.4181666666666666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f>121+5+6+4+8+2</f>
        <v>146</v>
      </c>
      <c r="J7" s="69">
        <f t="shared" si="3"/>
        <v>0.24333333333333335</v>
      </c>
      <c r="K7" s="11">
        <v>400</v>
      </c>
      <c r="L7" s="12">
        <v>180.4</v>
      </c>
      <c r="M7" s="70">
        <f t="shared" si="4"/>
        <v>0.45100000000000001</v>
      </c>
      <c r="N7" s="12">
        <f t="shared" si="0"/>
        <v>219.6</v>
      </c>
      <c r="O7" s="14" t="e">
        <f t="shared" si="1"/>
        <v>#DIV/0!</v>
      </c>
      <c r="P7" s="71">
        <f t="shared" si="2"/>
        <v>1.2356164383561645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f>85+5+5+8+3+2+5</f>
        <v>113</v>
      </c>
      <c r="J8" s="69">
        <f t="shared" si="3"/>
        <v>0.18833333333333332</v>
      </c>
      <c r="K8" s="11">
        <v>575</v>
      </c>
      <c r="L8" s="12">
        <v>126.65</v>
      </c>
      <c r="M8" s="70">
        <f t="shared" si="4"/>
        <v>0.2202608695652174</v>
      </c>
      <c r="N8" s="12">
        <f t="shared" ref="N8:N28" si="5">K8-L8</f>
        <v>448.35</v>
      </c>
      <c r="O8" s="14" t="e">
        <f t="shared" ref="O8:O28" si="6">N8/$D$2</f>
        <v>#DIV/0!</v>
      </c>
      <c r="P8" s="71">
        <f t="shared" si="2"/>
        <v>1.1207964601769913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f>73+3+5+1+7+5+4</f>
        <v>98</v>
      </c>
      <c r="J9" s="69">
        <f t="shared" si="3"/>
        <v>0.49</v>
      </c>
      <c r="K9" s="11">
        <v>3000</v>
      </c>
      <c r="L9" s="12">
        <v>1940.925</v>
      </c>
      <c r="M9" s="70">
        <f t="shared" si="4"/>
        <v>0.64697499999999997</v>
      </c>
      <c r="N9" s="12">
        <f t="shared" si="5"/>
        <v>1059.075</v>
      </c>
      <c r="O9" s="14" t="e">
        <f t="shared" si="6"/>
        <v>#DIV/0!</v>
      </c>
      <c r="P9" s="71">
        <f t="shared" si="2"/>
        <v>19.805357142857144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f>219+20+7</f>
        <v>246</v>
      </c>
      <c r="J10" s="69">
        <f t="shared" si="3"/>
        <v>0.41</v>
      </c>
      <c r="K10" s="11">
        <v>650</v>
      </c>
      <c r="L10" s="12">
        <f>371+7+20+7</f>
        <v>405</v>
      </c>
      <c r="M10" s="70">
        <f t="shared" si="4"/>
        <v>0.62307692307692308</v>
      </c>
      <c r="N10" s="12">
        <f t="shared" si="5"/>
        <v>245</v>
      </c>
      <c r="O10" s="14" t="e">
        <f t="shared" si="6"/>
        <v>#DIV/0!</v>
      </c>
      <c r="P10" s="71">
        <f t="shared" si="2"/>
        <v>1.6463414634146341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f>156+20+20</f>
        <v>196</v>
      </c>
      <c r="J11" s="69">
        <f t="shared" si="3"/>
        <v>0.32666666666666666</v>
      </c>
      <c r="K11" s="11">
        <v>550</v>
      </c>
      <c r="L11" s="12">
        <f>199+20+25</f>
        <v>244</v>
      </c>
      <c r="M11" s="70">
        <f t="shared" si="4"/>
        <v>0.44363636363636366</v>
      </c>
      <c r="N11" s="12">
        <f t="shared" si="5"/>
        <v>306</v>
      </c>
      <c r="O11" s="14" t="e">
        <f t="shared" si="6"/>
        <v>#DIV/0!</v>
      </c>
      <c r="P11" s="71">
        <f t="shared" si="2"/>
        <v>1.2448979591836735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f>139+10</f>
        <v>149</v>
      </c>
      <c r="J12" s="69">
        <f t="shared" si="3"/>
        <v>0.24833333333333332</v>
      </c>
      <c r="K12" s="11">
        <v>450</v>
      </c>
      <c r="L12" s="12">
        <f>126+2</f>
        <v>128</v>
      </c>
      <c r="M12" s="70">
        <f t="shared" si="4"/>
        <v>0.28444444444444444</v>
      </c>
      <c r="N12" s="12">
        <f t="shared" si="5"/>
        <v>322</v>
      </c>
      <c r="O12" s="14" t="e">
        <f t="shared" si="6"/>
        <v>#DIV/0!</v>
      </c>
      <c r="P12" s="71">
        <f t="shared" si="2"/>
        <v>0.85906040268456374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 t="e">
        <f t="shared" si="6"/>
        <v>#DIV/0!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 t="e">
        <f t="shared" si="6"/>
        <v>#DIV/0!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 t="e">
        <f t="shared" si="6"/>
        <v>#DIV/0!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1791</v>
      </c>
      <c r="J16" s="75">
        <f t="shared" si="3"/>
        <v>0.35820000000000002</v>
      </c>
      <c r="K16" s="76">
        <f>SUM(K4:K15)</f>
        <v>7275</v>
      </c>
      <c r="L16" s="77">
        <f>SUM(L4:L15)</f>
        <v>3897.1750000000002</v>
      </c>
      <c r="M16" s="78">
        <f t="shared" si="4"/>
        <v>0.53569415807560139</v>
      </c>
      <c r="N16" s="77">
        <f t="shared" si="5"/>
        <v>3377.8249999999998</v>
      </c>
      <c r="O16" s="79" t="e">
        <f t="shared" si="6"/>
        <v>#DIV/0!</v>
      </c>
      <c r="P16" s="80">
        <f>L16/I16</f>
        <v>2.1759771077610273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 t="e">
        <f t="shared" si="6"/>
        <v>#DIV/0!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 t="e">
        <f t="shared" si="6"/>
        <v>#DIV/0!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 t="e">
        <f t="shared" si="6"/>
        <v>#DIV/0!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 t="e">
        <f t="shared" si="6"/>
        <v>#DIV/0!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 t="e">
        <f t="shared" si="6"/>
        <v>#DIV/0!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 t="e">
        <f t="shared" si="6"/>
        <v>#DIV/0!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 t="e">
        <f t="shared" si="6"/>
        <v>#DIV/0!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 t="e">
        <f t="shared" si="6"/>
        <v>#DIV/0!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 t="e">
        <f t="shared" si="6"/>
        <v>#DIV/0!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 t="e">
        <f t="shared" si="6"/>
        <v>#DIV/0!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 t="e">
        <f t="shared" si="6"/>
        <v>#DIV/0!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1800</v>
      </c>
      <c r="J28" s="83">
        <f t="shared" si="3"/>
        <v>0.35935316430425235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 t="e">
        <f t="shared" si="6"/>
        <v>#DIV/0!</v>
      </c>
      <c r="P28" s="88">
        <f>L28/I28</f>
        <v>9.6833333333333341E-2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2026-10-01T06:02:32Z</dcterms:modified>
</cp:coreProperties>
</file>