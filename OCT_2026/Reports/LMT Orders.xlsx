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AE196407-1A33-4552-9828-D0DC9A889BD7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R6" i="3" l="1"/>
  <c r="R7" i="3"/>
  <c r="R8" i="3"/>
  <c r="R9" i="3"/>
  <c r="R10" i="3"/>
  <c r="R5" i="3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<sst xmlns="http://schemas.openxmlformats.org/spreadsheetml/2006/main" count="275" uniqueCount="213">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</sst>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opLeftCell="A73" zoomScaleNormal="100" workbookViewId="0">
      <selection activeCell="H87" sqref="H87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58">
        <f ca="1">TODAY()</f>
        <v>46305</v>
      </c>
      <c r="C1" s="158"/>
      <c r="D1" s="158"/>
      <c r="E1" s="15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5" t="s">
        <v>35</v>
      </c>
      <c r="B2" s="159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47"/>
      <c r="M2" s="148"/>
      <c r="N2" s="149"/>
      <c r="O2" s="150" t="s">
        <v>14</v>
      </c>
      <c r="P2" s="151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5"/>
      <c r="B3" s="160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2" t="s">
        <v>11</v>
      </c>
      <c r="M3" s="153"/>
      <c r="N3" s="154"/>
      <c r="O3" s="64"/>
      <c r="P3" s="65"/>
      <c r="Q3" s="162" t="s">
        <v>16</v>
      </c>
      <c r="R3" s="163"/>
      <c r="S3" s="163"/>
      <c r="T3" s="164"/>
      <c r="U3" s="165" t="s">
        <v>17</v>
      </c>
      <c r="V3" s="166"/>
      <c r="W3" s="166"/>
      <c r="X3" s="167"/>
    </row>
    <row r="4" spans="1:24" ht="15" thickBot="1" x14ac:dyDescent="0.4">
      <c r="A4" s="155"/>
      <c r="B4" s="161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178">
        <v>46303</v>
      </c>
      <c r="B71" s="179">
        <v>65</v>
      </c>
      <c r="C71" s="180" t="s">
        <v>193</v>
      </c>
      <c r="D71" s="180" t="s">
        <v>194</v>
      </c>
      <c r="E71" s="181"/>
      <c r="F71" s="181">
        <v>80</v>
      </c>
      <c r="G71" s="181">
        <v>80</v>
      </c>
      <c r="H71" s="182">
        <v>80</v>
      </c>
      <c r="I71" s="181">
        <v>80</v>
      </c>
      <c r="J71" s="181">
        <v>80</v>
      </c>
      <c r="K71" s="181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178">
        <v>46303</v>
      </c>
      <c r="B72" s="179">
        <v>66</v>
      </c>
      <c r="C72" s="180" t="s">
        <v>195</v>
      </c>
      <c r="D72" s="180" t="s">
        <v>186</v>
      </c>
      <c r="E72" s="181"/>
      <c r="F72" s="181"/>
      <c r="G72" s="181">
        <v>80</v>
      </c>
      <c r="H72" s="182">
        <v>120</v>
      </c>
      <c r="I72" s="181">
        <v>80</v>
      </c>
      <c r="J72" s="181">
        <v>80</v>
      </c>
      <c r="K72" s="181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178">
        <v>46303</v>
      </c>
      <c r="B73" s="179">
        <v>67</v>
      </c>
      <c r="C73" s="180" t="s">
        <v>113</v>
      </c>
      <c r="D73" s="180" t="s">
        <v>196</v>
      </c>
      <c r="E73" s="181"/>
      <c r="F73" s="181">
        <v>40</v>
      </c>
      <c r="G73" s="181">
        <v>40</v>
      </c>
      <c r="H73" s="182">
        <v>40</v>
      </c>
      <c r="I73" s="181">
        <v>40</v>
      </c>
      <c r="J73" s="181">
        <v>40</v>
      </c>
      <c r="K73" s="181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178">
        <v>46303</v>
      </c>
      <c r="B74" s="179">
        <v>68</v>
      </c>
      <c r="C74" s="180" t="s">
        <v>197</v>
      </c>
      <c r="D74" s="180" t="s">
        <v>198</v>
      </c>
      <c r="E74" s="181"/>
      <c r="F74" s="181"/>
      <c r="G74" s="181">
        <v>40</v>
      </c>
      <c r="H74" s="182"/>
      <c r="I74" s="181">
        <v>40</v>
      </c>
      <c r="J74" s="181">
        <v>20</v>
      </c>
      <c r="K74" s="181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178">
        <v>46303</v>
      </c>
      <c r="B75" s="179">
        <v>69</v>
      </c>
      <c r="C75" s="180" t="s">
        <v>199</v>
      </c>
      <c r="D75" s="180" t="s">
        <v>200</v>
      </c>
      <c r="E75" s="181"/>
      <c r="F75" s="181">
        <v>200</v>
      </c>
      <c r="G75" s="181">
        <v>200</v>
      </c>
      <c r="H75" s="182">
        <v>200</v>
      </c>
      <c r="I75" s="181">
        <v>200</v>
      </c>
      <c r="J75" s="181">
        <v>200</v>
      </c>
      <c r="K75" s="181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178">
        <v>46303</v>
      </c>
      <c r="B76" s="179">
        <v>70</v>
      </c>
      <c r="C76" s="180" t="s">
        <v>201</v>
      </c>
      <c r="D76" s="180" t="s">
        <v>202</v>
      </c>
      <c r="E76" s="181"/>
      <c r="F76" s="181">
        <v>40</v>
      </c>
      <c r="G76" s="181">
        <v>40</v>
      </c>
      <c r="H76" s="182">
        <v>40</v>
      </c>
      <c r="I76" s="181">
        <v>40</v>
      </c>
      <c r="J76" s="181">
        <v>40</v>
      </c>
      <c r="K76" s="181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134">
        <v>46304</v>
      </c>
      <c r="B77" s="135">
        <v>71</v>
      </c>
      <c r="C77" s="144" t="s">
        <v>23</v>
      </c>
      <c r="D77" s="144" t="s">
        <v>112</v>
      </c>
      <c r="E77" s="142"/>
      <c r="F77" s="142">
        <v>120</v>
      </c>
      <c r="G77" s="142"/>
      <c r="H77" s="143">
        <v>80</v>
      </c>
      <c r="I77" s="142">
        <v>160</v>
      </c>
      <c r="J77" s="142">
        <v>120</v>
      </c>
      <c r="K77" s="142">
        <v>400</v>
      </c>
      <c r="L77" s="124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134">
        <v>46304</v>
      </c>
      <c r="B78" s="135">
        <v>72</v>
      </c>
      <c r="C78" s="144" t="s">
        <v>129</v>
      </c>
      <c r="D78" s="144"/>
      <c r="E78" s="142"/>
      <c r="F78" s="142"/>
      <c r="G78" s="142">
        <v>40</v>
      </c>
      <c r="H78" s="143"/>
      <c r="I78" s="142"/>
      <c r="J78" s="142">
        <v>40</v>
      </c>
      <c r="K78" s="142">
        <v>40</v>
      </c>
      <c r="L78" s="124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134">
        <v>46304</v>
      </c>
      <c r="B79" s="135">
        <v>73</v>
      </c>
      <c r="C79" s="144" t="s">
        <v>203</v>
      </c>
      <c r="D79" s="144"/>
      <c r="E79" s="142"/>
      <c r="F79" s="142">
        <v>40</v>
      </c>
      <c r="G79" s="142"/>
      <c r="H79" s="143"/>
      <c r="I79" s="142"/>
      <c r="J79" s="142"/>
      <c r="K79" s="142">
        <v>40</v>
      </c>
      <c r="L79" s="124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134">
        <v>46304</v>
      </c>
      <c r="B80" s="135">
        <v>74</v>
      </c>
      <c r="C80" s="144" t="s">
        <v>204</v>
      </c>
      <c r="D80" s="144"/>
      <c r="E80" s="142"/>
      <c r="F80" s="142">
        <v>40</v>
      </c>
      <c r="G80" s="142">
        <v>40</v>
      </c>
      <c r="H80" s="143"/>
      <c r="I80" s="142"/>
      <c r="J80" s="142">
        <v>40</v>
      </c>
      <c r="K80" s="142">
        <v>40</v>
      </c>
      <c r="L80" s="124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134">
        <v>46304</v>
      </c>
      <c r="B81" s="135">
        <v>75</v>
      </c>
      <c r="C81" s="144" t="s">
        <v>205</v>
      </c>
      <c r="D81" s="144"/>
      <c r="E81" s="142"/>
      <c r="F81" s="142"/>
      <c r="G81" s="142"/>
      <c r="H81" s="143"/>
      <c r="I81" s="142">
        <v>40</v>
      </c>
      <c r="J81" s="142"/>
      <c r="K81" s="142">
        <v>40</v>
      </c>
      <c r="L81" s="124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134">
        <v>46304</v>
      </c>
      <c r="B82" s="135">
        <v>76</v>
      </c>
      <c r="C82" s="144" t="s">
        <v>206</v>
      </c>
      <c r="D82" s="144"/>
      <c r="E82" s="142"/>
      <c r="F82" s="142"/>
      <c r="G82" s="142"/>
      <c r="H82" s="143"/>
      <c r="I82" s="142">
        <v>20</v>
      </c>
      <c r="J82" s="142">
        <v>20</v>
      </c>
      <c r="K82" s="142">
        <v>20</v>
      </c>
      <c r="L82" s="124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134">
        <v>46304</v>
      </c>
      <c r="B83" s="135">
        <v>77</v>
      </c>
      <c r="C83" s="144" t="s">
        <v>207</v>
      </c>
      <c r="D83" s="144"/>
      <c r="E83" s="142"/>
      <c r="F83" s="142">
        <v>40</v>
      </c>
      <c r="G83" s="142"/>
      <c r="H83" s="143"/>
      <c r="I83" s="142">
        <v>40</v>
      </c>
      <c r="J83" s="142"/>
      <c r="K83" s="142"/>
      <c r="L83" s="124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134">
        <v>46304</v>
      </c>
      <c r="B84" s="135">
        <v>78</v>
      </c>
      <c r="C84" s="144" t="s">
        <v>208</v>
      </c>
      <c r="D84" s="144"/>
      <c r="E84" s="142"/>
      <c r="F84" s="142">
        <v>40</v>
      </c>
      <c r="G84" s="142">
        <v>40</v>
      </c>
      <c r="H84" s="143"/>
      <c r="I84" s="142"/>
      <c r="J84" s="142">
        <v>40</v>
      </c>
      <c r="K84" s="142">
        <v>40</v>
      </c>
      <c r="L84" s="124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134">
        <v>46304</v>
      </c>
      <c r="B85" s="135">
        <v>79</v>
      </c>
      <c r="C85" s="144" t="s">
        <v>209</v>
      </c>
      <c r="D85" s="144"/>
      <c r="E85" s="142"/>
      <c r="F85" s="142"/>
      <c r="G85" s="142">
        <v>40</v>
      </c>
      <c r="H85" s="143"/>
      <c r="I85" s="142">
        <v>40</v>
      </c>
      <c r="J85" s="142">
        <v>40</v>
      </c>
      <c r="K85" s="142">
        <v>40</v>
      </c>
      <c r="L85" s="124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134">
        <v>46304</v>
      </c>
      <c r="B86" s="135">
        <v>80</v>
      </c>
      <c r="C86" s="144" t="s">
        <v>210</v>
      </c>
      <c r="D86" s="144"/>
      <c r="E86" s="142"/>
      <c r="F86" s="142"/>
      <c r="G86" s="142"/>
      <c r="H86" s="143"/>
      <c r="I86" s="142">
        <v>40</v>
      </c>
      <c r="J86" s="142"/>
      <c r="K86" s="142">
        <v>40</v>
      </c>
      <c r="L86" s="124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134">
        <v>46304</v>
      </c>
      <c r="B87" s="135">
        <v>81</v>
      </c>
      <c r="C87" s="144" t="s">
        <v>211</v>
      </c>
      <c r="D87" s="144" t="s">
        <v>212</v>
      </c>
      <c r="E87" s="142"/>
      <c r="F87" s="142"/>
      <c r="G87" s="142"/>
      <c r="H87" s="143"/>
      <c r="I87" s="142">
        <v>3000</v>
      </c>
      <c r="J87" s="142">
        <v>2000</v>
      </c>
      <c r="K87" s="142">
        <v>3000</v>
      </c>
      <c r="L87" s="124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/>
      <c r="B88" s="40">
        <v>82</v>
      </c>
      <c r="C88" s="125"/>
      <c r="D88" s="125"/>
      <c r="E88" s="68"/>
      <c r="F88" s="68"/>
      <c r="G88" s="68"/>
      <c r="H88" s="124"/>
      <c r="I88" s="68"/>
      <c r="J88" s="68"/>
      <c r="K88" s="68"/>
      <c r="L88" s="124">
        <f t="shared" si="84"/>
        <v>0</v>
      </c>
      <c r="M88" s="138"/>
      <c r="N88" s="42"/>
      <c r="O88" s="66">
        <f t="shared" si="91"/>
        <v>0</v>
      </c>
      <c r="P88" s="33">
        <f t="shared" si="92"/>
        <v>0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/>
      <c r="B89" s="40">
        <v>83</v>
      </c>
      <c r="C89" s="125"/>
      <c r="D89" s="125"/>
      <c r="E89" s="68"/>
      <c r="F89" s="68"/>
      <c r="G89" s="68"/>
      <c r="H89" s="124"/>
      <c r="I89" s="68"/>
      <c r="J89" s="68"/>
      <c r="K89" s="68"/>
      <c r="L89" s="124">
        <f t="shared" si="84"/>
        <v>0</v>
      </c>
      <c r="M89" s="138"/>
      <c r="N89" s="42"/>
      <c r="O89" s="66">
        <f t="shared" si="91"/>
        <v>0</v>
      </c>
      <c r="P89" s="33">
        <f t="shared" si="92"/>
        <v>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/>
      <c r="B90" s="40">
        <v>84</v>
      </c>
      <c r="C90" s="125"/>
      <c r="D90" s="125"/>
      <c r="E90" s="68"/>
      <c r="F90" s="68"/>
      <c r="G90" s="68"/>
      <c r="H90" s="124"/>
      <c r="I90" s="68"/>
      <c r="J90" s="68"/>
      <c r="K90" s="68"/>
      <c r="L90" s="124">
        <f t="shared" si="84"/>
        <v>0</v>
      </c>
      <c r="M90" s="138"/>
      <c r="N90" s="42"/>
      <c r="O90" s="66">
        <f t="shared" si="91"/>
        <v>0</v>
      </c>
      <c r="P90" s="33">
        <f t="shared" si="92"/>
        <v>0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/>
      <c r="B91" s="40">
        <v>85</v>
      </c>
      <c r="C91" s="125"/>
      <c r="D91" s="125"/>
      <c r="E91" s="68"/>
      <c r="F91" s="68"/>
      <c r="G91" s="68"/>
      <c r="H91" s="124"/>
      <c r="I91" s="68"/>
      <c r="J91" s="68"/>
      <c r="K91" s="68"/>
      <c r="L91" s="124">
        <f t="shared" si="84"/>
        <v>0</v>
      </c>
      <c r="M91" s="138"/>
      <c r="N91" s="42"/>
      <c r="O91" s="66">
        <f t="shared" si="91"/>
        <v>0</v>
      </c>
      <c r="P91" s="33">
        <f t="shared" si="92"/>
        <v>0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/>
      <c r="B92" s="40">
        <v>86</v>
      </c>
      <c r="C92" s="125"/>
      <c r="D92" s="125"/>
      <c r="E92" s="68"/>
      <c r="F92" s="68"/>
      <c r="G92" s="68"/>
      <c r="H92" s="124"/>
      <c r="I92" s="68"/>
      <c r="J92" s="68"/>
      <c r="K92" s="68"/>
      <c r="L92" s="124">
        <f t="shared" si="84"/>
        <v>0</v>
      </c>
      <c r="M92" s="139"/>
      <c r="N92" s="42"/>
      <c r="O92" s="66">
        <f t="shared" si="91"/>
        <v>0</v>
      </c>
      <c r="P92" s="33">
        <f t="shared" si="92"/>
        <v>0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/>
      <c r="B93" s="40">
        <v>87</v>
      </c>
      <c r="C93" s="125"/>
      <c r="D93" s="125"/>
      <c r="E93" s="68"/>
      <c r="F93" s="68"/>
      <c r="G93" s="68"/>
      <c r="H93" s="124"/>
      <c r="I93" s="68"/>
      <c r="J93" s="68"/>
      <c r="K93" s="68"/>
      <c r="L93" s="124">
        <f t="shared" si="84"/>
        <v>0</v>
      </c>
      <c r="M93" s="139"/>
      <c r="N93" s="42"/>
      <c r="O93" s="66">
        <f t="shared" si="91"/>
        <v>0</v>
      </c>
      <c r="P93" s="33">
        <f t="shared" si="92"/>
        <v>0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/>
      <c r="B94" s="40">
        <v>88</v>
      </c>
      <c r="C94" s="125"/>
      <c r="D94" s="125"/>
      <c r="E94" s="68"/>
      <c r="F94" s="68"/>
      <c r="G94" s="68"/>
      <c r="H94" s="124"/>
      <c r="I94" s="68"/>
      <c r="J94" s="68"/>
      <c r="K94" s="68"/>
      <c r="L94" s="124">
        <f t="shared" si="84"/>
        <v>0</v>
      </c>
      <c r="M94" s="139"/>
      <c r="N94" s="42"/>
      <c r="O94" s="66">
        <f t="shared" si="91"/>
        <v>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71"/>
      <c r="B95" s="40">
        <v>89</v>
      </c>
      <c r="C95" s="125"/>
      <c r="D95" s="125"/>
      <c r="E95" s="68"/>
      <c r="F95" s="68"/>
      <c r="G95" s="68"/>
      <c r="H95" s="124"/>
      <c r="I95" s="68"/>
      <c r="J95" s="68"/>
      <c r="K95" s="68"/>
      <c r="L95" s="124">
        <f t="shared" si="84"/>
        <v>0</v>
      </c>
      <c r="M95" s="139"/>
      <c r="N95" s="42"/>
      <c r="O95" s="66">
        <f t="shared" si="91"/>
        <v>0</v>
      </c>
      <c r="P95" s="33">
        <f t="shared" si="92"/>
        <v>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/>
      <c r="B96" s="40">
        <v>90</v>
      </c>
      <c r="C96" s="125"/>
      <c r="D96" s="125"/>
      <c r="E96" s="68"/>
      <c r="F96" s="68"/>
      <c r="G96" s="68"/>
      <c r="H96" s="124"/>
      <c r="I96" s="68"/>
      <c r="J96" s="68"/>
      <c r="K96" s="68"/>
      <c r="L96" s="124">
        <f t="shared" si="84"/>
        <v>0</v>
      </c>
      <c r="M96" s="138"/>
      <c r="N96" s="42"/>
      <c r="O96" s="66">
        <f t="shared" si="91"/>
        <v>0</v>
      </c>
      <c r="P96" s="33">
        <f t="shared" si="92"/>
        <v>0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/>
      <c r="B97" s="40">
        <v>91</v>
      </c>
      <c r="C97" s="125"/>
      <c r="D97" s="125"/>
      <c r="E97" s="68"/>
      <c r="F97" s="68"/>
      <c r="G97" s="68"/>
      <c r="H97" s="124"/>
      <c r="I97" s="68"/>
      <c r="J97" s="68"/>
      <c r="K97" s="68"/>
      <c r="L97" s="124">
        <f t="shared" si="84"/>
        <v>0</v>
      </c>
      <c r="M97" s="138"/>
      <c r="N97" s="42"/>
      <c r="O97" s="66">
        <f t="shared" si="91"/>
        <v>0</v>
      </c>
      <c r="P97" s="33">
        <f t="shared" si="92"/>
        <v>0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/>
      <c r="B98" s="40">
        <v>92</v>
      </c>
      <c r="C98" s="125"/>
      <c r="D98" s="125"/>
      <c r="E98" s="68"/>
      <c r="F98" s="68"/>
      <c r="G98" s="68"/>
      <c r="H98" s="124"/>
      <c r="I98" s="68"/>
      <c r="J98" s="68"/>
      <c r="K98" s="68"/>
      <c r="L98" s="124">
        <f t="shared" si="84"/>
        <v>0</v>
      </c>
      <c r="M98" s="138"/>
      <c r="N98" s="42"/>
      <c r="O98" s="66">
        <f t="shared" si="91"/>
        <v>0</v>
      </c>
      <c r="P98" s="33">
        <f t="shared" si="92"/>
        <v>0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/>
      <c r="B99" s="40">
        <v>93</v>
      </c>
      <c r="C99" s="125"/>
      <c r="D99" s="125"/>
      <c r="E99" s="68"/>
      <c r="F99" s="68"/>
      <c r="G99" s="68"/>
      <c r="H99" s="124"/>
      <c r="I99" s="68"/>
      <c r="J99" s="68"/>
      <c r="K99" s="68"/>
      <c r="L99" s="124">
        <f t="shared" si="84"/>
        <v>0</v>
      </c>
      <c r="M99" s="138"/>
      <c r="N99" s="42"/>
      <c r="O99" s="66">
        <f t="shared" si="91"/>
        <v>0</v>
      </c>
      <c r="P99" s="33">
        <f t="shared" si="92"/>
        <v>0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/>
      <c r="B100" s="40">
        <v>94</v>
      </c>
      <c r="C100" s="125"/>
      <c r="D100" s="125"/>
      <c r="E100" s="68"/>
      <c r="F100" s="68"/>
      <c r="G100" s="68"/>
      <c r="H100" s="124"/>
      <c r="I100" s="68"/>
      <c r="J100" s="68"/>
      <c r="K100" s="68"/>
      <c r="L100" s="124">
        <f t="shared" si="84"/>
        <v>0</v>
      </c>
      <c r="M100" s="138"/>
      <c r="N100" s="42"/>
      <c r="O100" s="66">
        <f t="shared" si="91"/>
        <v>0</v>
      </c>
      <c r="P100" s="33">
        <f t="shared" si="92"/>
        <v>0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/>
      <c r="B101" s="40">
        <v>95</v>
      </c>
      <c r="C101" s="125"/>
      <c r="D101" s="125"/>
      <c r="E101" s="68"/>
      <c r="F101" s="68"/>
      <c r="G101" s="68"/>
      <c r="H101" s="124"/>
      <c r="I101" s="68"/>
      <c r="J101" s="68"/>
      <c r="K101" s="68"/>
      <c r="L101" s="124">
        <f t="shared" si="84"/>
        <v>0</v>
      </c>
      <c r="M101" s="138"/>
      <c r="N101" s="42"/>
      <c r="O101" s="66">
        <f t="shared" si="91"/>
        <v>0</v>
      </c>
      <c r="P101" s="33">
        <f t="shared" si="92"/>
        <v>0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/>
      <c r="B102" s="40">
        <v>96</v>
      </c>
      <c r="C102" s="125"/>
      <c r="D102" s="125"/>
      <c r="E102" s="68"/>
      <c r="F102" s="68"/>
      <c r="G102" s="68"/>
      <c r="H102" s="124"/>
      <c r="I102" s="68"/>
      <c r="J102" s="68"/>
      <c r="K102" s="68"/>
      <c r="L102" s="124">
        <f t="shared" si="84"/>
        <v>0</v>
      </c>
      <c r="M102" s="138"/>
      <c r="N102" s="42"/>
      <c r="O102" s="66">
        <f t="shared" si="91"/>
        <v>0</v>
      </c>
      <c r="P102" s="33">
        <f t="shared" si="92"/>
        <v>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/>
      <c r="B103" s="40">
        <v>97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ref="L103:L134" si="99">SUM(E103:K103)/40</f>
        <v>0</v>
      </c>
      <c r="M103" s="138"/>
      <c r="N103" s="42"/>
      <c r="O103" s="66">
        <f t="shared" si="91"/>
        <v>0</v>
      </c>
      <c r="P103" s="33">
        <f t="shared" si="92"/>
        <v>0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/>
      <c r="B104" s="40">
        <v>98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9"/>
        <v>0</v>
      </c>
      <c r="M104" s="138"/>
      <c r="N104" s="42"/>
      <c r="O104" s="66">
        <f t="shared" si="91"/>
        <v>0</v>
      </c>
      <c r="P104" s="33">
        <f t="shared" si="92"/>
        <v>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/>
      <c r="B105" s="40">
        <v>99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9"/>
        <v>0</v>
      </c>
      <c r="M105" s="138"/>
      <c r="N105" s="42"/>
      <c r="O105" s="66">
        <f t="shared" si="91"/>
        <v>0</v>
      </c>
      <c r="P105" s="33">
        <f t="shared" si="92"/>
        <v>0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/>
      <c r="B106" s="40">
        <v>100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9"/>
        <v>0</v>
      </c>
      <c r="M106" s="138"/>
      <c r="N106" s="42"/>
      <c r="O106" s="66">
        <f t="shared" si="91"/>
        <v>0</v>
      </c>
      <c r="P106" s="33">
        <f t="shared" si="92"/>
        <v>0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/>
      <c r="B107" s="40">
        <v>101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9"/>
        <v>0</v>
      </c>
      <c r="M107" s="138"/>
      <c r="N107" s="42"/>
      <c r="O107" s="66">
        <f t="shared" si="91"/>
        <v>0</v>
      </c>
      <c r="P107" s="33">
        <f t="shared" si="92"/>
        <v>0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/>
      <c r="B108" s="40">
        <v>102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9"/>
        <v>0</v>
      </c>
      <c r="M108" s="138"/>
      <c r="N108" s="42"/>
      <c r="O108" s="66">
        <f t="shared" si="91"/>
        <v>0</v>
      </c>
      <c r="P108" s="33">
        <f t="shared" si="92"/>
        <v>0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/>
      <c r="B109" s="40">
        <v>103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9"/>
        <v>0</v>
      </c>
      <c r="M109" s="138"/>
      <c r="N109" s="42"/>
      <c r="O109" s="66">
        <f t="shared" si="91"/>
        <v>0</v>
      </c>
      <c r="P109" s="33">
        <f t="shared" si="92"/>
        <v>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/>
      <c r="B110" s="40">
        <v>104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9"/>
        <v>0</v>
      </c>
      <c r="M110" s="138"/>
      <c r="N110" s="42"/>
      <c r="O110" s="66">
        <f t="shared" si="91"/>
        <v>0</v>
      </c>
      <c r="P110" s="33">
        <f t="shared" si="92"/>
        <v>0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/>
      <c r="B111" s="40">
        <v>105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9"/>
        <v>0</v>
      </c>
      <c r="M111" s="138"/>
      <c r="N111" s="42"/>
      <c r="O111" s="66">
        <f t="shared" si="91"/>
        <v>0</v>
      </c>
      <c r="P111" s="33">
        <f t="shared" si="92"/>
        <v>0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/>
      <c r="B112" s="40">
        <v>106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9"/>
        <v>0</v>
      </c>
      <c r="M112" s="138"/>
      <c r="N112" s="42"/>
      <c r="O112" s="66">
        <f t="shared" si="91"/>
        <v>0</v>
      </c>
      <c r="P112" s="33">
        <f t="shared" si="92"/>
        <v>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/>
      <c r="B113" s="40">
        <v>107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9"/>
        <v>0</v>
      </c>
      <c r="M113" s="138"/>
      <c r="N113" s="42"/>
      <c r="O113" s="66">
        <f t="shared" si="91"/>
        <v>0</v>
      </c>
      <c r="P113" s="33">
        <f t="shared" si="92"/>
        <v>0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/>
      <c r="B114" s="40">
        <v>108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9"/>
        <v>0</v>
      </c>
      <c r="M114" s="138"/>
      <c r="N114" s="42"/>
      <c r="O114" s="66">
        <f t="shared" si="91"/>
        <v>0</v>
      </c>
      <c r="P114" s="33">
        <f t="shared" si="92"/>
        <v>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/>
      <c r="B115" s="40">
        <v>109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9"/>
        <v>0</v>
      </c>
      <c r="M115" s="138"/>
      <c r="N115" s="42"/>
      <c r="O115" s="66">
        <f t="shared" si="91"/>
        <v>0</v>
      </c>
      <c r="P115" s="33">
        <f t="shared" si="92"/>
        <v>0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/>
      <c r="B116" s="40">
        <v>110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9"/>
        <v>0</v>
      </c>
      <c r="M116" s="138"/>
      <c r="N116" s="42"/>
      <c r="O116" s="66">
        <f t="shared" si="91"/>
        <v>0</v>
      </c>
      <c r="P116" s="33">
        <f t="shared" si="92"/>
        <v>0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/>
      <c r="B117" s="40">
        <v>111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9"/>
        <v>0</v>
      </c>
      <c r="M117" s="138"/>
      <c r="N117" s="42"/>
      <c r="O117" s="66">
        <f t="shared" si="91"/>
        <v>0</v>
      </c>
      <c r="P117" s="33">
        <f t="shared" si="92"/>
        <v>0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/>
      <c r="B118" s="40">
        <v>112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9"/>
        <v>0</v>
      </c>
      <c r="M118" s="138"/>
      <c r="N118" s="42"/>
      <c r="O118" s="66">
        <f t="shared" si="91"/>
        <v>0</v>
      </c>
      <c r="P118" s="33">
        <f t="shared" si="92"/>
        <v>0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/>
      <c r="B119" s="40">
        <v>113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9"/>
        <v>0</v>
      </c>
      <c r="M119" s="138"/>
      <c r="N119" s="42"/>
      <c r="O119" s="66">
        <f t="shared" si="91"/>
        <v>0</v>
      </c>
      <c r="P119" s="33">
        <f t="shared" si="92"/>
        <v>0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/>
      <c r="B120" s="40">
        <v>114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9"/>
        <v>0</v>
      </c>
      <c r="M120" s="138"/>
      <c r="N120" s="42"/>
      <c r="O120" s="66">
        <f t="shared" si="91"/>
        <v>0</v>
      </c>
      <c r="P120" s="33">
        <f t="shared" si="92"/>
        <v>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68" t="s">
        <v>11</v>
      </c>
      <c r="C135" s="168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56" t="s">
        <v>68</v>
      </c>
      <c r="C139" s="157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45" t="s">
        <v>11</v>
      </c>
      <c r="C140" s="146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1331</v>
      </c>
      <c r="N140" s="54">
        <f t="shared" ref="N140:X140" si="111">SUM(N5:N139)</f>
        <v>10.6539</v>
      </c>
      <c r="O140" s="55">
        <f t="shared" si="111"/>
        <v>693.7</v>
      </c>
      <c r="P140" s="57">
        <f t="shared" si="111"/>
        <v>1579.1999999999998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:E1"/>
    <mergeCell ref="B2:B4"/>
    <mergeCell ref="Q3:T3"/>
    <mergeCell ref="U3:X3"/>
    <mergeCell ref="B135:C135"/>
    <mergeCell ref="B140:C140"/>
    <mergeCell ref="L2:N2"/>
    <mergeCell ref="O2:P2"/>
    <mergeCell ref="L3:N3"/>
    <mergeCell ref="A2:A4"/>
    <mergeCell ref="B139:C139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H8" sqref="H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233</v>
      </c>
      <c r="E5" s="72">
        <v>420</v>
      </c>
      <c r="F5" s="72">
        <v>365</v>
      </c>
      <c r="G5" s="94">
        <f>SUM(D5:F5)</f>
        <v>1018</v>
      </c>
      <c r="H5" s="87">
        <v>10000</v>
      </c>
      <c r="I5" s="88">
        <f>G5-H5</f>
        <v>-8982</v>
      </c>
      <c r="K5" s="132" t="s">
        <v>1</v>
      </c>
      <c r="L5" s="7">
        <v>70</v>
      </c>
      <c r="M5" s="5">
        <v>12766</v>
      </c>
      <c r="N5" s="6">
        <f t="shared" ref="N5:N11" si="0">M5/40</f>
        <v>319.14999999999998</v>
      </c>
      <c r="O5" s="74"/>
      <c r="P5" s="133"/>
      <c r="Q5">
        <v>267.20999999999998</v>
      </c>
      <c r="R5" s="141">
        <f>N5-Q5</f>
        <v>51.94</v>
      </c>
    </row>
    <row r="6" spans="3:26" ht="32" customHeight="1" thickBot="1" x14ac:dyDescent="0.6">
      <c r="C6" s="95" t="s">
        <v>48</v>
      </c>
      <c r="D6" s="96">
        <f>D5*40</f>
        <v>9320</v>
      </c>
      <c r="E6" s="96">
        <f t="shared" ref="E6:F6" si="1">E5*40</f>
        <v>16800</v>
      </c>
      <c r="F6" s="96">
        <f t="shared" si="1"/>
        <v>14600</v>
      </c>
      <c r="G6" s="97">
        <f>SUM(D6:F6)</f>
        <v>40720</v>
      </c>
      <c r="H6" s="89">
        <f>H5*40</f>
        <v>400000</v>
      </c>
      <c r="I6" s="90">
        <f>G6-H6</f>
        <v>-359280</v>
      </c>
      <c r="K6" s="132" t="s">
        <v>2</v>
      </c>
      <c r="L6" s="7">
        <v>70</v>
      </c>
      <c r="M6" s="5">
        <v>13501</v>
      </c>
      <c r="N6" s="6">
        <f t="shared" si="0"/>
        <v>337.52499999999998</v>
      </c>
      <c r="O6" s="74"/>
      <c r="P6" s="133"/>
      <c r="Q6">
        <v>174.27</v>
      </c>
      <c r="R6" s="141">
        <f t="shared" ref="R6:R10" si="2">N6-Q6</f>
        <v>163.25499999999997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12038</v>
      </c>
      <c r="N7" s="6">
        <f t="shared" si="0"/>
        <v>300.95</v>
      </c>
      <c r="O7" s="74"/>
      <c r="P7" s="133"/>
      <c r="Q7">
        <v>76.239999999999995</v>
      </c>
      <c r="R7" s="141">
        <f t="shared" si="2"/>
        <v>224.70999999999998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9642</v>
      </c>
      <c r="N8" s="6">
        <f t="shared" si="0"/>
        <v>241.05</v>
      </c>
      <c r="O8" s="74">
        <v>50</v>
      </c>
      <c r="P8" s="133"/>
      <c r="Q8">
        <v>84.3</v>
      </c>
      <c r="R8" s="141">
        <f t="shared" si="2"/>
        <v>156.75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-233</v>
      </c>
      <c r="E9" s="98">
        <f>E8-E5</f>
        <v>-420</v>
      </c>
      <c r="K9" s="132" t="s">
        <v>5</v>
      </c>
      <c r="L9" s="7">
        <v>120</v>
      </c>
      <c r="M9" s="5">
        <v>10707</v>
      </c>
      <c r="N9" s="6">
        <f t="shared" si="0"/>
        <v>267.67500000000001</v>
      </c>
      <c r="O9" s="74">
        <v>23</v>
      </c>
      <c r="P9" s="133"/>
      <c r="Q9">
        <v>109.17</v>
      </c>
      <c r="R9" s="141">
        <f t="shared" si="2"/>
        <v>158.505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10700</v>
      </c>
      <c r="N10" s="6">
        <f t="shared" si="0"/>
        <v>267.5</v>
      </c>
      <c r="O10" s="74"/>
      <c r="P10" s="133"/>
      <c r="Q10">
        <v>198.35</v>
      </c>
      <c r="R10" s="141">
        <f t="shared" si="2"/>
        <v>69.150000000000006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>
        <v>8</v>
      </c>
      <c r="N11" s="6">
        <f t="shared" si="0"/>
        <v>0.2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5218</v>
      </c>
      <c r="K12" s="132" t="s">
        <v>11</v>
      </c>
      <c r="L12" s="74"/>
      <c r="M12" s="8">
        <f>SUM(M5:M11)</f>
        <v>69362</v>
      </c>
      <c r="N12" s="9">
        <f>SUM(N5:N11)</f>
        <v>1734.05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208720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-12766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-13501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-12038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-9642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-10707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-10700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-8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-69362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-1734.05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2026-10-10T05:23:48Z</dcterms:modified>
</cp:coreProperties>
</file>