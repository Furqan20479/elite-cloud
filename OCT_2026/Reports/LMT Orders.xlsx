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52415CC2-4CA2-410F-9125-11C670AEA902}" xr6:coauthVersionLast="47" xr6:coauthVersionMax="47" xr10:uidLastSave="{00000000-0000-0000-0000-000000000000}"/>
  <bookViews>
    <workbookView xWindow="-110" yWindow="-110" windowWidth="19420" windowHeight="10420" activeTab="2" xr2:uid="{00000000-000D-0000-FFFF-FFFF00000000}"/>
  </bookViews>
  <sheets>
    <sheet name="Sheet1" sheetId="1" r:id="rId1"/>
    <sheet name="LMT" sheetId="2" r:id="rId2"/>
    <sheet name="S-P" sheetId="3" r:id="rId3"/>
  </sheets>
  <calcPr calcId="191029"/>
</workbook>
</file>

<file path=xl/calcChain.xml><?xml version="1.0" encoding="utf-8"?>
<calcChain xmlns="http://schemas.openxmlformats.org/spreadsheetml/2006/main">
  <c r="O41" i="2" l="1"/>
  <c r="P41" i="2"/>
  <c r="Q41" i="2"/>
  <c r="T41" i="2" s="1"/>
  <c r="R41" i="2"/>
  <c r="S41" i="2"/>
  <c r="U41" i="2"/>
  <c r="X41" i="2" s="1"/>
  <c r="V41" i="2"/>
  <c r="W41" i="2"/>
  <c r="O42" i="2"/>
  <c r="P42" i="2"/>
  <c r="Q42" i="2"/>
  <c r="R42" i="2"/>
  <c r="S42" i="2"/>
  <c r="T42" i="2"/>
  <c r="U42" i="2"/>
  <c r="V42" i="2"/>
  <c r="W42" i="2"/>
  <c r="X42" i="2"/>
  <c r="L41" i="2"/>
  <c r="L42" i="2"/>
  <c r="R6" i="3" l="1"/>
  <c r="R7" i="3"/>
  <c r="R8" i="3"/>
  <c r="R9" i="3"/>
  <c r="R10" i="3"/>
  <c r="R5" i="3"/>
  <c r="O35" i="2"/>
  <c r="P35" i="2"/>
  <c r="Q35" i="2"/>
  <c r="T35" i="2" s="1"/>
  <c r="R35" i="2"/>
  <c r="S35" i="2"/>
  <c r="U35" i="2"/>
  <c r="X35" i="2" s="1"/>
  <c r="V35" i="2"/>
  <c r="W35" i="2"/>
  <c r="L35" i="2"/>
  <c r="E6" i="3" l="1"/>
  <c r="F6" i="3"/>
  <c r="D6" i="3"/>
  <c r="Z9" i="3"/>
  <c r="Z10" i="3"/>
  <c r="Z11" i="3"/>
  <c r="Z12" i="3"/>
  <c r="Z13" i="3"/>
  <c r="Z8" i="3"/>
  <c r="V13" i="3"/>
  <c r="W13" i="3"/>
  <c r="X13" i="3"/>
  <c r="Y13" i="3"/>
  <c r="U13" i="3"/>
  <c r="H29" i="3" l="1"/>
  <c r="F29" i="3"/>
  <c r="G28" i="3"/>
  <c r="G27" i="3"/>
  <c r="G26" i="3"/>
  <c r="G25" i="3"/>
  <c r="G24" i="3"/>
  <c r="G23" i="3"/>
  <c r="G22" i="3"/>
  <c r="B1" i="2"/>
  <c r="L87" i="2"/>
  <c r="O87" i="2"/>
  <c r="P87" i="2"/>
  <c r="Q87" i="2"/>
  <c r="T87" i="2" s="1"/>
  <c r="R87" i="2"/>
  <c r="S87" i="2"/>
  <c r="U87" i="2"/>
  <c r="X87" i="2" s="1"/>
  <c r="V87" i="2"/>
  <c r="W87" i="2"/>
  <c r="L88" i="2"/>
  <c r="O88" i="2"/>
  <c r="P88" i="2"/>
  <c r="Q88" i="2"/>
  <c r="T88" i="2" s="1"/>
  <c r="R88" i="2"/>
  <c r="S88" i="2"/>
  <c r="U88" i="2"/>
  <c r="X88" i="2" s="1"/>
  <c r="V88" i="2"/>
  <c r="W88" i="2"/>
  <c r="L89" i="2"/>
  <c r="O89" i="2"/>
  <c r="P89" i="2"/>
  <c r="Q89" i="2"/>
  <c r="T89" i="2" s="1"/>
  <c r="R89" i="2"/>
  <c r="S89" i="2"/>
  <c r="U89" i="2"/>
  <c r="X89" i="2" s="1"/>
  <c r="V89" i="2"/>
  <c r="W89" i="2"/>
  <c r="L90" i="2"/>
  <c r="O90" i="2"/>
  <c r="P90" i="2"/>
  <c r="Q90" i="2"/>
  <c r="T90" i="2" s="1"/>
  <c r="R90" i="2"/>
  <c r="S90" i="2"/>
  <c r="U90" i="2"/>
  <c r="X90" i="2" s="1"/>
  <c r="V90" i="2"/>
  <c r="W90" i="2"/>
  <c r="L91" i="2"/>
  <c r="O91" i="2"/>
  <c r="P91" i="2"/>
  <c r="Q91" i="2"/>
  <c r="T91" i="2" s="1"/>
  <c r="R91" i="2"/>
  <c r="S91" i="2"/>
  <c r="U91" i="2"/>
  <c r="X91" i="2" s="1"/>
  <c r="V91" i="2"/>
  <c r="W91" i="2"/>
  <c r="L92" i="2"/>
  <c r="O92" i="2"/>
  <c r="P92" i="2"/>
  <c r="Q92" i="2"/>
  <c r="T92" i="2" s="1"/>
  <c r="R92" i="2"/>
  <c r="S92" i="2"/>
  <c r="U92" i="2"/>
  <c r="X92" i="2" s="1"/>
  <c r="V92" i="2"/>
  <c r="W92" i="2"/>
  <c r="L93" i="2"/>
  <c r="O93" i="2"/>
  <c r="P93" i="2"/>
  <c r="Q93" i="2"/>
  <c r="T93" i="2" s="1"/>
  <c r="R93" i="2"/>
  <c r="S93" i="2"/>
  <c r="U93" i="2"/>
  <c r="X93" i="2" s="1"/>
  <c r="V93" i="2"/>
  <c r="W93" i="2"/>
  <c r="L94" i="2"/>
  <c r="O94" i="2"/>
  <c r="P94" i="2"/>
  <c r="Q94" i="2"/>
  <c r="T94" i="2" s="1"/>
  <c r="R94" i="2"/>
  <c r="S94" i="2"/>
  <c r="U94" i="2"/>
  <c r="X94" i="2" s="1"/>
  <c r="V94" i="2"/>
  <c r="W94" i="2"/>
  <c r="L95" i="2"/>
  <c r="O95" i="2"/>
  <c r="P95" i="2"/>
  <c r="Q95" i="2"/>
  <c r="T95" i="2" s="1"/>
  <c r="R95" i="2"/>
  <c r="S95" i="2"/>
  <c r="U95" i="2"/>
  <c r="X95" i="2" s="1"/>
  <c r="V95" i="2"/>
  <c r="W95" i="2"/>
  <c r="L96" i="2"/>
  <c r="O96" i="2"/>
  <c r="P96" i="2"/>
  <c r="Q96" i="2"/>
  <c r="T96" i="2" s="1"/>
  <c r="R96" i="2"/>
  <c r="S96" i="2"/>
  <c r="U96" i="2"/>
  <c r="X96" i="2" s="1"/>
  <c r="V96" i="2"/>
  <c r="W96" i="2"/>
  <c r="L97" i="2"/>
  <c r="O97" i="2"/>
  <c r="P97" i="2"/>
  <c r="Q97" i="2"/>
  <c r="T97" i="2" s="1"/>
  <c r="R97" i="2"/>
  <c r="S97" i="2"/>
  <c r="U97" i="2"/>
  <c r="X97" i="2" s="1"/>
  <c r="V97" i="2"/>
  <c r="W97" i="2"/>
  <c r="L98" i="2"/>
  <c r="O98" i="2"/>
  <c r="P98" i="2"/>
  <c r="Q98" i="2"/>
  <c r="T98" i="2" s="1"/>
  <c r="R98" i="2"/>
  <c r="S98" i="2"/>
  <c r="U98" i="2"/>
  <c r="X98" i="2" s="1"/>
  <c r="V98" i="2"/>
  <c r="W98" i="2"/>
  <c r="L99" i="2"/>
  <c r="O99" i="2"/>
  <c r="P99" i="2"/>
  <c r="Q99" i="2"/>
  <c r="T99" i="2" s="1"/>
  <c r="R99" i="2"/>
  <c r="S99" i="2"/>
  <c r="U99" i="2"/>
  <c r="X99" i="2" s="1"/>
  <c r="V99" i="2"/>
  <c r="W99" i="2"/>
  <c r="L100" i="2"/>
  <c r="O100" i="2"/>
  <c r="P100" i="2"/>
  <c r="Q100" i="2"/>
  <c r="T100" i="2" s="1"/>
  <c r="R100" i="2"/>
  <c r="S100" i="2"/>
  <c r="U100" i="2"/>
  <c r="X100" i="2" s="1"/>
  <c r="V100" i="2"/>
  <c r="W100" i="2"/>
  <c r="L101" i="2"/>
  <c r="O101" i="2"/>
  <c r="P101" i="2"/>
  <c r="Q101" i="2"/>
  <c r="T101" i="2" s="1"/>
  <c r="R101" i="2"/>
  <c r="S101" i="2"/>
  <c r="U101" i="2"/>
  <c r="X101" i="2" s="1"/>
  <c r="V101" i="2"/>
  <c r="W101" i="2"/>
  <c r="L102" i="2"/>
  <c r="O102" i="2"/>
  <c r="P102" i="2"/>
  <c r="Q102" i="2"/>
  <c r="T102" i="2" s="1"/>
  <c r="R102" i="2"/>
  <c r="S102" i="2"/>
  <c r="U102" i="2"/>
  <c r="X102" i="2" s="1"/>
  <c r="V102" i="2"/>
  <c r="W102" i="2"/>
  <c r="L103" i="2"/>
  <c r="O103" i="2"/>
  <c r="P103" i="2"/>
  <c r="Q103" i="2"/>
  <c r="T103" i="2" s="1"/>
  <c r="R103" i="2"/>
  <c r="S103" i="2"/>
  <c r="U103" i="2"/>
  <c r="X103" i="2" s="1"/>
  <c r="V103" i="2"/>
  <c r="W103" i="2"/>
  <c r="L104" i="2"/>
  <c r="O104" i="2"/>
  <c r="P104" i="2"/>
  <c r="Q104" i="2"/>
  <c r="T104" i="2" s="1"/>
  <c r="R104" i="2"/>
  <c r="S104" i="2"/>
  <c r="U104" i="2"/>
  <c r="X104" i="2" s="1"/>
  <c r="V104" i="2"/>
  <c r="W104" i="2"/>
  <c r="L105" i="2"/>
  <c r="O105" i="2"/>
  <c r="P105" i="2"/>
  <c r="Q105" i="2"/>
  <c r="T105" i="2" s="1"/>
  <c r="R105" i="2"/>
  <c r="S105" i="2"/>
  <c r="U105" i="2"/>
  <c r="X105" i="2" s="1"/>
  <c r="V105" i="2"/>
  <c r="W105" i="2"/>
  <c r="L106" i="2"/>
  <c r="O106" i="2"/>
  <c r="P106" i="2"/>
  <c r="Q106" i="2"/>
  <c r="T106" i="2" s="1"/>
  <c r="R106" i="2"/>
  <c r="S106" i="2"/>
  <c r="U106" i="2"/>
  <c r="X106" i="2" s="1"/>
  <c r="V106" i="2"/>
  <c r="W106" i="2"/>
  <c r="L107" i="2"/>
  <c r="O107" i="2"/>
  <c r="P107" i="2"/>
  <c r="Q107" i="2"/>
  <c r="T107" i="2" s="1"/>
  <c r="R107" i="2"/>
  <c r="S107" i="2"/>
  <c r="U107" i="2"/>
  <c r="X107" i="2" s="1"/>
  <c r="V107" i="2"/>
  <c r="W107" i="2"/>
  <c r="L108" i="2"/>
  <c r="O108" i="2"/>
  <c r="P108" i="2"/>
  <c r="Q108" i="2"/>
  <c r="T108" i="2" s="1"/>
  <c r="R108" i="2"/>
  <c r="S108" i="2"/>
  <c r="U108" i="2"/>
  <c r="X108" i="2" s="1"/>
  <c r="V108" i="2"/>
  <c r="W108" i="2"/>
  <c r="L109" i="2"/>
  <c r="O109" i="2"/>
  <c r="P109" i="2"/>
  <c r="Q109" i="2"/>
  <c r="T109" i="2" s="1"/>
  <c r="R109" i="2"/>
  <c r="S109" i="2"/>
  <c r="U109" i="2"/>
  <c r="X109" i="2" s="1"/>
  <c r="V109" i="2"/>
  <c r="W109" i="2"/>
  <c r="L110" i="2"/>
  <c r="O110" i="2"/>
  <c r="P110" i="2"/>
  <c r="Q110" i="2"/>
  <c r="T110" i="2" s="1"/>
  <c r="R110" i="2"/>
  <c r="S110" i="2"/>
  <c r="U110" i="2"/>
  <c r="X110" i="2" s="1"/>
  <c r="V110" i="2"/>
  <c r="W110" i="2"/>
  <c r="L111" i="2"/>
  <c r="O111" i="2"/>
  <c r="P111" i="2"/>
  <c r="Q111" i="2"/>
  <c r="T111" i="2" s="1"/>
  <c r="R111" i="2"/>
  <c r="S111" i="2"/>
  <c r="U111" i="2"/>
  <c r="X111" i="2" s="1"/>
  <c r="V111" i="2"/>
  <c r="W111" i="2"/>
  <c r="L112" i="2"/>
  <c r="O112" i="2"/>
  <c r="P112" i="2"/>
  <c r="Q112" i="2"/>
  <c r="T112" i="2" s="1"/>
  <c r="R112" i="2"/>
  <c r="S112" i="2"/>
  <c r="U112" i="2"/>
  <c r="X112" i="2" s="1"/>
  <c r="V112" i="2"/>
  <c r="W112" i="2"/>
  <c r="L113" i="2"/>
  <c r="O113" i="2"/>
  <c r="P113" i="2"/>
  <c r="Q113" i="2"/>
  <c r="T113" i="2" s="1"/>
  <c r="R113" i="2"/>
  <c r="S113" i="2"/>
  <c r="U113" i="2"/>
  <c r="X113" i="2" s="1"/>
  <c r="V113" i="2"/>
  <c r="W113" i="2"/>
  <c r="L114" i="2"/>
  <c r="O114" i="2"/>
  <c r="P114" i="2"/>
  <c r="Q114" i="2"/>
  <c r="T114" i="2" s="1"/>
  <c r="R114" i="2"/>
  <c r="S114" i="2"/>
  <c r="U114" i="2"/>
  <c r="X114" i="2" s="1"/>
  <c r="V114" i="2"/>
  <c r="W114" i="2"/>
  <c r="L115" i="2"/>
  <c r="O115" i="2"/>
  <c r="P115" i="2"/>
  <c r="Q115" i="2"/>
  <c r="T115" i="2" s="1"/>
  <c r="R115" i="2"/>
  <c r="S115" i="2"/>
  <c r="U115" i="2"/>
  <c r="X115" i="2" s="1"/>
  <c r="V115" i="2"/>
  <c r="W115" i="2"/>
  <c r="L116" i="2"/>
  <c r="O116" i="2"/>
  <c r="P116" i="2"/>
  <c r="Q116" i="2"/>
  <c r="T116" i="2" s="1"/>
  <c r="R116" i="2"/>
  <c r="S116" i="2"/>
  <c r="U116" i="2"/>
  <c r="X116" i="2" s="1"/>
  <c r="V116" i="2"/>
  <c r="W116" i="2"/>
  <c r="L117" i="2"/>
  <c r="O117" i="2"/>
  <c r="P117" i="2"/>
  <c r="Q117" i="2"/>
  <c r="T117" i="2" s="1"/>
  <c r="R117" i="2"/>
  <c r="S117" i="2"/>
  <c r="U117" i="2"/>
  <c r="X117" i="2" s="1"/>
  <c r="V117" i="2"/>
  <c r="W117" i="2"/>
  <c r="L118" i="2"/>
  <c r="O118" i="2"/>
  <c r="P118" i="2"/>
  <c r="Q118" i="2"/>
  <c r="T118" i="2" s="1"/>
  <c r="R118" i="2"/>
  <c r="S118" i="2"/>
  <c r="U118" i="2"/>
  <c r="X118" i="2" s="1"/>
  <c r="V118" i="2"/>
  <c r="W118" i="2"/>
  <c r="L119" i="2"/>
  <c r="O119" i="2"/>
  <c r="P119" i="2"/>
  <c r="Q119" i="2"/>
  <c r="T119" i="2" s="1"/>
  <c r="R119" i="2"/>
  <c r="S119" i="2"/>
  <c r="U119" i="2"/>
  <c r="X119" i="2" s="1"/>
  <c r="V119" i="2"/>
  <c r="W119" i="2"/>
  <c r="L120" i="2"/>
  <c r="O120" i="2"/>
  <c r="P120" i="2"/>
  <c r="Q120" i="2"/>
  <c r="T120" i="2" s="1"/>
  <c r="R120" i="2"/>
  <c r="S120" i="2"/>
  <c r="U120" i="2"/>
  <c r="X120" i="2" s="1"/>
  <c r="V120" i="2"/>
  <c r="W120" i="2"/>
  <c r="L121" i="2"/>
  <c r="O121" i="2"/>
  <c r="P121" i="2"/>
  <c r="Q121" i="2"/>
  <c r="T121" i="2" s="1"/>
  <c r="R121" i="2"/>
  <c r="S121" i="2"/>
  <c r="U121" i="2"/>
  <c r="X121" i="2" s="1"/>
  <c r="V121" i="2"/>
  <c r="W121" i="2"/>
  <c r="L122" i="2"/>
  <c r="O122" i="2"/>
  <c r="P122" i="2"/>
  <c r="Q122" i="2"/>
  <c r="T122" i="2" s="1"/>
  <c r="R122" i="2"/>
  <c r="S122" i="2"/>
  <c r="U122" i="2"/>
  <c r="X122" i="2" s="1"/>
  <c r="V122" i="2"/>
  <c r="W122" i="2"/>
  <c r="L123" i="2"/>
  <c r="O123" i="2"/>
  <c r="P123" i="2"/>
  <c r="Q123" i="2"/>
  <c r="T123" i="2" s="1"/>
  <c r="R123" i="2"/>
  <c r="S123" i="2"/>
  <c r="U123" i="2"/>
  <c r="X123" i="2" s="1"/>
  <c r="V123" i="2"/>
  <c r="W123" i="2"/>
  <c r="L124" i="2"/>
  <c r="O124" i="2"/>
  <c r="P124" i="2"/>
  <c r="Q124" i="2"/>
  <c r="T124" i="2" s="1"/>
  <c r="R124" i="2"/>
  <c r="S124" i="2"/>
  <c r="U124" i="2"/>
  <c r="X124" i="2" s="1"/>
  <c r="V124" i="2"/>
  <c r="W124" i="2"/>
  <c r="L125" i="2"/>
  <c r="O125" i="2"/>
  <c r="P125" i="2"/>
  <c r="Q125" i="2"/>
  <c r="T125" i="2" s="1"/>
  <c r="R125" i="2"/>
  <c r="S125" i="2"/>
  <c r="U125" i="2"/>
  <c r="X125" i="2" s="1"/>
  <c r="V125" i="2"/>
  <c r="W125" i="2"/>
  <c r="L126" i="2"/>
  <c r="O126" i="2"/>
  <c r="P126" i="2"/>
  <c r="Q126" i="2"/>
  <c r="T126" i="2" s="1"/>
  <c r="R126" i="2"/>
  <c r="S126" i="2"/>
  <c r="U126" i="2"/>
  <c r="X126" i="2" s="1"/>
  <c r="V126" i="2"/>
  <c r="W126" i="2"/>
  <c r="L127" i="2"/>
  <c r="O127" i="2"/>
  <c r="P127" i="2"/>
  <c r="Q127" i="2"/>
  <c r="T127" i="2" s="1"/>
  <c r="R127" i="2"/>
  <c r="S127" i="2"/>
  <c r="U127" i="2"/>
  <c r="X127" i="2" s="1"/>
  <c r="V127" i="2"/>
  <c r="W127" i="2"/>
  <c r="L128" i="2"/>
  <c r="M128" i="2"/>
  <c r="O128" i="2"/>
  <c r="P128" i="2"/>
  <c r="Q128" i="2"/>
  <c r="T128" i="2" s="1"/>
  <c r="R128" i="2"/>
  <c r="S128" i="2"/>
  <c r="U128" i="2"/>
  <c r="X128" i="2" s="1"/>
  <c r="V128" i="2"/>
  <c r="W128" i="2"/>
  <c r="L129" i="2"/>
  <c r="M129" i="2"/>
  <c r="O129" i="2"/>
  <c r="P129" i="2"/>
  <c r="Q129" i="2"/>
  <c r="T129" i="2" s="1"/>
  <c r="R129" i="2"/>
  <c r="S129" i="2"/>
  <c r="U129" i="2"/>
  <c r="X129" i="2" s="1"/>
  <c r="V129" i="2"/>
  <c r="W129" i="2"/>
  <c r="L130" i="2"/>
  <c r="M130" i="2"/>
  <c r="O130" i="2"/>
  <c r="P130" i="2"/>
  <c r="Q130" i="2"/>
  <c r="T130" i="2" s="1"/>
  <c r="R130" i="2"/>
  <c r="S130" i="2"/>
  <c r="U130" i="2"/>
  <c r="X130" i="2" s="1"/>
  <c r="V130" i="2"/>
  <c r="W130" i="2"/>
  <c r="L131" i="2"/>
  <c r="M131" i="2"/>
  <c r="O131" i="2"/>
  <c r="P131" i="2"/>
  <c r="Q131" i="2"/>
  <c r="T131" i="2" s="1"/>
  <c r="R131" i="2"/>
  <c r="S131" i="2"/>
  <c r="U131" i="2"/>
  <c r="X131" i="2" s="1"/>
  <c r="V131" i="2"/>
  <c r="W131" i="2"/>
  <c r="L132" i="2"/>
  <c r="M132" i="2"/>
  <c r="O132" i="2"/>
  <c r="P132" i="2"/>
  <c r="Q132" i="2"/>
  <c r="T132" i="2" s="1"/>
  <c r="R132" i="2"/>
  <c r="S132" i="2"/>
  <c r="U132" i="2"/>
  <c r="X132" i="2" s="1"/>
  <c r="V132" i="2"/>
  <c r="W132" i="2"/>
  <c r="L133" i="2"/>
  <c r="M133" i="2"/>
  <c r="O133" i="2"/>
  <c r="P133" i="2"/>
  <c r="Q133" i="2"/>
  <c r="T133" i="2" s="1"/>
  <c r="R133" i="2"/>
  <c r="S133" i="2"/>
  <c r="U133" i="2"/>
  <c r="X133" i="2" s="1"/>
  <c r="V133" i="2"/>
  <c r="W133" i="2"/>
  <c r="L134" i="2"/>
  <c r="M134" i="2"/>
  <c r="O134" i="2"/>
  <c r="P134" i="2"/>
  <c r="Q134" i="2"/>
  <c r="T134" i="2" s="1"/>
  <c r="R134" i="2"/>
  <c r="S134" i="2"/>
  <c r="U134" i="2"/>
  <c r="X134" i="2" s="1"/>
  <c r="V134" i="2"/>
  <c r="W134" i="2"/>
  <c r="G29" i="3" l="1"/>
  <c r="L81" i="2"/>
  <c r="L82" i="2"/>
  <c r="L83" i="2"/>
  <c r="L84" i="2"/>
  <c r="L85" i="2"/>
  <c r="L86" i="2"/>
  <c r="O82" i="2" l="1"/>
  <c r="P82" i="2"/>
  <c r="Q82" i="2"/>
  <c r="T82" i="2" s="1"/>
  <c r="R82" i="2"/>
  <c r="S82" i="2"/>
  <c r="U82" i="2"/>
  <c r="X82" i="2" s="1"/>
  <c r="V82" i="2"/>
  <c r="W82" i="2"/>
  <c r="O83" i="2"/>
  <c r="P83" i="2"/>
  <c r="Q83" i="2"/>
  <c r="T83" i="2" s="1"/>
  <c r="R83" i="2"/>
  <c r="S83" i="2"/>
  <c r="U83" i="2"/>
  <c r="X83" i="2" s="1"/>
  <c r="V83" i="2"/>
  <c r="W83" i="2"/>
  <c r="O84" i="2"/>
  <c r="P84" i="2"/>
  <c r="Q84" i="2"/>
  <c r="T84" i="2" s="1"/>
  <c r="R84" i="2"/>
  <c r="S84" i="2"/>
  <c r="U84" i="2"/>
  <c r="X84" i="2" s="1"/>
  <c r="V84" i="2"/>
  <c r="W84" i="2"/>
  <c r="O85" i="2"/>
  <c r="P85" i="2"/>
  <c r="Q85" i="2"/>
  <c r="T85" i="2" s="1"/>
  <c r="R85" i="2"/>
  <c r="S85" i="2"/>
  <c r="U85" i="2"/>
  <c r="X85" i="2" s="1"/>
  <c r="V85" i="2"/>
  <c r="W85" i="2"/>
  <c r="O86" i="2"/>
  <c r="P86" i="2"/>
  <c r="Q86" i="2"/>
  <c r="T86" i="2" s="1"/>
  <c r="R86" i="2"/>
  <c r="S86" i="2"/>
  <c r="U86" i="2"/>
  <c r="X86" i="2" s="1"/>
  <c r="V86" i="2"/>
  <c r="W86" i="2"/>
  <c r="L70" i="2" l="1"/>
  <c r="L64" i="2"/>
  <c r="O64" i="2"/>
  <c r="P64" i="2"/>
  <c r="Q64" i="2"/>
  <c r="T64" i="2" s="1"/>
  <c r="R64" i="2"/>
  <c r="S64" i="2"/>
  <c r="U64" i="2"/>
  <c r="X64" i="2" s="1"/>
  <c r="V64" i="2"/>
  <c r="W64" i="2"/>
  <c r="L65" i="2"/>
  <c r="O65" i="2"/>
  <c r="P65" i="2"/>
  <c r="Q65" i="2"/>
  <c r="T65" i="2" s="1"/>
  <c r="R65" i="2"/>
  <c r="S65" i="2"/>
  <c r="U65" i="2"/>
  <c r="X65" i="2" s="1"/>
  <c r="V65" i="2"/>
  <c r="W65" i="2"/>
  <c r="L66" i="2"/>
  <c r="O66" i="2"/>
  <c r="P66" i="2"/>
  <c r="Q66" i="2"/>
  <c r="T66" i="2" s="1"/>
  <c r="R66" i="2"/>
  <c r="S66" i="2"/>
  <c r="U66" i="2"/>
  <c r="X66" i="2" s="1"/>
  <c r="V66" i="2"/>
  <c r="W66" i="2"/>
  <c r="L67" i="2"/>
  <c r="O67" i="2"/>
  <c r="P67" i="2"/>
  <c r="Q67" i="2"/>
  <c r="T67" i="2" s="1"/>
  <c r="R67" i="2"/>
  <c r="S67" i="2"/>
  <c r="U67" i="2"/>
  <c r="X67" i="2" s="1"/>
  <c r="V67" i="2"/>
  <c r="W67" i="2"/>
  <c r="L68" i="2"/>
  <c r="O68" i="2"/>
  <c r="P68" i="2"/>
  <c r="Q68" i="2"/>
  <c r="T68" i="2" s="1"/>
  <c r="R68" i="2"/>
  <c r="S68" i="2"/>
  <c r="U68" i="2"/>
  <c r="X68" i="2" s="1"/>
  <c r="V68" i="2"/>
  <c r="W68" i="2"/>
  <c r="L69" i="2"/>
  <c r="O69" i="2"/>
  <c r="P69" i="2"/>
  <c r="Q69" i="2"/>
  <c r="T69" i="2" s="1"/>
  <c r="R69" i="2"/>
  <c r="S69" i="2"/>
  <c r="U69" i="2"/>
  <c r="X69" i="2" s="1"/>
  <c r="V69" i="2"/>
  <c r="W69" i="2"/>
  <c r="O70" i="2"/>
  <c r="P70" i="2"/>
  <c r="Q70" i="2"/>
  <c r="T70" i="2" s="1"/>
  <c r="R70" i="2"/>
  <c r="S70" i="2"/>
  <c r="V70" i="2"/>
  <c r="W70" i="2"/>
  <c r="L71" i="2"/>
  <c r="O71" i="2"/>
  <c r="P71" i="2"/>
  <c r="Q71" i="2"/>
  <c r="T71" i="2" s="1"/>
  <c r="R71" i="2"/>
  <c r="S71" i="2"/>
  <c r="U71" i="2"/>
  <c r="X71" i="2" s="1"/>
  <c r="V71" i="2"/>
  <c r="W71" i="2"/>
  <c r="L72" i="2"/>
  <c r="O72" i="2"/>
  <c r="P72" i="2"/>
  <c r="Q72" i="2"/>
  <c r="T72" i="2" s="1"/>
  <c r="R72" i="2"/>
  <c r="S72" i="2"/>
  <c r="U72" i="2"/>
  <c r="X72" i="2" s="1"/>
  <c r="V72" i="2"/>
  <c r="W72" i="2"/>
  <c r="L73" i="2"/>
  <c r="O73" i="2"/>
  <c r="P73" i="2"/>
  <c r="Q73" i="2"/>
  <c r="T73" i="2" s="1"/>
  <c r="R73" i="2"/>
  <c r="S73" i="2"/>
  <c r="U73" i="2"/>
  <c r="X73" i="2" s="1"/>
  <c r="V73" i="2"/>
  <c r="W73" i="2"/>
  <c r="L74" i="2"/>
  <c r="O74" i="2"/>
  <c r="P74" i="2"/>
  <c r="Q74" i="2"/>
  <c r="T74" i="2" s="1"/>
  <c r="R74" i="2"/>
  <c r="S74" i="2"/>
  <c r="U74" i="2"/>
  <c r="X74" i="2" s="1"/>
  <c r="V74" i="2"/>
  <c r="W74" i="2"/>
  <c r="L75" i="2"/>
  <c r="O75" i="2"/>
  <c r="P75" i="2"/>
  <c r="Q75" i="2"/>
  <c r="T75" i="2" s="1"/>
  <c r="R75" i="2"/>
  <c r="S75" i="2"/>
  <c r="U75" i="2"/>
  <c r="X75" i="2" s="1"/>
  <c r="V75" i="2"/>
  <c r="W75" i="2"/>
  <c r="L76" i="2"/>
  <c r="O76" i="2"/>
  <c r="P76" i="2"/>
  <c r="Q76" i="2"/>
  <c r="T76" i="2" s="1"/>
  <c r="R76" i="2"/>
  <c r="S76" i="2"/>
  <c r="U76" i="2"/>
  <c r="X76" i="2" s="1"/>
  <c r="V76" i="2"/>
  <c r="W76" i="2"/>
  <c r="L77" i="2"/>
  <c r="O77" i="2"/>
  <c r="P77" i="2"/>
  <c r="Q77" i="2"/>
  <c r="T77" i="2" s="1"/>
  <c r="R77" i="2"/>
  <c r="S77" i="2"/>
  <c r="U77" i="2"/>
  <c r="X77" i="2" s="1"/>
  <c r="V77" i="2"/>
  <c r="W77" i="2"/>
  <c r="L78" i="2"/>
  <c r="O78" i="2"/>
  <c r="P78" i="2"/>
  <c r="Q78" i="2"/>
  <c r="T78" i="2" s="1"/>
  <c r="R78" i="2"/>
  <c r="S78" i="2"/>
  <c r="U78" i="2"/>
  <c r="X78" i="2" s="1"/>
  <c r="V78" i="2"/>
  <c r="W78" i="2"/>
  <c r="L79" i="2"/>
  <c r="O79" i="2"/>
  <c r="P79" i="2"/>
  <c r="Q79" i="2"/>
  <c r="T79" i="2" s="1"/>
  <c r="R79" i="2"/>
  <c r="S79" i="2"/>
  <c r="U79" i="2"/>
  <c r="X79" i="2" s="1"/>
  <c r="V79" i="2"/>
  <c r="W79" i="2"/>
  <c r="L80" i="2"/>
  <c r="O80" i="2"/>
  <c r="P80" i="2"/>
  <c r="Q80" i="2"/>
  <c r="T80" i="2" s="1"/>
  <c r="R80" i="2"/>
  <c r="S80" i="2"/>
  <c r="U80" i="2"/>
  <c r="X80" i="2" s="1"/>
  <c r="V80" i="2"/>
  <c r="W80" i="2"/>
  <c r="O81" i="2"/>
  <c r="P81" i="2"/>
  <c r="Q81" i="2"/>
  <c r="T81" i="2" s="1"/>
  <c r="R81" i="2"/>
  <c r="S81" i="2"/>
  <c r="U81" i="2"/>
  <c r="X81" i="2" s="1"/>
  <c r="V81" i="2"/>
  <c r="W81" i="2"/>
  <c r="U70" i="2" l="1"/>
  <c r="X70" i="2" s="1"/>
  <c r="L50" i="2" l="1"/>
  <c r="O50" i="2"/>
  <c r="P50" i="2"/>
  <c r="V50" i="2"/>
  <c r="W50" i="2"/>
  <c r="L51" i="2"/>
  <c r="O51" i="2"/>
  <c r="P51" i="2"/>
  <c r="V51" i="2"/>
  <c r="W51" i="2"/>
  <c r="L52" i="2"/>
  <c r="O52" i="2"/>
  <c r="P52" i="2"/>
  <c r="V52" i="2"/>
  <c r="W52" i="2"/>
  <c r="L53" i="2"/>
  <c r="O53" i="2"/>
  <c r="P53" i="2"/>
  <c r="V53" i="2"/>
  <c r="W53" i="2"/>
  <c r="L54" i="2"/>
  <c r="O54" i="2"/>
  <c r="P54" i="2"/>
  <c r="V54" i="2"/>
  <c r="W54" i="2"/>
  <c r="L55" i="2"/>
  <c r="O55" i="2"/>
  <c r="P55" i="2"/>
  <c r="V55" i="2"/>
  <c r="W55" i="2"/>
  <c r="L56" i="2"/>
  <c r="O56" i="2"/>
  <c r="P56" i="2"/>
  <c r="V56" i="2"/>
  <c r="W56" i="2"/>
  <c r="L57" i="2"/>
  <c r="O57" i="2"/>
  <c r="P57" i="2"/>
  <c r="V57" i="2"/>
  <c r="W57" i="2"/>
  <c r="L58" i="2"/>
  <c r="O58" i="2"/>
  <c r="P58" i="2"/>
  <c r="V58" i="2"/>
  <c r="W58" i="2"/>
  <c r="L59" i="2"/>
  <c r="O59" i="2"/>
  <c r="P59" i="2"/>
  <c r="V59" i="2"/>
  <c r="W59" i="2"/>
  <c r="L60" i="2"/>
  <c r="O60" i="2"/>
  <c r="P60" i="2"/>
  <c r="V60" i="2"/>
  <c r="W60" i="2"/>
  <c r="L61" i="2"/>
  <c r="O61" i="2"/>
  <c r="P61" i="2"/>
  <c r="V61" i="2"/>
  <c r="W61" i="2"/>
  <c r="L62" i="2"/>
  <c r="O62" i="2"/>
  <c r="P62" i="2"/>
  <c r="V62" i="2"/>
  <c r="W62" i="2"/>
  <c r="L49" i="2"/>
  <c r="P49" i="2"/>
  <c r="W49" i="2"/>
  <c r="O49" i="2"/>
  <c r="V49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L29" i="2" l="1"/>
  <c r="O29" i="2"/>
  <c r="P29" i="2"/>
  <c r="Q29" i="2"/>
  <c r="T29" i="2" s="1"/>
  <c r="R29" i="2"/>
  <c r="S29" i="2"/>
  <c r="U29" i="2"/>
  <c r="X29" i="2" s="1"/>
  <c r="V29" i="2"/>
  <c r="W29" i="2"/>
  <c r="L34" i="2"/>
  <c r="O34" i="2"/>
  <c r="P34" i="2"/>
  <c r="Q34" i="2"/>
  <c r="T34" i="2" s="1"/>
  <c r="R34" i="2"/>
  <c r="S34" i="2"/>
  <c r="U34" i="2"/>
  <c r="X34" i="2" s="1"/>
  <c r="V34" i="2"/>
  <c r="W34" i="2"/>
  <c r="L36" i="2"/>
  <c r="O36" i="2"/>
  <c r="P36" i="2"/>
  <c r="Q36" i="2"/>
  <c r="T36" i="2" s="1"/>
  <c r="R36" i="2"/>
  <c r="S36" i="2"/>
  <c r="U36" i="2"/>
  <c r="X36" i="2" s="1"/>
  <c r="V36" i="2"/>
  <c r="W36" i="2"/>
  <c r="L37" i="2"/>
  <c r="O37" i="2"/>
  <c r="P37" i="2"/>
  <c r="Q37" i="2"/>
  <c r="T37" i="2" s="1"/>
  <c r="R37" i="2"/>
  <c r="S37" i="2"/>
  <c r="U37" i="2"/>
  <c r="X37" i="2" s="1"/>
  <c r="V37" i="2"/>
  <c r="W37" i="2"/>
  <c r="L38" i="2"/>
  <c r="O38" i="2"/>
  <c r="P38" i="2"/>
  <c r="Q38" i="2"/>
  <c r="T38" i="2" s="1"/>
  <c r="R38" i="2"/>
  <c r="S38" i="2"/>
  <c r="U38" i="2"/>
  <c r="X38" i="2" s="1"/>
  <c r="V38" i="2"/>
  <c r="W38" i="2"/>
  <c r="L39" i="2"/>
  <c r="O39" i="2"/>
  <c r="P39" i="2"/>
  <c r="Q39" i="2"/>
  <c r="T39" i="2" s="1"/>
  <c r="R39" i="2"/>
  <c r="S39" i="2"/>
  <c r="U39" i="2"/>
  <c r="X39" i="2" s="1"/>
  <c r="V39" i="2"/>
  <c r="W39" i="2"/>
  <c r="L40" i="2"/>
  <c r="O40" i="2"/>
  <c r="P40" i="2"/>
  <c r="Q40" i="2"/>
  <c r="T40" i="2" s="1"/>
  <c r="R40" i="2"/>
  <c r="S40" i="2"/>
  <c r="U40" i="2"/>
  <c r="X40" i="2" s="1"/>
  <c r="V40" i="2"/>
  <c r="W40" i="2"/>
  <c r="L43" i="2"/>
  <c r="O43" i="2"/>
  <c r="P43" i="2"/>
  <c r="Q43" i="2"/>
  <c r="T43" i="2" s="1"/>
  <c r="R43" i="2"/>
  <c r="S43" i="2"/>
  <c r="U43" i="2"/>
  <c r="X43" i="2" s="1"/>
  <c r="V43" i="2"/>
  <c r="W43" i="2"/>
  <c r="L44" i="2"/>
  <c r="O44" i="2"/>
  <c r="P44" i="2"/>
  <c r="Q44" i="2"/>
  <c r="T44" i="2" s="1"/>
  <c r="R44" i="2"/>
  <c r="S44" i="2"/>
  <c r="U44" i="2"/>
  <c r="X44" i="2" s="1"/>
  <c r="V44" i="2"/>
  <c r="W44" i="2"/>
  <c r="L45" i="2"/>
  <c r="O45" i="2"/>
  <c r="P45" i="2"/>
  <c r="Q45" i="2"/>
  <c r="T45" i="2" s="1"/>
  <c r="R45" i="2"/>
  <c r="S45" i="2"/>
  <c r="U45" i="2"/>
  <c r="X45" i="2" s="1"/>
  <c r="V45" i="2"/>
  <c r="W45" i="2"/>
  <c r="L46" i="2"/>
  <c r="O46" i="2"/>
  <c r="P46" i="2"/>
  <c r="Q46" i="2"/>
  <c r="T46" i="2" s="1"/>
  <c r="R46" i="2"/>
  <c r="S46" i="2"/>
  <c r="U46" i="2"/>
  <c r="X46" i="2" s="1"/>
  <c r="V46" i="2"/>
  <c r="W46" i="2"/>
  <c r="L47" i="2"/>
  <c r="O47" i="2"/>
  <c r="P47" i="2"/>
  <c r="Q47" i="2"/>
  <c r="T47" i="2" s="1"/>
  <c r="R47" i="2"/>
  <c r="S47" i="2"/>
  <c r="U47" i="2"/>
  <c r="X47" i="2" s="1"/>
  <c r="V47" i="2"/>
  <c r="W47" i="2"/>
  <c r="L48" i="2"/>
  <c r="O48" i="2"/>
  <c r="P48" i="2"/>
  <c r="Q48" i="2"/>
  <c r="T48" i="2" s="1"/>
  <c r="R48" i="2"/>
  <c r="S48" i="2"/>
  <c r="U48" i="2"/>
  <c r="X48" i="2" s="1"/>
  <c r="V48" i="2"/>
  <c r="W48" i="2"/>
  <c r="L136" i="2" l="1"/>
  <c r="L28" i="2" l="1"/>
  <c r="O28" i="2"/>
  <c r="P28" i="2"/>
  <c r="Q28" i="2"/>
  <c r="T28" i="2" s="1"/>
  <c r="R28" i="2"/>
  <c r="S28" i="2"/>
  <c r="U28" i="2"/>
  <c r="X28" i="2" s="1"/>
  <c r="V28" i="2"/>
  <c r="W28" i="2"/>
  <c r="L30" i="2"/>
  <c r="O30" i="2"/>
  <c r="P30" i="2"/>
  <c r="Q30" i="2"/>
  <c r="T30" i="2" s="1"/>
  <c r="R30" i="2"/>
  <c r="S30" i="2"/>
  <c r="U30" i="2"/>
  <c r="X30" i="2" s="1"/>
  <c r="V30" i="2"/>
  <c r="W30" i="2"/>
  <c r="L31" i="2"/>
  <c r="O31" i="2"/>
  <c r="P31" i="2"/>
  <c r="Q31" i="2"/>
  <c r="T31" i="2" s="1"/>
  <c r="R31" i="2"/>
  <c r="S31" i="2"/>
  <c r="U31" i="2"/>
  <c r="X31" i="2" s="1"/>
  <c r="V31" i="2"/>
  <c r="W31" i="2"/>
  <c r="L32" i="2"/>
  <c r="O32" i="2"/>
  <c r="P32" i="2"/>
  <c r="Q32" i="2"/>
  <c r="T32" i="2" s="1"/>
  <c r="R32" i="2"/>
  <c r="S32" i="2"/>
  <c r="U32" i="2"/>
  <c r="X32" i="2" s="1"/>
  <c r="V32" i="2"/>
  <c r="W32" i="2"/>
  <c r="L33" i="2"/>
  <c r="O33" i="2"/>
  <c r="P33" i="2"/>
  <c r="Q33" i="2"/>
  <c r="T33" i="2" s="1"/>
  <c r="R33" i="2"/>
  <c r="S33" i="2"/>
  <c r="U33" i="2"/>
  <c r="X33" i="2" s="1"/>
  <c r="V33" i="2"/>
  <c r="W33" i="2"/>
  <c r="L63" i="2"/>
  <c r="O63" i="2"/>
  <c r="P63" i="2"/>
  <c r="Q63" i="2"/>
  <c r="T63" i="2" s="1"/>
  <c r="R63" i="2"/>
  <c r="S63" i="2"/>
  <c r="U63" i="2"/>
  <c r="X63" i="2" s="1"/>
  <c r="V63" i="2"/>
  <c r="W63" i="2"/>
  <c r="U23" i="2"/>
  <c r="X23" i="2" s="1"/>
  <c r="U24" i="2"/>
  <c r="X24" i="2" s="1"/>
  <c r="U25" i="2"/>
  <c r="X25" i="2" s="1"/>
  <c r="U26" i="2"/>
  <c r="X26" i="2" s="1"/>
  <c r="U27" i="2"/>
  <c r="X27" i="2" s="1"/>
  <c r="Q23" i="2"/>
  <c r="T23" i="2" s="1"/>
  <c r="R23" i="2"/>
  <c r="S23" i="2"/>
  <c r="Q24" i="2"/>
  <c r="T24" i="2" s="1"/>
  <c r="R24" i="2"/>
  <c r="S24" i="2"/>
  <c r="Q25" i="2"/>
  <c r="T25" i="2" s="1"/>
  <c r="R25" i="2"/>
  <c r="S25" i="2"/>
  <c r="Q26" i="2"/>
  <c r="T26" i="2" s="1"/>
  <c r="R26" i="2"/>
  <c r="S26" i="2"/>
  <c r="Q27" i="2"/>
  <c r="T27" i="2" s="1"/>
  <c r="R27" i="2"/>
  <c r="S27" i="2"/>
  <c r="L24" i="2"/>
  <c r="O24" i="2"/>
  <c r="P24" i="2"/>
  <c r="V24" i="2"/>
  <c r="W24" i="2"/>
  <c r="L25" i="2"/>
  <c r="O25" i="2"/>
  <c r="P25" i="2"/>
  <c r="V25" i="2"/>
  <c r="W25" i="2"/>
  <c r="L26" i="2"/>
  <c r="O26" i="2"/>
  <c r="P26" i="2"/>
  <c r="V26" i="2"/>
  <c r="W26" i="2"/>
  <c r="L27" i="2"/>
  <c r="O27" i="2"/>
  <c r="P27" i="2"/>
  <c r="V27" i="2"/>
  <c r="W27" i="2"/>
  <c r="L23" i="2" l="1"/>
  <c r="P23" i="2"/>
  <c r="W23" i="2"/>
  <c r="O23" i="2"/>
  <c r="V23" i="2"/>
  <c r="G5" i="3" l="1"/>
  <c r="D13" i="3" l="1"/>
  <c r="O12" i="3"/>
  <c r="H6" i="3"/>
  <c r="L21" i="2"/>
  <c r="O21" i="2"/>
  <c r="P21" i="2"/>
  <c r="Q21" i="2"/>
  <c r="T21" i="2" s="1"/>
  <c r="R21" i="2"/>
  <c r="S21" i="2"/>
  <c r="U21" i="2"/>
  <c r="X21" i="2" s="1"/>
  <c r="V21" i="2"/>
  <c r="W21" i="2"/>
  <c r="L22" i="2"/>
  <c r="O22" i="2"/>
  <c r="P22" i="2"/>
  <c r="Q22" i="2"/>
  <c r="T22" i="2" s="1"/>
  <c r="R22" i="2"/>
  <c r="S22" i="2"/>
  <c r="U22" i="2"/>
  <c r="X22" i="2" s="1"/>
  <c r="V22" i="2"/>
  <c r="W22" i="2"/>
  <c r="F135" i="2" l="1"/>
  <c r="G135" i="2"/>
  <c r="H135" i="2"/>
  <c r="I135" i="2"/>
  <c r="J135" i="2"/>
  <c r="K135" i="2"/>
  <c r="E135" i="2"/>
  <c r="I5" i="3" l="1"/>
  <c r="G12" i="3"/>
  <c r="G13" i="3" s="1"/>
  <c r="L18" i="2"/>
  <c r="O18" i="2"/>
  <c r="P18" i="2"/>
  <c r="Q18" i="2"/>
  <c r="T18" i="2" s="1"/>
  <c r="R18" i="2"/>
  <c r="S18" i="2"/>
  <c r="U18" i="2"/>
  <c r="X18" i="2" s="1"/>
  <c r="V18" i="2"/>
  <c r="W18" i="2"/>
  <c r="L19" i="2"/>
  <c r="O19" i="2"/>
  <c r="P19" i="2"/>
  <c r="Q19" i="2"/>
  <c r="T19" i="2" s="1"/>
  <c r="R19" i="2"/>
  <c r="S19" i="2"/>
  <c r="U19" i="2"/>
  <c r="X19" i="2" s="1"/>
  <c r="V19" i="2"/>
  <c r="W19" i="2"/>
  <c r="L20" i="2"/>
  <c r="O20" i="2"/>
  <c r="P20" i="2"/>
  <c r="Q20" i="2"/>
  <c r="T20" i="2" s="1"/>
  <c r="R20" i="2"/>
  <c r="S20" i="2"/>
  <c r="U20" i="2"/>
  <c r="X20" i="2" s="1"/>
  <c r="V20" i="2"/>
  <c r="W20" i="2"/>
  <c r="L16" i="2"/>
  <c r="O16" i="2"/>
  <c r="P16" i="2"/>
  <c r="Q16" i="2"/>
  <c r="T16" i="2" s="1"/>
  <c r="R16" i="2"/>
  <c r="S16" i="2"/>
  <c r="U16" i="2"/>
  <c r="X16" i="2" s="1"/>
  <c r="V16" i="2"/>
  <c r="W16" i="2"/>
  <c r="L17" i="2"/>
  <c r="O17" i="2"/>
  <c r="P17" i="2"/>
  <c r="Q17" i="2"/>
  <c r="T17" i="2" s="1"/>
  <c r="R17" i="2"/>
  <c r="S17" i="2"/>
  <c r="U17" i="2"/>
  <c r="X17" i="2" s="1"/>
  <c r="V17" i="2"/>
  <c r="W17" i="2"/>
  <c r="F139" i="2"/>
  <c r="G139" i="2"/>
  <c r="H139" i="2"/>
  <c r="I139" i="2"/>
  <c r="J139" i="2"/>
  <c r="K139" i="2"/>
  <c r="E139" i="2"/>
  <c r="L137" i="2"/>
  <c r="E9" i="3"/>
  <c r="D9" i="3"/>
  <c r="M12" i="3"/>
  <c r="N11" i="3"/>
  <c r="N10" i="3"/>
  <c r="N9" i="3"/>
  <c r="N8" i="3"/>
  <c r="N7" i="3"/>
  <c r="N6" i="3"/>
  <c r="N5" i="3"/>
  <c r="G6" i="3" l="1"/>
  <c r="I6" i="3" s="1"/>
  <c r="N12" i="3"/>
  <c r="F140" i="2"/>
  <c r="G140" i="2"/>
  <c r="H140" i="2"/>
  <c r="E140" i="2"/>
  <c r="I140" i="2"/>
  <c r="K140" i="2"/>
  <c r="J140" i="2"/>
  <c r="O13" i="2"/>
  <c r="P13" i="2"/>
  <c r="Q13" i="2"/>
  <c r="T13" i="2" s="1"/>
  <c r="R13" i="2"/>
  <c r="S13" i="2"/>
  <c r="U13" i="2"/>
  <c r="X13" i="2" s="1"/>
  <c r="V13" i="2"/>
  <c r="W13" i="2"/>
  <c r="O14" i="2"/>
  <c r="P14" i="2"/>
  <c r="Q14" i="2"/>
  <c r="T14" i="2" s="1"/>
  <c r="R14" i="2"/>
  <c r="S14" i="2"/>
  <c r="U14" i="2"/>
  <c r="X14" i="2" s="1"/>
  <c r="V14" i="2"/>
  <c r="W14" i="2"/>
  <c r="O15" i="2"/>
  <c r="P15" i="2"/>
  <c r="Q15" i="2"/>
  <c r="T15" i="2" s="1"/>
  <c r="R15" i="2"/>
  <c r="S15" i="2"/>
  <c r="U15" i="2"/>
  <c r="X15" i="2" s="1"/>
  <c r="V15" i="2"/>
  <c r="W15" i="2"/>
  <c r="O135" i="2"/>
  <c r="P135" i="2"/>
  <c r="Q135" i="2"/>
  <c r="T135" i="2" s="1"/>
  <c r="R135" i="2"/>
  <c r="S135" i="2"/>
  <c r="U135" i="2"/>
  <c r="X135" i="2" s="1"/>
  <c r="V135" i="2"/>
  <c r="W135" i="2"/>
  <c r="O137" i="2"/>
  <c r="P137" i="2"/>
  <c r="Q137" i="2"/>
  <c r="T137" i="2" s="1"/>
  <c r="R137" i="2"/>
  <c r="S137" i="2"/>
  <c r="U137" i="2"/>
  <c r="X137" i="2" s="1"/>
  <c r="V137" i="2"/>
  <c r="W137" i="2"/>
  <c r="O138" i="2"/>
  <c r="P138" i="2"/>
  <c r="Q138" i="2"/>
  <c r="T138" i="2" s="1"/>
  <c r="R138" i="2"/>
  <c r="S138" i="2"/>
  <c r="U138" i="2"/>
  <c r="X138" i="2" s="1"/>
  <c r="V138" i="2"/>
  <c r="W138" i="2"/>
  <c r="O139" i="2"/>
  <c r="P139" i="2"/>
  <c r="Q139" i="2"/>
  <c r="T139" i="2" s="1"/>
  <c r="R139" i="2"/>
  <c r="S139" i="2"/>
  <c r="U139" i="2"/>
  <c r="X139" i="2" s="1"/>
  <c r="V139" i="2"/>
  <c r="W139" i="2"/>
  <c r="L13" i="2"/>
  <c r="L14" i="2"/>
  <c r="L15" i="2"/>
  <c r="L135" i="2"/>
  <c r="M135" i="2"/>
  <c r="M137" i="2"/>
  <c r="N137" i="2"/>
  <c r="L138" i="2"/>
  <c r="L139" i="2" s="1"/>
  <c r="M138" i="2"/>
  <c r="N138" i="2"/>
  <c r="N139" i="2" l="1"/>
  <c r="M139" i="2"/>
  <c r="W12" i="2"/>
  <c r="V12" i="2"/>
  <c r="U12" i="2"/>
  <c r="X12" i="2" s="1"/>
  <c r="S12" i="2"/>
  <c r="R12" i="2"/>
  <c r="Q12" i="2"/>
  <c r="T12" i="2" s="1"/>
  <c r="P12" i="2"/>
  <c r="O12" i="2"/>
  <c r="L12" i="2"/>
  <c r="W11" i="2"/>
  <c r="V11" i="2"/>
  <c r="U11" i="2"/>
  <c r="X11" i="2" s="1"/>
  <c r="S11" i="2"/>
  <c r="R11" i="2"/>
  <c r="Q11" i="2"/>
  <c r="T11" i="2" s="1"/>
  <c r="P11" i="2"/>
  <c r="O11" i="2"/>
  <c r="L11" i="2"/>
  <c r="W10" i="2"/>
  <c r="V10" i="2"/>
  <c r="U10" i="2"/>
  <c r="X10" i="2" s="1"/>
  <c r="S10" i="2"/>
  <c r="R10" i="2"/>
  <c r="Q10" i="2"/>
  <c r="T10" i="2" s="1"/>
  <c r="P10" i="2"/>
  <c r="O10" i="2"/>
  <c r="L10" i="2"/>
  <c r="W9" i="2"/>
  <c r="V9" i="2"/>
  <c r="U9" i="2"/>
  <c r="X9" i="2" s="1"/>
  <c r="S9" i="2"/>
  <c r="R9" i="2"/>
  <c r="Q9" i="2"/>
  <c r="T9" i="2" s="1"/>
  <c r="P9" i="2"/>
  <c r="O9" i="2"/>
  <c r="L9" i="2"/>
  <c r="W8" i="2"/>
  <c r="V8" i="2"/>
  <c r="U8" i="2"/>
  <c r="X8" i="2" s="1"/>
  <c r="S8" i="2"/>
  <c r="R8" i="2"/>
  <c r="Q8" i="2"/>
  <c r="T8" i="2" s="1"/>
  <c r="P8" i="2"/>
  <c r="O8" i="2"/>
  <c r="L8" i="2"/>
  <c r="W7" i="2"/>
  <c r="V7" i="2"/>
  <c r="U7" i="2"/>
  <c r="X7" i="2" s="1"/>
  <c r="S7" i="2"/>
  <c r="R7" i="2"/>
  <c r="Q7" i="2"/>
  <c r="T7" i="2" s="1"/>
  <c r="P7" i="2"/>
  <c r="O7" i="2"/>
  <c r="L7" i="2"/>
  <c r="W6" i="2"/>
  <c r="V6" i="2"/>
  <c r="U6" i="2"/>
  <c r="X6" i="2" s="1"/>
  <c r="S6" i="2"/>
  <c r="R6" i="2"/>
  <c r="Q6" i="2"/>
  <c r="T6" i="2" s="1"/>
  <c r="P6" i="2"/>
  <c r="O6" i="2"/>
  <c r="L6" i="2"/>
  <c r="W5" i="2"/>
  <c r="V5" i="2"/>
  <c r="U5" i="2"/>
  <c r="U140" i="2" s="1"/>
  <c r="S5" i="2"/>
  <c r="R5" i="2"/>
  <c r="Q5" i="2"/>
  <c r="T5" i="2" s="1"/>
  <c r="T140" i="2" s="1"/>
  <c r="P5" i="2"/>
  <c r="O5" i="2"/>
  <c r="L5" i="2"/>
  <c r="L140" i="2" l="1"/>
  <c r="O140" i="2"/>
  <c r="W140" i="2"/>
  <c r="Q140" i="2"/>
  <c r="S140" i="2"/>
  <c r="P140" i="2"/>
  <c r="X5" i="2"/>
  <c r="X140" i="2" s="1"/>
  <c r="N140" i="2"/>
  <c r="R140" i="2"/>
  <c r="V140" i="2"/>
  <c r="M140" i="2"/>
</calcChain>
</file>

<file path=xl/sharedStrings.xml><?xml version="1.0" encoding="utf-8"?>
<sst xmlns="http://schemas.openxmlformats.org/spreadsheetml/2006/main" count="216" uniqueCount="162">
  <si>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</si>
  <si>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</si>
  <si>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</si>
  <si>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</si>
  <si>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</si>
  <si>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</si>
  <si>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</si>
  <si>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</si>
  <si>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</si>
  <si>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</si>
  <si>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</si>
  <si>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</si>
  <si>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</si>
  <si>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</si>
  <si>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</si>
  <si>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</si>
  <si>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</si>
  <si>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</si>
  <si>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LEM </t>
  </si>
  <si>
    <t>CTN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</si>
  <si>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</si>
  <si>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</si>
  <si>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</si>
  <si>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</si>
  <si>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</si>
  <si>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</si>
  <si>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</si>
  <si>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</si>
  <si>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</si>
  <si>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</si>
  <si>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</si>
  <si>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</si>
  <si>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</si>
  <si>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</si>
  <si>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</si>
  <si>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</si>
  <si>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</si>
  <si>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</si>
  <si>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</si>
  <si>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</si>
  <si>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</si>
  <si>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</si>
  <si>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</si>
  <si>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</si>
  <si>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</si>
  <si>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</si>
  <si>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 xml:space="preserve">Total </t>
  </si>
  <si>
    <t>CTN'S</t>
  </si>
  <si>
    <t>PACK'S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</si>
  <si>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</si>
  <si>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</si>
  <si>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</si>
  <si>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</si>
  <si>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</si>
  <si>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</si>
  <si>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</si>
  <si>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</si>
  <si>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</si>
  <si>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</si>
  <si>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</si>
  <si>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</si>
  <si>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</si>
  <si>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</si>
  <si>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</si>
  <si>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</si>
  <si>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</si>
  <si>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</si>
  <si>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</si>
  <si>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</si>
  <si>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</si>
  <si>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</si>
  <si>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</si>
  <si>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</si>
  <si>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</si>
  <si>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4 Season</t>
  </si>
  <si>
    <t>8074586-2</t>
  </si>
  <si>
    <t>Allowed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</si>
  <si>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</si>
  <si>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</si>
  <si>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</si>
  <si>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</si>
  <si>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</si>
  <si>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</si>
  <si>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</si>
  <si>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</si>
  <si>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</si>
  <si>
    <t xml:space="preserve">MTD Sale </t>
  </si>
  <si>
    <t>Opening Aug 2026</t>
  </si>
  <si>
    <t xml:space="preserve">Till To Date </t>
  </si>
  <si>
    <t>DIS %</t>
  </si>
  <si>
    <t xml:space="preserve">Acc Name </t>
  </si>
  <si>
    <t>mh</t>
  </si>
  <si>
    <t>Address</t>
  </si>
  <si>
    <t>Acc Adress</t>
  </si>
  <si>
    <t>Gourmet Food Davis Road</t>
  </si>
  <si>
    <t xml:space="preserve">Gourmet Food Shadman </t>
  </si>
  <si>
    <t>Gourmet Food Rehmanpura</t>
  </si>
  <si>
    <t xml:space="preserve">Gourmet Food 18-Gulshan </t>
  </si>
  <si>
    <t>Gourmet Food Nisbat Road</t>
  </si>
  <si>
    <t xml:space="preserve">Gourmet Food Jinah Hospital </t>
  </si>
  <si>
    <t xml:space="preserve">Gourmet Food Shama </t>
  </si>
  <si>
    <t xml:space="preserve">Gourmet Food C Block </t>
  </si>
  <si>
    <t>Gourmet Food Nadeem Shaheed Road</t>
  </si>
  <si>
    <t>Gourmet Food Firdos Market</t>
  </si>
  <si>
    <t>Gourmet Food Link Road</t>
  </si>
  <si>
    <t xml:space="preserve">Gourmet Food Neelam Cenema </t>
  </si>
  <si>
    <t xml:space="preserve">Gourmet Food Shadbagh </t>
  </si>
  <si>
    <t xml:space="preserve">Gourmet Food Railway Plaza </t>
  </si>
  <si>
    <t xml:space="preserve">Gourmet Food kot abdul malik </t>
  </si>
  <si>
    <t xml:space="preserve">Gourmet Food Shadra Town </t>
  </si>
  <si>
    <t xml:space="preserve">Gourmet Food Kareem Park </t>
  </si>
  <si>
    <t>Gourmet Food Imamia Colony</t>
  </si>
  <si>
    <t>Multan Road</t>
  </si>
  <si>
    <t xml:space="preserve">Jalal Sons </t>
  </si>
  <si>
    <t>Behria Orchard</t>
  </si>
  <si>
    <t xml:space="preserve">Johar Town </t>
  </si>
  <si>
    <t>Rainbow Cash &amp; Carry</t>
  </si>
  <si>
    <t>M/S Hadayat Traders</t>
  </si>
  <si>
    <t xml:space="preserve">Shadra </t>
  </si>
  <si>
    <t>Shakhpura</t>
  </si>
  <si>
    <t xml:space="preserve">Gujranwala </t>
  </si>
  <si>
    <t xml:space="preserve">Model Town </t>
  </si>
  <si>
    <t xml:space="preserve">Wapda Town </t>
  </si>
  <si>
    <t>Defence Road</t>
  </si>
  <si>
    <t>EME</t>
  </si>
  <si>
    <t>Barki Road</t>
  </si>
  <si>
    <t xml:space="preserve">Thoker </t>
  </si>
  <si>
    <t xml:space="preserve">TN Traders </t>
  </si>
  <si>
    <t>Thoker Niaz Baig</t>
  </si>
  <si>
    <t>Gourmet Food Islam Pura</t>
  </si>
  <si>
    <t xml:space="preserve">Gourmet Food Walton </t>
  </si>
  <si>
    <t>Gourmet Food Krishan Nager</t>
  </si>
  <si>
    <t xml:space="preserve">Gourmet Food Rustam Park </t>
  </si>
  <si>
    <t>Gourmet Food Dharampura</t>
  </si>
  <si>
    <t xml:space="preserve">Gourmet Food Awan Town </t>
  </si>
  <si>
    <t>FIBCJ001</t>
  </si>
  <si>
    <t>FIBCN001</t>
  </si>
  <si>
    <t>FICCJ001</t>
  </si>
  <si>
    <t>FICCN001</t>
  </si>
  <si>
    <t>FIVTJ001</t>
  </si>
  <si>
    <t>FIVTN001</t>
  </si>
  <si>
    <t xml:space="preserve">Crown Super Market </t>
  </si>
  <si>
    <t>Singh pura</t>
  </si>
  <si>
    <t xml:space="preserve">Euro Garhi Shahu </t>
  </si>
  <si>
    <t xml:space="preserve">Garhi Shahu </t>
  </si>
  <si>
    <t>Gourmet Food Batapur</t>
  </si>
  <si>
    <t>Batapur</t>
  </si>
  <si>
    <t>Gourmet Shalimat Link Road</t>
  </si>
  <si>
    <t xml:space="preserve">Gourmet Food Lal Pull </t>
  </si>
  <si>
    <t xml:space="preserve">Gourmet Food Tajbagh </t>
  </si>
  <si>
    <t>Gourmet Food Baghbanpura</t>
  </si>
  <si>
    <t xml:space="preserve">CB Traders Risen Manawan </t>
  </si>
  <si>
    <t xml:space="preserve">Manawan </t>
  </si>
  <si>
    <t>Sohail Traders SD</t>
  </si>
  <si>
    <t>Kasoor</t>
  </si>
  <si>
    <t>Swera Store</t>
  </si>
  <si>
    <t>GT Road</t>
  </si>
  <si>
    <t xml:space="preserve">Jalal Sons Main Market </t>
  </si>
  <si>
    <t>Gullberg Main Market</t>
  </si>
  <si>
    <t xml:space="preserve">Jalal Sons Lake City </t>
  </si>
  <si>
    <t xml:space="preserve">Lake city </t>
  </si>
  <si>
    <t>Risen Store Thoker Free Ctn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</si>
</sst>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75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9" fontId="6" fillId="0" borderId="10" xfId="0" applyNumberFormat="1" applyFont="1" applyBorder="1" applyAlignment="1">
      <alignment horizontal="center"/>
    </xf>
    <xf numFmtId="9" fontId="6" fillId="0" borderId="11" xfId="1" applyFont="1" applyBorder="1" applyAlignment="1">
      <alignment horizontal="center"/>
    </xf>
    <xf numFmtId="0" fontId="6" fillId="0" borderId="12" xfId="0" applyFont="1" applyBorder="1"/>
    <xf numFmtId="165" fontId="6" fillId="0" borderId="10" xfId="1" applyNumberFormat="1" applyFont="1" applyBorder="1"/>
    <xf numFmtId="2" fontId="6" fillId="0" borderId="11" xfId="0" applyNumberFormat="1" applyFont="1" applyBorder="1"/>
    <xf numFmtId="0" fontId="6" fillId="0" borderId="14" xfId="0" applyFont="1" applyBorder="1" applyAlignment="1">
      <alignment vertical="center"/>
    </xf>
    <xf numFmtId="0" fontId="6" fillId="0" borderId="10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0" borderId="17" xfId="0" applyFont="1" applyBorder="1"/>
    <xf numFmtId="0" fontId="6" fillId="0" borderId="21" xfId="0" applyFont="1" applyBorder="1" applyAlignment="1">
      <alignment horizontal="center" vertical="center"/>
    </xf>
    <xf numFmtId="0" fontId="6" fillId="3" borderId="17" xfId="0" applyFont="1" applyFill="1" applyBorder="1" applyAlignment="1">
      <alignment horizontal="center"/>
    </xf>
    <xf numFmtId="0" fontId="5" fillId="0" borderId="24" xfId="0" applyFont="1" applyBorder="1" applyAlignment="1">
      <alignment horizontal="center"/>
    </xf>
    <xf numFmtId="1" fontId="5" fillId="0" borderId="22" xfId="0" applyNumberFormat="1" applyFont="1" applyBorder="1" applyAlignment="1">
      <alignment horizontal="center"/>
    </xf>
    <xf numFmtId="0" fontId="5" fillId="0" borderId="23" xfId="0" applyFont="1" applyBorder="1"/>
    <xf numFmtId="1" fontId="5" fillId="0" borderId="26" xfId="0" applyNumberFormat="1" applyFont="1" applyBorder="1" applyAlignment="1">
      <alignment horizontal="center"/>
    </xf>
    <xf numFmtId="1" fontId="5" fillId="0" borderId="23" xfId="0" applyNumberFormat="1" applyFont="1" applyBorder="1" applyAlignment="1">
      <alignment horizontal="center"/>
    </xf>
    <xf numFmtId="1" fontId="5" fillId="3" borderId="24" xfId="0" applyNumberFormat="1" applyFont="1" applyFill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3" xfId="0" applyFont="1" applyBorder="1" applyAlignment="1">
      <alignment horizontal="center"/>
    </xf>
    <xf numFmtId="0" fontId="5" fillId="3" borderId="24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28" xfId="0" applyFont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30" xfId="0" applyFont="1" applyBorder="1"/>
    <xf numFmtId="1" fontId="5" fillId="0" borderId="31" xfId="0" applyNumberFormat="1" applyFont="1" applyBorder="1" applyAlignment="1">
      <alignment horizontal="center"/>
    </xf>
    <xf numFmtId="1" fontId="5" fillId="0" borderId="27" xfId="0" applyNumberFormat="1" applyFont="1" applyBorder="1" applyAlignment="1">
      <alignment horizontal="center"/>
    </xf>
    <xf numFmtId="1" fontId="5" fillId="3" borderId="29" xfId="0" applyNumberFormat="1" applyFont="1" applyFill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0" fontId="5" fillId="3" borderId="29" xfId="0" applyFont="1" applyFill="1" applyBorder="1" applyAlignment="1">
      <alignment horizontal="center"/>
    </xf>
    <xf numFmtId="0" fontId="6" fillId="0" borderId="27" xfId="0" applyFont="1" applyBorder="1" applyAlignment="1">
      <alignment horizontal="left"/>
    </xf>
    <xf numFmtId="0" fontId="5" fillId="0" borderId="33" xfId="0" applyFont="1" applyBorder="1" applyAlignment="1">
      <alignment horizontal="center"/>
    </xf>
    <xf numFmtId="1" fontId="5" fillId="0" borderId="35" xfId="0" applyNumberFormat="1" applyFont="1" applyBorder="1" applyAlignment="1">
      <alignment horizontal="center"/>
    </xf>
    <xf numFmtId="0" fontId="6" fillId="0" borderId="20" xfId="0" applyFont="1" applyBorder="1" applyAlignment="1">
      <alignment horizontal="center"/>
    </xf>
    <xf numFmtId="0" fontId="6" fillId="0" borderId="17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" fontId="6" fillId="0" borderId="16" xfId="0" applyNumberFormat="1" applyFont="1" applyBorder="1" applyAlignment="1">
      <alignment horizontal="center"/>
    </xf>
    <xf numFmtId="0" fontId="6" fillId="0" borderId="21" xfId="0" applyFont="1" applyBorder="1" applyAlignment="1">
      <alignment horizontal="center"/>
    </xf>
    <xf numFmtId="1" fontId="6" fillId="0" borderId="18" xfId="0" applyNumberFormat="1" applyFont="1" applyBorder="1" applyAlignment="1">
      <alignment horizontal="center"/>
    </xf>
    <xf numFmtId="1" fontId="6" fillId="0" borderId="36" xfId="0" applyNumberFormat="1" applyFont="1" applyBorder="1" applyAlignment="1">
      <alignment horizontal="center"/>
    </xf>
    <xf numFmtId="1" fontId="6" fillId="3" borderId="37" xfId="0" applyNumberFormat="1" applyFont="1" applyFill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6" fillId="3" borderId="37" xfId="0" applyFont="1" applyFill="1" applyBorder="1" applyAlignment="1">
      <alignment horizontal="center"/>
    </xf>
    <xf numFmtId="0" fontId="6" fillId="0" borderId="40" xfId="0" applyFont="1" applyBorder="1" applyAlignment="1">
      <alignment horizontal="center"/>
    </xf>
    <xf numFmtId="0" fontId="6" fillId="0" borderId="14" xfId="0" applyFont="1" applyBorder="1" applyAlignment="1">
      <alignment horizontal="center"/>
    </xf>
    <xf numFmtId="166" fontId="5" fillId="0" borderId="25" xfId="0" applyNumberFormat="1" applyFont="1" applyBorder="1"/>
    <xf numFmtId="0" fontId="5" fillId="0" borderId="28" xfId="0" applyFont="1" applyBorder="1"/>
    <xf numFmtId="0" fontId="5" fillId="0" borderId="1" xfId="0" applyFont="1" applyBorder="1"/>
    <xf numFmtId="0" fontId="5" fillId="0" borderId="29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2" xfId="0" applyFont="1" applyFill="1" applyBorder="1" applyAlignment="1">
      <alignment horizontal="center" vertical="center"/>
    </xf>
    <xf numFmtId="0" fontId="5" fillId="3" borderId="34" xfId="0" applyFont="1" applyFill="1" applyBorder="1"/>
    <xf numFmtId="1" fontId="6" fillId="7" borderId="20" xfId="0" applyNumberFormat="1" applyFont="1" applyFill="1" applyBorder="1" applyAlignment="1">
      <alignment horizontal="center"/>
    </xf>
    <xf numFmtId="0" fontId="9" fillId="0" borderId="42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2" xfId="0" applyFont="1" applyFill="1" applyBorder="1" applyAlignment="1">
      <alignment vertical="center"/>
    </xf>
    <xf numFmtId="1" fontId="7" fillId="2" borderId="32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8" fillId="3" borderId="45" xfId="0" applyFont="1" applyFill="1" applyBorder="1" applyAlignment="1">
      <alignment horizontal="center" vertical="center"/>
    </xf>
    <xf numFmtId="0" fontId="7" fillId="9" borderId="46" xfId="0" applyFont="1" applyFill="1" applyBorder="1" applyAlignment="1">
      <alignment horizontal="center" vertical="center"/>
    </xf>
    <xf numFmtId="1" fontId="10" fillId="8" borderId="41" xfId="0" applyNumberFormat="1" applyFont="1" applyFill="1" applyBorder="1" applyAlignment="1">
      <alignment horizontal="center" vertical="center"/>
    </xf>
    <xf numFmtId="0" fontId="7" fillId="9" borderId="18" xfId="0" applyFont="1" applyFill="1" applyBorder="1" applyAlignment="1">
      <alignment horizontal="center" vertical="center"/>
    </xf>
    <xf numFmtId="1" fontId="10" fillId="8" borderId="47" xfId="0" applyNumberFormat="1" applyFont="1" applyFill="1" applyBorder="1" applyAlignment="1">
      <alignment horizontal="center" vertical="center"/>
    </xf>
    <xf numFmtId="0" fontId="8" fillId="3" borderId="28" xfId="0" applyFont="1" applyFill="1" applyBorder="1" applyAlignment="1">
      <alignment horizontal="center" vertical="center"/>
    </xf>
    <xf numFmtId="0" fontId="8" fillId="3" borderId="29" xfId="0" applyFont="1" applyFill="1" applyBorder="1" applyAlignment="1">
      <alignment horizontal="center" vertical="center"/>
    </xf>
    <xf numFmtId="0" fontId="9" fillId="6" borderId="26" xfId="0" applyFont="1" applyFill="1" applyBorder="1" applyAlignment="1">
      <alignment horizontal="center" vertical="center"/>
    </xf>
    <xf numFmtId="1" fontId="7" fillId="2" borderId="29" xfId="0" applyNumberFormat="1" applyFont="1" applyFill="1" applyBorder="1" applyAlignment="1">
      <alignment horizontal="center" vertical="center"/>
    </xf>
    <xf numFmtId="0" fontId="9" fillId="6" borderId="18" xfId="0" applyFont="1" applyFill="1" applyBorder="1" applyAlignment="1">
      <alignment horizontal="center" vertical="center"/>
    </xf>
    <xf numFmtId="1" fontId="0" fillId="0" borderId="51" xfId="0" applyNumberFormat="1" applyBorder="1" applyAlignment="1">
      <alignment horizontal="center" vertical="center"/>
    </xf>
    <xf numFmtId="1" fontId="7" fillId="2" borderId="52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27" xfId="0" applyFont="1" applyBorder="1" applyAlignment="1">
      <alignment horizontal="center"/>
    </xf>
    <xf numFmtId="1" fontId="5" fillId="0" borderId="28" xfId="0" applyNumberFormat="1" applyFont="1" applyBorder="1"/>
    <xf numFmtId="1" fontId="5" fillId="0" borderId="30" xfId="0" applyNumberFormat="1" applyFont="1" applyBorder="1"/>
    <xf numFmtId="1" fontId="5" fillId="0" borderId="53" xfId="0" applyNumberFormat="1" applyFont="1" applyBorder="1"/>
    <xf numFmtId="1" fontId="5" fillId="0" borderId="28" xfId="0" applyNumberFormat="1" applyFont="1" applyBorder="1" applyAlignment="1">
      <alignment horizontal="center"/>
    </xf>
    <xf numFmtId="1" fontId="5" fillId="0" borderId="34" xfId="0" applyNumberFormat="1" applyFont="1" applyBorder="1" applyAlignment="1">
      <alignment horizontal="center"/>
    </xf>
    <xf numFmtId="0" fontId="1" fillId="0" borderId="22" xfId="0" applyFont="1" applyBorder="1"/>
    <xf numFmtId="0" fontId="2" fillId="0" borderId="22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1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2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3" borderId="40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5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6" fillId="0" borderId="53" xfId="0" applyFont="1" applyBorder="1" applyAlignment="1">
      <alignment horizontal="left"/>
    </xf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" fillId="2" borderId="40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left"/>
    </xf>
    <xf numFmtId="0" fontId="6" fillId="0" borderId="54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3" borderId="55" xfId="0" applyFont="1" applyFill="1" applyBorder="1" applyAlignment="1">
      <alignment horizontal="center"/>
    </xf>
    <xf numFmtId="0" fontId="6" fillId="7" borderId="11" xfId="0" applyFont="1" applyFill="1" applyBorder="1" applyAlignment="1">
      <alignment horizontal="center"/>
    </xf>
    <xf numFmtId="0" fontId="6" fillId="0" borderId="6" xfId="0" applyFont="1" applyBorder="1" applyAlignment="1">
      <alignment vertical="center"/>
    </xf>
    <xf numFmtId="0" fontId="6" fillId="0" borderId="1" xfId="0" applyFont="1" applyBorder="1"/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16" fontId="0" fillId="3" borderId="0" xfId="0" applyNumberFormat="1" applyFill="1"/>
    <xf numFmtId="0" fontId="6" fillId="3" borderId="1" xfId="0" applyFont="1" applyFill="1" applyBorder="1" applyAlignment="1">
      <alignment horizontal="center"/>
    </xf>
    <xf numFmtId="0" fontId="6" fillId="0" borderId="1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/>
    </xf>
    <xf numFmtId="166" fontId="5" fillId="0" borderId="1" xfId="0" applyNumberFormat="1" applyFont="1" applyBorder="1" applyAlignment="1">
      <alignment horizontal="center"/>
    </xf>
    <xf numFmtId="1" fontId="5" fillId="3" borderId="1" xfId="0" applyNumberFormat="1" applyFont="1" applyFill="1" applyBorder="1"/>
    <xf numFmtId="166" fontId="0" fillId="0" borderId="0" xfId="0" applyNumberFormat="1"/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56" xfId="0" applyFont="1" applyBorder="1" applyAlignment="1">
      <alignment horizontal="center" vertical="center"/>
    </xf>
    <xf numFmtId="0" fontId="6" fillId="2" borderId="19" xfId="0" applyFont="1" applyFill="1" applyBorder="1" applyAlignment="1">
      <alignment horizontal="center"/>
    </xf>
    <xf numFmtId="0" fontId="6" fillId="2" borderId="9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/>
    </xf>
    <xf numFmtId="0" fontId="6" fillId="5" borderId="19" xfId="0" applyFont="1" applyFill="1" applyBorder="1" applyAlignment="1">
      <alignment horizontal="center"/>
    </xf>
    <xf numFmtId="0" fontId="6" fillId="5" borderId="9" xfId="0" applyFont="1" applyFill="1" applyBorder="1" applyAlignment="1">
      <alignment horizontal="center"/>
    </xf>
    <xf numFmtId="0" fontId="6" fillId="5" borderId="7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6" fillId="7" borderId="20" xfId="0" applyFont="1" applyFill="1" applyBorder="1" applyAlignment="1">
      <alignment horizontal="center"/>
    </xf>
    <xf numFmtId="0" fontId="6" fillId="7" borderId="21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38" xfId="0" applyFont="1" applyBorder="1" applyAlignment="1">
      <alignment horizontal="center" vertical="center" wrapText="1"/>
    </xf>
    <xf numFmtId="0" fontId="6" fillId="0" borderId="39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0" fontId="6" fillId="3" borderId="19" xfId="0" applyFont="1" applyFill="1" applyBorder="1" applyAlignment="1">
      <alignment horizontal="center" vertical="center" wrapText="1"/>
    </xf>
    <xf numFmtId="0" fontId="6" fillId="3" borderId="9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2" fillId="0" borderId="41" xfId="0" applyFont="1" applyBorder="1" applyAlignment="1">
      <alignment horizontal="center"/>
    </xf>
    <xf numFmtId="0" fontId="6" fillId="3" borderId="43" xfId="0" applyFont="1" applyFill="1" applyBorder="1" applyAlignment="1">
      <alignment horizontal="center"/>
    </xf>
    <xf numFmtId="0" fontId="6" fillId="3" borderId="44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1" fillId="6" borderId="48" xfId="0" applyFont="1" applyFill="1" applyBorder="1" applyAlignment="1">
      <alignment horizontal="center" vertical="center"/>
    </xf>
    <xf numFmtId="0" fontId="11" fillId="6" borderId="49" xfId="0" applyFont="1" applyFill="1" applyBorder="1" applyAlignment="1">
      <alignment horizontal="center" vertical="center"/>
    </xf>
    <xf numFmtId="0" fontId="11" fillId="6" borderId="50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38" xfId="0" applyFont="1" applyFill="1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</xdr:row>
      <xdr:rowOff>1</xdr:rowOff>
    </xdr:from>
    <xdr:to>
      <xdr:col>3</xdr:col>
      <xdr:colOff>5682</xdr:colOff>
      <xdr:row>4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12B31BC-3A79-501B-2D38-5173E97C6A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8237" y="374317"/>
          <a:ext cx="754313" cy="75531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zoomScale="85" zoomScaleNormal="85" workbookViewId="0"/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58</v>
      </c>
    </row>
    <row r="9" spans="2:6" ht="22.5" customHeight="1" x14ac:dyDescent="0.35">
      <c r="B9" s="70" t="s">
        <v>30</v>
      </c>
      <c r="C9" s="70" t="s">
        <v>32</v>
      </c>
      <c r="D9" s="70" t="s">
        <v>33</v>
      </c>
      <c r="E9" s="115" t="s">
        <v>14</v>
      </c>
      <c r="F9" s="84" t="s">
        <v>59</v>
      </c>
    </row>
    <row r="10" spans="2:6" x14ac:dyDescent="0.35">
      <c r="B10" s="72" t="s">
        <v>23</v>
      </c>
      <c r="C10" s="72" t="s">
        <v>34</v>
      </c>
      <c r="D10" s="80">
        <v>3520247902365</v>
      </c>
      <c r="E10" s="116"/>
      <c r="F10">
        <v>10000</v>
      </c>
    </row>
    <row r="11" spans="2:6" x14ac:dyDescent="0.35">
      <c r="B11" s="72" t="s">
        <v>24</v>
      </c>
      <c r="C11" s="72"/>
      <c r="D11" s="72"/>
      <c r="E11" s="116"/>
    </row>
    <row r="12" spans="2:6" x14ac:dyDescent="0.35">
      <c r="B12" s="72" t="s">
        <v>37</v>
      </c>
      <c r="C12" s="72" t="s">
        <v>36</v>
      </c>
      <c r="D12" s="80">
        <v>300426949714</v>
      </c>
      <c r="E12" s="116"/>
    </row>
    <row r="13" spans="2:6" x14ac:dyDescent="0.35">
      <c r="B13" s="72" t="s">
        <v>25</v>
      </c>
      <c r="C13" s="72" t="s">
        <v>38</v>
      </c>
      <c r="D13" s="80">
        <v>3277876126916</v>
      </c>
      <c r="E13" s="116"/>
    </row>
    <row r="14" spans="2:6" x14ac:dyDescent="0.35">
      <c r="B14" s="72" t="s">
        <v>26</v>
      </c>
      <c r="C14" s="72" t="s">
        <v>41</v>
      </c>
      <c r="D14" s="80">
        <v>3520255124113</v>
      </c>
      <c r="E14" s="116"/>
    </row>
    <row r="15" spans="2:6" x14ac:dyDescent="0.35">
      <c r="B15" s="72" t="s">
        <v>27</v>
      </c>
      <c r="C15" s="72" t="s">
        <v>41</v>
      </c>
      <c r="D15" s="80">
        <v>3520255124113</v>
      </c>
      <c r="E15" s="116"/>
    </row>
    <row r="16" spans="2:6" x14ac:dyDescent="0.35">
      <c r="B16" s="72" t="s">
        <v>28</v>
      </c>
      <c r="C16" s="72" t="s">
        <v>39</v>
      </c>
      <c r="D16" s="80">
        <v>3520268948847</v>
      </c>
      <c r="E16" s="116"/>
    </row>
    <row r="17" spans="2:5" x14ac:dyDescent="0.35">
      <c r="B17" s="72" t="s">
        <v>29</v>
      </c>
      <c r="C17" s="72" t="s">
        <v>42</v>
      </c>
      <c r="D17" s="72"/>
      <c r="E17" s="116"/>
    </row>
    <row r="18" spans="2:5" x14ac:dyDescent="0.35">
      <c r="B18" s="72" t="s">
        <v>31</v>
      </c>
      <c r="C18" s="72" t="s">
        <v>40</v>
      </c>
      <c r="D18" s="72" t="s">
        <v>43</v>
      </c>
      <c r="E18" s="116"/>
    </row>
    <row r="19" spans="2:5" ht="15" customHeight="1" x14ac:dyDescent="0.35">
      <c r="B19" s="117" t="s">
        <v>51</v>
      </c>
      <c r="C19" s="116" t="s">
        <v>52</v>
      </c>
      <c r="D19" s="116"/>
      <c r="E19" s="116"/>
    </row>
    <row r="20" spans="2:5" x14ac:dyDescent="0.35">
      <c r="B20" s="117" t="s">
        <v>53</v>
      </c>
      <c r="C20" s="116"/>
      <c r="D20" s="116"/>
      <c r="E20" s="116"/>
    </row>
    <row r="21" spans="2:5" x14ac:dyDescent="0.35">
      <c r="B21" s="117" t="s">
        <v>54</v>
      </c>
      <c r="C21" s="116"/>
      <c r="D21" s="116"/>
      <c r="E21" s="116"/>
    </row>
    <row r="22" spans="2:5" x14ac:dyDescent="0.35">
      <c r="B22" s="117" t="s">
        <v>55</v>
      </c>
      <c r="C22" s="116"/>
      <c r="D22" s="116"/>
      <c r="E22" s="116"/>
    </row>
    <row r="23" spans="2:5" x14ac:dyDescent="0.35">
      <c r="B23" s="117" t="s">
        <v>62</v>
      </c>
      <c r="C23" s="116" t="s">
        <v>63</v>
      </c>
      <c r="D23" s="118">
        <v>3277876231301</v>
      </c>
      <c r="E23" s="116"/>
    </row>
    <row r="24" spans="2:5" x14ac:dyDescent="0.35">
      <c r="B24" s="117" t="s">
        <v>74</v>
      </c>
      <c r="C24" s="116" t="s">
        <v>75</v>
      </c>
      <c r="D24" s="116"/>
      <c r="E24" s="116" t="s">
        <v>76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140"/>
  <sheetViews>
    <sheetView topLeftCell="A35" zoomScaleNormal="100" workbookViewId="0">
      <selection activeCell="L48" sqref="L48"/>
    </sheetView>
  </sheetViews>
  <sheetFormatPr defaultRowHeight="14.5" x14ac:dyDescent="0.35"/>
  <cols>
    <col min="1" max="1" width="6.453125" bestFit="1" customWidth="1"/>
    <col min="3" max="3" width="30.36328125" bestFit="1" customWidth="1"/>
    <col min="4" max="4" width="17.26953125" bestFit="1" customWidth="1"/>
    <col min="5" max="5" width="17.7265625" bestFit="1" customWidth="1"/>
  </cols>
  <sheetData>
    <row r="1" spans="1:24" ht="15" thickBot="1" x14ac:dyDescent="0.4">
      <c r="B1" s="142">
        <f ca="1">TODAY()</f>
        <v>46302</v>
      </c>
      <c r="C1" s="142"/>
      <c r="D1" s="142"/>
      <c r="E1" s="142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1"/>
      <c r="V1" s="10"/>
      <c r="W1" s="10"/>
      <c r="X1" s="10"/>
    </row>
    <row r="2" spans="1:24" ht="15" thickBot="1" x14ac:dyDescent="0.4">
      <c r="A2" s="163" t="s">
        <v>35</v>
      </c>
      <c r="B2" s="143" t="s">
        <v>12</v>
      </c>
      <c r="C2" s="12" t="s">
        <v>13</v>
      </c>
      <c r="D2" s="126" t="s">
        <v>91</v>
      </c>
      <c r="E2" s="13">
        <v>60</v>
      </c>
      <c r="F2" s="15">
        <v>70</v>
      </c>
      <c r="G2" s="16">
        <v>70</v>
      </c>
      <c r="H2" s="14">
        <v>70</v>
      </c>
      <c r="I2" s="15">
        <v>120</v>
      </c>
      <c r="J2" s="16">
        <v>120</v>
      </c>
      <c r="K2" s="14">
        <v>120</v>
      </c>
      <c r="L2" s="155"/>
      <c r="M2" s="156"/>
      <c r="N2" s="157"/>
      <c r="O2" s="158" t="s">
        <v>14</v>
      </c>
      <c r="P2" s="159"/>
      <c r="Q2" s="17">
        <v>0.05</v>
      </c>
      <c r="R2" s="18">
        <v>0.08</v>
      </c>
      <c r="S2" s="18">
        <v>0.08</v>
      </c>
      <c r="T2" s="19"/>
      <c r="U2" s="20">
        <v>3.5000000000000003E-2</v>
      </c>
      <c r="V2" s="21"/>
      <c r="W2" s="21"/>
      <c r="X2" s="19"/>
    </row>
    <row r="3" spans="1:24" ht="15" thickBot="1" x14ac:dyDescent="0.4">
      <c r="A3" s="163"/>
      <c r="B3" s="144"/>
      <c r="C3" s="22" t="s">
        <v>15</v>
      </c>
      <c r="D3" s="127" t="s">
        <v>92</v>
      </c>
      <c r="E3" s="23">
        <v>39.230000000000004</v>
      </c>
      <c r="F3" s="24">
        <v>52.462499999999999</v>
      </c>
      <c r="G3" s="25">
        <v>52.462499999999999</v>
      </c>
      <c r="H3" s="26">
        <v>52.462499999999999</v>
      </c>
      <c r="I3" s="24">
        <v>72.64</v>
      </c>
      <c r="J3" s="25">
        <v>72.64</v>
      </c>
      <c r="K3" s="26">
        <v>72.64</v>
      </c>
      <c r="L3" s="160" t="s">
        <v>11</v>
      </c>
      <c r="M3" s="161"/>
      <c r="N3" s="162"/>
      <c r="O3" s="64"/>
      <c r="P3" s="65"/>
      <c r="Q3" s="146" t="s">
        <v>16</v>
      </c>
      <c r="R3" s="147"/>
      <c r="S3" s="147"/>
      <c r="T3" s="148"/>
      <c r="U3" s="149" t="s">
        <v>17</v>
      </c>
      <c r="V3" s="150"/>
      <c r="W3" s="150"/>
      <c r="X3" s="151"/>
    </row>
    <row r="4" spans="1:24" ht="15" thickBot="1" x14ac:dyDescent="0.4">
      <c r="A4" s="163"/>
      <c r="B4" s="145"/>
      <c r="C4" s="130" t="s">
        <v>90</v>
      </c>
      <c r="D4" s="130" t="s">
        <v>93</v>
      </c>
      <c r="E4" s="136" t="s">
        <v>21</v>
      </c>
      <c r="F4" s="15" t="s">
        <v>22</v>
      </c>
      <c r="G4" s="16" t="s">
        <v>18</v>
      </c>
      <c r="H4" s="14" t="s">
        <v>21</v>
      </c>
      <c r="I4" s="15" t="s">
        <v>22</v>
      </c>
      <c r="J4" s="16" t="s">
        <v>18</v>
      </c>
      <c r="K4" s="14" t="s">
        <v>21</v>
      </c>
      <c r="L4" s="136" t="s">
        <v>19</v>
      </c>
      <c r="M4" s="137" t="s">
        <v>89</v>
      </c>
      <c r="N4" s="28" t="s">
        <v>20</v>
      </c>
      <c r="O4" s="24">
        <v>70</v>
      </c>
      <c r="P4" s="29">
        <v>120</v>
      </c>
      <c r="Q4" s="27">
        <v>60</v>
      </c>
      <c r="R4" s="25">
        <v>70</v>
      </c>
      <c r="S4" s="25">
        <v>120</v>
      </c>
      <c r="T4" s="30" t="s">
        <v>11</v>
      </c>
      <c r="U4" s="27">
        <v>60</v>
      </c>
      <c r="V4" s="25">
        <v>70</v>
      </c>
      <c r="W4" s="25">
        <v>120</v>
      </c>
      <c r="X4" s="30" t="s">
        <v>11</v>
      </c>
    </row>
    <row r="5" spans="1:24" x14ac:dyDescent="0.35">
      <c r="A5" s="71">
        <v>46296</v>
      </c>
      <c r="B5" s="40">
        <v>1</v>
      </c>
      <c r="C5" s="131" t="s">
        <v>94</v>
      </c>
      <c r="D5" s="131"/>
      <c r="E5" s="68"/>
      <c r="F5" s="68">
        <v>30</v>
      </c>
      <c r="G5" s="68"/>
      <c r="H5" s="124">
        <v>40</v>
      </c>
      <c r="I5" s="68">
        <v>20</v>
      </c>
      <c r="J5" s="68">
        <v>20</v>
      </c>
      <c r="K5" s="68"/>
      <c r="L5" s="124">
        <f t="shared" ref="L5:L36" si="0">SUM(E5:K5)/40</f>
        <v>2.75</v>
      </c>
      <c r="M5" s="138">
        <v>18</v>
      </c>
      <c r="N5" s="31"/>
      <c r="O5" s="66">
        <f>SUM(F5:H5)/20</f>
        <v>3.5</v>
      </c>
      <c r="P5" s="33">
        <f>SUM(I5:K5)/20</f>
        <v>2</v>
      </c>
      <c r="Q5" s="34" t="e">
        <f t="shared" ref="Q5:Q48" si="1">SUMPRODUCT($E$4:$E$4,$E$6:$E$6)*$Q$3</f>
        <v>#VALUE!</v>
      </c>
      <c r="R5" s="35">
        <f>SUMPRODUCT($F$4:$H$4,$F$6:$H$6)*$R$3</f>
        <v>0</v>
      </c>
      <c r="S5" s="35">
        <f>SUMPRODUCT($I$4:$K$4,$I$6:$K$6)*$S$3</f>
        <v>0</v>
      </c>
      <c r="T5" s="36" t="e">
        <f>SUM(Q5:S5)</f>
        <v>#VALUE!</v>
      </c>
      <c r="U5" s="37" t="e">
        <f t="shared" ref="U5:U48" si="2">SUM(E5:E5)*$U$3</f>
        <v>#VALUE!</v>
      </c>
      <c r="V5" s="38">
        <f>SUM(F5:H5)*$V$3</f>
        <v>0</v>
      </c>
      <c r="W5" s="38">
        <f>SUM(I5:K5)*$W$3</f>
        <v>0</v>
      </c>
      <c r="X5" s="39" t="e">
        <f>SUM(U5:W5)</f>
        <v>#VALUE!</v>
      </c>
    </row>
    <row r="6" spans="1:24" x14ac:dyDescent="0.35">
      <c r="A6" s="71">
        <v>46296</v>
      </c>
      <c r="B6" s="40">
        <v>2</v>
      </c>
      <c r="C6" s="131" t="s">
        <v>95</v>
      </c>
      <c r="D6" s="131"/>
      <c r="E6" s="68"/>
      <c r="F6" s="68"/>
      <c r="G6" s="68"/>
      <c r="H6" s="124">
        <v>40</v>
      </c>
      <c r="I6" s="68"/>
      <c r="J6" s="68"/>
      <c r="K6" s="68">
        <v>20</v>
      </c>
      <c r="L6" s="124">
        <f t="shared" si="0"/>
        <v>1.5</v>
      </c>
      <c r="M6" s="138">
        <v>18</v>
      </c>
      <c r="N6" s="42"/>
      <c r="O6" s="66">
        <f t="shared" ref="O6" si="3">SUM(F6:H6)/20</f>
        <v>2</v>
      </c>
      <c r="P6" s="33">
        <f t="shared" ref="P6" si="4">SUM(I6:K6)/20</f>
        <v>1</v>
      </c>
      <c r="Q6" s="44" t="e">
        <f t="shared" si="1"/>
        <v>#VALUE!</v>
      </c>
      <c r="R6" s="45">
        <f t="shared" ref="R6:R139" si="5">SUMPRODUCT($F$4:$H$4,$F$6:$H$6)*$R$3</f>
        <v>0</v>
      </c>
      <c r="S6" s="45">
        <f t="shared" ref="S6:S139" si="6">SUMPRODUCT($I$4:$K$4,$I$6:$K$6)*$S$3</f>
        <v>0</v>
      </c>
      <c r="T6" s="46" t="e">
        <f t="shared" ref="T6:T12" si="7">SUM(Q6:S6)</f>
        <v>#VALUE!</v>
      </c>
      <c r="U6" s="47" t="e">
        <f t="shared" si="2"/>
        <v>#VALUE!</v>
      </c>
      <c r="V6" s="48">
        <f t="shared" ref="V6" si="8">SUM(F6:H6)*$V$3</f>
        <v>0</v>
      </c>
      <c r="W6" s="48">
        <f t="shared" ref="W6" si="9">SUM(I6:K6)*$W$3</f>
        <v>0</v>
      </c>
      <c r="X6" s="49" t="e">
        <f t="shared" ref="X6:X12" si="10">SUM(U6:W6)</f>
        <v>#VALUE!</v>
      </c>
    </row>
    <row r="7" spans="1:24" x14ac:dyDescent="0.35">
      <c r="A7" s="71">
        <v>46296</v>
      </c>
      <c r="B7" s="40">
        <v>3</v>
      </c>
      <c r="C7" s="131" t="s">
        <v>96</v>
      </c>
      <c r="D7" s="131"/>
      <c r="E7" s="68"/>
      <c r="F7" s="68">
        <v>30</v>
      </c>
      <c r="G7" s="68">
        <v>40</v>
      </c>
      <c r="H7" s="124"/>
      <c r="I7" s="68">
        <v>20</v>
      </c>
      <c r="J7" s="68"/>
      <c r="K7" s="68"/>
      <c r="L7" s="124">
        <f t="shared" si="0"/>
        <v>2.25</v>
      </c>
      <c r="M7" s="138">
        <v>18</v>
      </c>
      <c r="N7" s="42"/>
      <c r="O7" s="66">
        <f t="shared" ref="O7:O15" si="11">SUM(F7:H7)/20</f>
        <v>3.5</v>
      </c>
      <c r="P7" s="33">
        <f t="shared" ref="P7:P15" si="12">SUM(I7:K7)/20</f>
        <v>1</v>
      </c>
      <c r="Q7" s="44" t="e">
        <f t="shared" si="1"/>
        <v>#VALUE!</v>
      </c>
      <c r="R7" s="45">
        <f t="shared" si="5"/>
        <v>0</v>
      </c>
      <c r="S7" s="45">
        <f t="shared" si="6"/>
        <v>0</v>
      </c>
      <c r="T7" s="46" t="e">
        <f t="shared" si="7"/>
        <v>#VALUE!</v>
      </c>
      <c r="U7" s="47" t="e">
        <f t="shared" si="2"/>
        <v>#VALUE!</v>
      </c>
      <c r="V7" s="48">
        <f t="shared" ref="V7:V15" si="13">SUM(F7:H7)*$V$3</f>
        <v>0</v>
      </c>
      <c r="W7" s="48">
        <f t="shared" ref="W7:W15" si="14">SUM(I7:K7)*$W$3</f>
        <v>0</v>
      </c>
      <c r="X7" s="49" t="e">
        <f t="shared" si="10"/>
        <v>#VALUE!</v>
      </c>
    </row>
    <row r="8" spans="1:24" x14ac:dyDescent="0.35">
      <c r="A8" s="71">
        <v>46296</v>
      </c>
      <c r="B8" s="40">
        <v>4</v>
      </c>
      <c r="C8" s="131" t="s">
        <v>97</v>
      </c>
      <c r="D8" s="131"/>
      <c r="E8" s="68"/>
      <c r="F8" s="68"/>
      <c r="G8" s="68"/>
      <c r="H8" s="124">
        <v>30</v>
      </c>
      <c r="I8" s="68">
        <v>20</v>
      </c>
      <c r="J8" s="68">
        <v>20</v>
      </c>
      <c r="K8" s="68">
        <v>20</v>
      </c>
      <c r="L8" s="124">
        <f t="shared" si="0"/>
        <v>2.25</v>
      </c>
      <c r="M8" s="138">
        <v>18</v>
      </c>
      <c r="N8" s="42"/>
      <c r="O8" s="66">
        <f t="shared" si="11"/>
        <v>1.5</v>
      </c>
      <c r="P8" s="33">
        <f t="shared" si="12"/>
        <v>3</v>
      </c>
      <c r="Q8" s="44" t="e">
        <f t="shared" si="1"/>
        <v>#VALUE!</v>
      </c>
      <c r="R8" s="45">
        <f t="shared" si="5"/>
        <v>0</v>
      </c>
      <c r="S8" s="45">
        <f t="shared" si="6"/>
        <v>0</v>
      </c>
      <c r="T8" s="46" t="e">
        <f t="shared" si="7"/>
        <v>#VALUE!</v>
      </c>
      <c r="U8" s="47" t="e">
        <f t="shared" si="2"/>
        <v>#VALUE!</v>
      </c>
      <c r="V8" s="48">
        <f t="shared" si="13"/>
        <v>0</v>
      </c>
      <c r="W8" s="48">
        <f t="shared" si="14"/>
        <v>0</v>
      </c>
      <c r="X8" s="49" t="e">
        <f t="shared" si="10"/>
        <v>#VALUE!</v>
      </c>
    </row>
    <row r="9" spans="1:24" x14ac:dyDescent="0.35">
      <c r="A9" s="71">
        <v>46296</v>
      </c>
      <c r="B9" s="40">
        <v>5</v>
      </c>
      <c r="C9" s="131" t="s">
        <v>98</v>
      </c>
      <c r="D9" s="131"/>
      <c r="E9" s="68"/>
      <c r="F9" s="68">
        <v>40</v>
      </c>
      <c r="G9" s="68">
        <v>40</v>
      </c>
      <c r="H9" s="124">
        <v>40</v>
      </c>
      <c r="I9" s="68">
        <v>20</v>
      </c>
      <c r="J9" s="68">
        <v>20</v>
      </c>
      <c r="K9" s="68">
        <v>20</v>
      </c>
      <c r="L9" s="124">
        <f t="shared" si="0"/>
        <v>4.5</v>
      </c>
      <c r="M9" s="138">
        <v>18</v>
      </c>
      <c r="N9" s="42"/>
      <c r="O9" s="66">
        <f t="shared" si="11"/>
        <v>6</v>
      </c>
      <c r="P9" s="33">
        <f t="shared" si="12"/>
        <v>3</v>
      </c>
      <c r="Q9" s="44" t="e">
        <f t="shared" si="1"/>
        <v>#VALUE!</v>
      </c>
      <c r="R9" s="45">
        <f t="shared" si="5"/>
        <v>0</v>
      </c>
      <c r="S9" s="45">
        <f t="shared" si="6"/>
        <v>0</v>
      </c>
      <c r="T9" s="46" t="e">
        <f t="shared" si="7"/>
        <v>#VALUE!</v>
      </c>
      <c r="U9" s="47" t="e">
        <f t="shared" si="2"/>
        <v>#VALUE!</v>
      </c>
      <c r="V9" s="48">
        <f t="shared" si="13"/>
        <v>0</v>
      </c>
      <c r="W9" s="48">
        <f t="shared" si="14"/>
        <v>0</v>
      </c>
      <c r="X9" s="49" t="e">
        <f t="shared" si="10"/>
        <v>#VALUE!</v>
      </c>
    </row>
    <row r="10" spans="1:24" x14ac:dyDescent="0.35">
      <c r="A10" s="71">
        <v>46296</v>
      </c>
      <c r="B10" s="40">
        <v>6</v>
      </c>
      <c r="C10" s="131" t="s">
        <v>99</v>
      </c>
      <c r="D10" s="131"/>
      <c r="E10" s="68"/>
      <c r="F10" s="68">
        <v>40</v>
      </c>
      <c r="G10" s="68">
        <v>40</v>
      </c>
      <c r="H10" s="124">
        <v>25</v>
      </c>
      <c r="I10" s="68">
        <v>20</v>
      </c>
      <c r="J10" s="68">
        <v>20</v>
      </c>
      <c r="K10" s="68">
        <v>20</v>
      </c>
      <c r="L10" s="124">
        <f t="shared" si="0"/>
        <v>4.125</v>
      </c>
      <c r="M10" s="138">
        <v>18</v>
      </c>
      <c r="N10" s="42"/>
      <c r="O10" s="66">
        <f t="shared" si="11"/>
        <v>5.25</v>
      </c>
      <c r="P10" s="33">
        <f t="shared" si="12"/>
        <v>3</v>
      </c>
      <c r="Q10" s="44" t="e">
        <f t="shared" si="1"/>
        <v>#VALUE!</v>
      </c>
      <c r="R10" s="45">
        <f t="shared" si="5"/>
        <v>0</v>
      </c>
      <c r="S10" s="45">
        <f t="shared" si="6"/>
        <v>0</v>
      </c>
      <c r="T10" s="46" t="e">
        <f t="shared" si="7"/>
        <v>#VALUE!</v>
      </c>
      <c r="U10" s="47" t="e">
        <f t="shared" si="2"/>
        <v>#VALUE!</v>
      </c>
      <c r="V10" s="48">
        <f t="shared" si="13"/>
        <v>0</v>
      </c>
      <c r="W10" s="48">
        <f t="shared" si="14"/>
        <v>0</v>
      </c>
      <c r="X10" s="49" t="e">
        <f t="shared" si="10"/>
        <v>#VALUE!</v>
      </c>
    </row>
    <row r="11" spans="1:24" x14ac:dyDescent="0.35">
      <c r="A11" s="71">
        <v>46296</v>
      </c>
      <c r="B11" s="40">
        <v>7</v>
      </c>
      <c r="C11" s="131" t="s">
        <v>100</v>
      </c>
      <c r="D11" s="131"/>
      <c r="E11" s="68"/>
      <c r="F11" s="68">
        <v>40</v>
      </c>
      <c r="G11" s="68">
        <v>40</v>
      </c>
      <c r="H11" s="124">
        <v>40</v>
      </c>
      <c r="I11" s="68"/>
      <c r="J11" s="68"/>
      <c r="K11" s="68"/>
      <c r="L11" s="124">
        <f t="shared" si="0"/>
        <v>3</v>
      </c>
      <c r="M11" s="138">
        <v>18</v>
      </c>
      <c r="N11" s="42"/>
      <c r="O11" s="66">
        <f t="shared" si="11"/>
        <v>6</v>
      </c>
      <c r="P11" s="33">
        <f t="shared" si="12"/>
        <v>0</v>
      </c>
      <c r="Q11" s="44" t="e">
        <f t="shared" si="1"/>
        <v>#VALUE!</v>
      </c>
      <c r="R11" s="45">
        <f t="shared" si="5"/>
        <v>0</v>
      </c>
      <c r="S11" s="45">
        <f t="shared" si="6"/>
        <v>0</v>
      </c>
      <c r="T11" s="46" t="e">
        <f t="shared" si="7"/>
        <v>#VALUE!</v>
      </c>
      <c r="U11" s="47" t="e">
        <f t="shared" si="2"/>
        <v>#VALUE!</v>
      </c>
      <c r="V11" s="48">
        <f t="shared" si="13"/>
        <v>0</v>
      </c>
      <c r="W11" s="48">
        <f t="shared" si="14"/>
        <v>0</v>
      </c>
      <c r="X11" s="49" t="e">
        <f t="shared" si="10"/>
        <v>#VALUE!</v>
      </c>
    </row>
    <row r="12" spans="1:24" x14ac:dyDescent="0.35">
      <c r="A12" s="71">
        <v>46296</v>
      </c>
      <c r="B12" s="40">
        <v>8</v>
      </c>
      <c r="C12" s="131" t="s">
        <v>101</v>
      </c>
      <c r="D12" s="131"/>
      <c r="E12" s="68"/>
      <c r="F12" s="68">
        <v>30</v>
      </c>
      <c r="G12" s="68">
        <v>40</v>
      </c>
      <c r="H12" s="124"/>
      <c r="I12" s="68">
        <v>20</v>
      </c>
      <c r="J12" s="68"/>
      <c r="K12" s="68"/>
      <c r="L12" s="124">
        <f t="shared" si="0"/>
        <v>2.25</v>
      </c>
      <c r="M12" s="138">
        <v>18</v>
      </c>
      <c r="N12" s="42"/>
      <c r="O12" s="66">
        <f t="shared" si="11"/>
        <v>3.5</v>
      </c>
      <c r="P12" s="33">
        <f t="shared" si="12"/>
        <v>1</v>
      </c>
      <c r="Q12" s="44" t="e">
        <f t="shared" si="1"/>
        <v>#VALUE!</v>
      </c>
      <c r="R12" s="45">
        <f t="shared" si="5"/>
        <v>0</v>
      </c>
      <c r="S12" s="45">
        <f t="shared" si="6"/>
        <v>0</v>
      </c>
      <c r="T12" s="46" t="e">
        <f t="shared" si="7"/>
        <v>#VALUE!</v>
      </c>
      <c r="U12" s="47" t="e">
        <f t="shared" si="2"/>
        <v>#VALUE!</v>
      </c>
      <c r="V12" s="48">
        <f t="shared" si="13"/>
        <v>0</v>
      </c>
      <c r="W12" s="48">
        <f t="shared" si="14"/>
        <v>0</v>
      </c>
      <c r="X12" s="49" t="e">
        <f t="shared" si="10"/>
        <v>#VALUE!</v>
      </c>
    </row>
    <row r="13" spans="1:24" x14ac:dyDescent="0.35">
      <c r="A13" s="71">
        <v>46296</v>
      </c>
      <c r="B13" s="40">
        <v>9</v>
      </c>
      <c r="C13" s="131" t="s">
        <v>102</v>
      </c>
      <c r="D13" s="131"/>
      <c r="E13" s="68"/>
      <c r="F13" s="68">
        <v>40</v>
      </c>
      <c r="G13" s="68">
        <v>30</v>
      </c>
      <c r="H13" s="124">
        <v>40</v>
      </c>
      <c r="I13" s="68">
        <v>20</v>
      </c>
      <c r="J13" s="68">
        <v>20</v>
      </c>
      <c r="K13" s="68">
        <v>20</v>
      </c>
      <c r="L13" s="124">
        <f t="shared" si="0"/>
        <v>4.25</v>
      </c>
      <c r="M13" s="138">
        <v>18</v>
      </c>
      <c r="N13" s="42"/>
      <c r="O13" s="66">
        <f t="shared" si="11"/>
        <v>5.5</v>
      </c>
      <c r="P13" s="33">
        <f t="shared" si="12"/>
        <v>3</v>
      </c>
      <c r="Q13" s="44" t="e">
        <f t="shared" si="1"/>
        <v>#VALUE!</v>
      </c>
      <c r="R13" s="45">
        <f t="shared" si="5"/>
        <v>0</v>
      </c>
      <c r="S13" s="45">
        <f t="shared" si="6"/>
        <v>0</v>
      </c>
      <c r="T13" s="46" t="e">
        <f t="shared" ref="T13:T139" si="15">SUM(Q13:S13)</f>
        <v>#VALUE!</v>
      </c>
      <c r="U13" s="47" t="e">
        <f t="shared" si="2"/>
        <v>#VALUE!</v>
      </c>
      <c r="V13" s="48">
        <f t="shared" si="13"/>
        <v>0</v>
      </c>
      <c r="W13" s="48">
        <f t="shared" si="14"/>
        <v>0</v>
      </c>
      <c r="X13" s="49" t="e">
        <f t="shared" ref="X13:X139" si="16">SUM(U13:W13)</f>
        <v>#VALUE!</v>
      </c>
    </row>
    <row r="14" spans="1:24" x14ac:dyDescent="0.35">
      <c r="A14" s="71">
        <v>46296</v>
      </c>
      <c r="B14" s="40">
        <v>10</v>
      </c>
      <c r="C14" s="131" t="s">
        <v>103</v>
      </c>
      <c r="D14" s="131"/>
      <c r="E14" s="68"/>
      <c r="F14" s="68"/>
      <c r="G14" s="68">
        <v>40</v>
      </c>
      <c r="H14" s="124"/>
      <c r="I14" s="68">
        <v>20</v>
      </c>
      <c r="J14" s="68">
        <v>20</v>
      </c>
      <c r="K14" s="68">
        <v>20</v>
      </c>
      <c r="L14" s="124">
        <f t="shared" si="0"/>
        <v>2.5</v>
      </c>
      <c r="M14" s="138">
        <v>18</v>
      </c>
      <c r="N14" s="42"/>
      <c r="O14" s="66">
        <f t="shared" si="11"/>
        <v>2</v>
      </c>
      <c r="P14" s="33">
        <f t="shared" si="12"/>
        <v>3</v>
      </c>
      <c r="Q14" s="44" t="e">
        <f t="shared" si="1"/>
        <v>#VALUE!</v>
      </c>
      <c r="R14" s="45">
        <f t="shared" si="5"/>
        <v>0</v>
      </c>
      <c r="S14" s="45">
        <f t="shared" si="6"/>
        <v>0</v>
      </c>
      <c r="T14" s="46" t="e">
        <f t="shared" si="15"/>
        <v>#VALUE!</v>
      </c>
      <c r="U14" s="47" t="e">
        <f t="shared" si="2"/>
        <v>#VALUE!</v>
      </c>
      <c r="V14" s="48">
        <f t="shared" si="13"/>
        <v>0</v>
      </c>
      <c r="W14" s="48">
        <f t="shared" si="14"/>
        <v>0</v>
      </c>
      <c r="X14" s="49" t="e">
        <f t="shared" si="16"/>
        <v>#VALUE!</v>
      </c>
    </row>
    <row r="15" spans="1:24" x14ac:dyDescent="0.35">
      <c r="A15" s="71">
        <v>46296</v>
      </c>
      <c r="B15" s="40">
        <v>11</v>
      </c>
      <c r="C15" s="131" t="s">
        <v>104</v>
      </c>
      <c r="D15" s="131"/>
      <c r="E15" s="68"/>
      <c r="F15" s="68">
        <v>15</v>
      </c>
      <c r="G15" s="68">
        <v>15</v>
      </c>
      <c r="H15" s="124">
        <v>15</v>
      </c>
      <c r="I15" s="68">
        <v>15</v>
      </c>
      <c r="J15" s="68">
        <v>15</v>
      </c>
      <c r="K15" s="68"/>
      <c r="L15" s="124">
        <f t="shared" si="0"/>
        <v>1.875</v>
      </c>
      <c r="M15" s="138">
        <v>18</v>
      </c>
      <c r="N15" s="42"/>
      <c r="O15" s="66">
        <f t="shared" si="11"/>
        <v>2.25</v>
      </c>
      <c r="P15" s="33">
        <f t="shared" si="12"/>
        <v>1.5</v>
      </c>
      <c r="Q15" s="44" t="e">
        <f t="shared" si="1"/>
        <v>#VALUE!</v>
      </c>
      <c r="R15" s="45">
        <f t="shared" si="5"/>
        <v>0</v>
      </c>
      <c r="S15" s="45">
        <f t="shared" si="6"/>
        <v>0</v>
      </c>
      <c r="T15" s="46" t="e">
        <f t="shared" si="15"/>
        <v>#VALUE!</v>
      </c>
      <c r="U15" s="47" t="e">
        <f t="shared" si="2"/>
        <v>#VALUE!</v>
      </c>
      <c r="V15" s="48">
        <f t="shared" si="13"/>
        <v>0</v>
      </c>
      <c r="W15" s="48">
        <f t="shared" si="14"/>
        <v>0</v>
      </c>
      <c r="X15" s="49" t="e">
        <f t="shared" si="16"/>
        <v>#VALUE!</v>
      </c>
    </row>
    <row r="16" spans="1:24" x14ac:dyDescent="0.35">
      <c r="A16" s="71">
        <v>46296</v>
      </c>
      <c r="B16" s="40">
        <v>12</v>
      </c>
      <c r="C16" s="131" t="s">
        <v>105</v>
      </c>
      <c r="D16" s="131"/>
      <c r="E16" s="68"/>
      <c r="F16" s="68">
        <v>40</v>
      </c>
      <c r="G16" s="68">
        <v>40</v>
      </c>
      <c r="H16" s="124">
        <v>40</v>
      </c>
      <c r="I16" s="68">
        <v>20</v>
      </c>
      <c r="J16" s="68">
        <v>20</v>
      </c>
      <c r="K16" s="68"/>
      <c r="L16" s="124">
        <f t="shared" si="0"/>
        <v>4</v>
      </c>
      <c r="M16" s="138">
        <v>18</v>
      </c>
      <c r="N16" s="42"/>
      <c r="O16" s="66">
        <f t="shared" ref="O16:O17" si="17">SUM(F16:H16)/20</f>
        <v>6</v>
      </c>
      <c r="P16" s="33">
        <f t="shared" ref="P16:P17" si="18">SUM(I16:K16)/20</f>
        <v>2</v>
      </c>
      <c r="Q16" s="44" t="e">
        <f t="shared" si="1"/>
        <v>#VALUE!</v>
      </c>
      <c r="R16" s="45">
        <f t="shared" si="5"/>
        <v>0</v>
      </c>
      <c r="S16" s="45">
        <f t="shared" si="6"/>
        <v>0</v>
      </c>
      <c r="T16" s="46" t="e">
        <f t="shared" ref="T16:T17" si="19">SUM(Q16:S16)</f>
        <v>#VALUE!</v>
      </c>
      <c r="U16" s="47" t="e">
        <f t="shared" si="2"/>
        <v>#VALUE!</v>
      </c>
      <c r="V16" s="48">
        <f t="shared" ref="V16:V17" si="20">SUM(F16:H16)*$V$3</f>
        <v>0</v>
      </c>
      <c r="W16" s="48">
        <f t="shared" ref="W16:W17" si="21">SUM(I16:K16)*$W$3</f>
        <v>0</v>
      </c>
      <c r="X16" s="49" t="e">
        <f t="shared" ref="X16:X17" si="22">SUM(U16:W16)</f>
        <v>#VALUE!</v>
      </c>
    </row>
    <row r="17" spans="1:24" x14ac:dyDescent="0.35">
      <c r="A17" s="71">
        <v>46296</v>
      </c>
      <c r="B17" s="40">
        <v>13</v>
      </c>
      <c r="C17" s="131" t="s">
        <v>106</v>
      </c>
      <c r="D17" s="131"/>
      <c r="E17" s="68"/>
      <c r="F17" s="68">
        <v>40</v>
      </c>
      <c r="G17" s="68"/>
      <c r="H17" s="124"/>
      <c r="I17" s="68">
        <v>20</v>
      </c>
      <c r="J17" s="68">
        <v>20</v>
      </c>
      <c r="K17" s="68">
        <v>20</v>
      </c>
      <c r="L17" s="124">
        <f t="shared" si="0"/>
        <v>2.5</v>
      </c>
      <c r="M17" s="138">
        <v>18</v>
      </c>
      <c r="N17" s="42"/>
      <c r="O17" s="66">
        <f t="shared" si="17"/>
        <v>2</v>
      </c>
      <c r="P17" s="33">
        <f t="shared" si="18"/>
        <v>3</v>
      </c>
      <c r="Q17" s="44" t="e">
        <f t="shared" si="1"/>
        <v>#VALUE!</v>
      </c>
      <c r="R17" s="45">
        <f t="shared" si="5"/>
        <v>0</v>
      </c>
      <c r="S17" s="45">
        <f t="shared" si="6"/>
        <v>0</v>
      </c>
      <c r="T17" s="46" t="e">
        <f t="shared" si="19"/>
        <v>#VALUE!</v>
      </c>
      <c r="U17" s="47" t="e">
        <f t="shared" si="2"/>
        <v>#VALUE!</v>
      </c>
      <c r="V17" s="48">
        <f t="shared" si="20"/>
        <v>0</v>
      </c>
      <c r="W17" s="48">
        <f t="shared" si="21"/>
        <v>0</v>
      </c>
      <c r="X17" s="49" t="e">
        <f t="shared" si="22"/>
        <v>#VALUE!</v>
      </c>
    </row>
    <row r="18" spans="1:24" x14ac:dyDescent="0.35">
      <c r="A18" s="71">
        <v>46296</v>
      </c>
      <c r="B18" s="40">
        <v>14</v>
      </c>
      <c r="C18" s="131" t="s">
        <v>107</v>
      </c>
      <c r="D18" s="131"/>
      <c r="E18" s="68"/>
      <c r="F18" s="68"/>
      <c r="G18" s="68">
        <v>30</v>
      </c>
      <c r="H18" s="124">
        <v>30</v>
      </c>
      <c r="I18" s="68">
        <v>20</v>
      </c>
      <c r="J18" s="68"/>
      <c r="K18" s="68"/>
      <c r="L18" s="124">
        <f t="shared" si="0"/>
        <v>2</v>
      </c>
      <c r="M18" s="138">
        <v>18</v>
      </c>
      <c r="N18" s="42"/>
      <c r="O18" s="66">
        <f t="shared" ref="O18:O20" si="23">SUM(F18:H18)/20</f>
        <v>3</v>
      </c>
      <c r="P18" s="33">
        <f t="shared" ref="P18:P20" si="24">SUM(I18:K18)/20</f>
        <v>1</v>
      </c>
      <c r="Q18" s="44" t="e">
        <f t="shared" si="1"/>
        <v>#VALUE!</v>
      </c>
      <c r="R18" s="45">
        <f t="shared" si="5"/>
        <v>0</v>
      </c>
      <c r="S18" s="45">
        <f t="shared" si="6"/>
        <v>0</v>
      </c>
      <c r="T18" s="46" t="e">
        <f t="shared" ref="T18:T20" si="25">SUM(Q18:S18)</f>
        <v>#VALUE!</v>
      </c>
      <c r="U18" s="47" t="e">
        <f t="shared" si="2"/>
        <v>#VALUE!</v>
      </c>
      <c r="V18" s="48">
        <f t="shared" ref="V18:V20" si="26">SUM(F18:H18)*$V$3</f>
        <v>0</v>
      </c>
      <c r="W18" s="48">
        <f t="shared" ref="W18:W20" si="27">SUM(I18:K18)*$W$3</f>
        <v>0</v>
      </c>
      <c r="X18" s="49" t="e">
        <f t="shared" ref="X18:X20" si="28">SUM(U18:W18)</f>
        <v>#VALUE!</v>
      </c>
    </row>
    <row r="19" spans="1:24" x14ac:dyDescent="0.35">
      <c r="A19" s="71">
        <v>46296</v>
      </c>
      <c r="B19" s="40">
        <v>15</v>
      </c>
      <c r="C19" s="131" t="s">
        <v>108</v>
      </c>
      <c r="D19" s="131"/>
      <c r="E19" s="68"/>
      <c r="F19" s="68">
        <v>40</v>
      </c>
      <c r="G19" s="68"/>
      <c r="H19" s="124"/>
      <c r="I19" s="68">
        <v>20</v>
      </c>
      <c r="J19" s="68"/>
      <c r="K19" s="68">
        <v>20</v>
      </c>
      <c r="L19" s="124">
        <f t="shared" si="0"/>
        <v>2</v>
      </c>
      <c r="M19" s="138">
        <v>18</v>
      </c>
      <c r="N19" s="42"/>
      <c r="O19" s="66">
        <f t="shared" si="23"/>
        <v>2</v>
      </c>
      <c r="P19" s="33">
        <f t="shared" si="24"/>
        <v>2</v>
      </c>
      <c r="Q19" s="44" t="e">
        <f t="shared" si="1"/>
        <v>#VALUE!</v>
      </c>
      <c r="R19" s="45">
        <f t="shared" si="5"/>
        <v>0</v>
      </c>
      <c r="S19" s="45">
        <f t="shared" si="6"/>
        <v>0</v>
      </c>
      <c r="T19" s="46" t="e">
        <f t="shared" si="25"/>
        <v>#VALUE!</v>
      </c>
      <c r="U19" s="47" t="e">
        <f t="shared" si="2"/>
        <v>#VALUE!</v>
      </c>
      <c r="V19" s="48">
        <f t="shared" si="26"/>
        <v>0</v>
      </c>
      <c r="W19" s="48">
        <f t="shared" si="27"/>
        <v>0</v>
      </c>
      <c r="X19" s="49" t="e">
        <f t="shared" si="28"/>
        <v>#VALUE!</v>
      </c>
    </row>
    <row r="20" spans="1:24" x14ac:dyDescent="0.35">
      <c r="A20" s="71">
        <v>46296</v>
      </c>
      <c r="B20" s="40">
        <v>16</v>
      </c>
      <c r="C20" s="131" t="s">
        <v>109</v>
      </c>
      <c r="D20" s="131"/>
      <c r="E20" s="68"/>
      <c r="F20" s="68">
        <v>40</v>
      </c>
      <c r="G20" s="68"/>
      <c r="H20" s="124">
        <v>40</v>
      </c>
      <c r="I20" s="68">
        <v>20</v>
      </c>
      <c r="J20" s="68">
        <v>20</v>
      </c>
      <c r="K20" s="68">
        <v>20</v>
      </c>
      <c r="L20" s="124">
        <f t="shared" si="0"/>
        <v>3.5</v>
      </c>
      <c r="M20" s="138">
        <v>18</v>
      </c>
      <c r="N20" s="42"/>
      <c r="O20" s="66">
        <f t="shared" si="23"/>
        <v>4</v>
      </c>
      <c r="P20" s="33">
        <f t="shared" si="24"/>
        <v>3</v>
      </c>
      <c r="Q20" s="44" t="e">
        <f t="shared" si="1"/>
        <v>#VALUE!</v>
      </c>
      <c r="R20" s="45">
        <f t="shared" si="5"/>
        <v>0</v>
      </c>
      <c r="S20" s="45">
        <f t="shared" si="6"/>
        <v>0</v>
      </c>
      <c r="T20" s="46" t="e">
        <f t="shared" si="25"/>
        <v>#VALUE!</v>
      </c>
      <c r="U20" s="47" t="e">
        <f t="shared" si="2"/>
        <v>#VALUE!</v>
      </c>
      <c r="V20" s="48">
        <f t="shared" si="26"/>
        <v>0</v>
      </c>
      <c r="W20" s="48">
        <f t="shared" si="27"/>
        <v>0</v>
      </c>
      <c r="X20" s="49" t="e">
        <f t="shared" si="28"/>
        <v>#VALUE!</v>
      </c>
    </row>
    <row r="21" spans="1:24" x14ac:dyDescent="0.35">
      <c r="A21" s="71">
        <v>46296</v>
      </c>
      <c r="B21" s="40">
        <v>17</v>
      </c>
      <c r="C21" s="131" t="s">
        <v>110</v>
      </c>
      <c r="D21" s="131"/>
      <c r="E21" s="68"/>
      <c r="F21" s="68"/>
      <c r="G21" s="68"/>
      <c r="H21" s="124">
        <v>40</v>
      </c>
      <c r="I21" s="68">
        <v>20</v>
      </c>
      <c r="J21" s="68"/>
      <c r="K21" s="68">
        <v>20</v>
      </c>
      <c r="L21" s="124">
        <f t="shared" si="0"/>
        <v>2</v>
      </c>
      <c r="M21" s="138">
        <v>18</v>
      </c>
      <c r="N21" s="42"/>
      <c r="O21" s="66">
        <f t="shared" ref="O21:O23" si="29">SUM(F21:H21)/20</f>
        <v>2</v>
      </c>
      <c r="P21" s="33">
        <f t="shared" ref="P21:P23" si="30">SUM(I21:K21)/20</f>
        <v>2</v>
      </c>
      <c r="Q21" s="44" t="e">
        <f t="shared" si="1"/>
        <v>#VALUE!</v>
      </c>
      <c r="R21" s="45">
        <f t="shared" si="5"/>
        <v>0</v>
      </c>
      <c r="S21" s="45">
        <f t="shared" si="6"/>
        <v>0</v>
      </c>
      <c r="T21" s="46" t="e">
        <f t="shared" ref="T21:T22" si="31">SUM(Q21:S21)</f>
        <v>#VALUE!</v>
      </c>
      <c r="U21" s="47" t="e">
        <f t="shared" si="2"/>
        <v>#VALUE!</v>
      </c>
      <c r="V21" s="48">
        <f t="shared" ref="V21:V23" si="32">SUM(F21:H21)*$V$3</f>
        <v>0</v>
      </c>
      <c r="W21" s="48">
        <f t="shared" ref="W21:W23" si="33">SUM(I21:K21)*$W$3</f>
        <v>0</v>
      </c>
      <c r="X21" s="49" t="e">
        <f t="shared" ref="X21:X135" si="34">SUM(U21:W21)</f>
        <v>#VALUE!</v>
      </c>
    </row>
    <row r="22" spans="1:24" x14ac:dyDescent="0.35">
      <c r="A22" s="71">
        <v>46296</v>
      </c>
      <c r="B22" s="40">
        <v>18</v>
      </c>
      <c r="C22" s="131" t="s">
        <v>111</v>
      </c>
      <c r="D22" s="131"/>
      <c r="E22" s="68"/>
      <c r="F22" s="68">
        <v>40</v>
      </c>
      <c r="G22" s="68">
        <v>40</v>
      </c>
      <c r="H22" s="124">
        <v>40</v>
      </c>
      <c r="I22" s="68"/>
      <c r="J22" s="68"/>
      <c r="K22" s="68">
        <v>20</v>
      </c>
      <c r="L22" s="124">
        <f t="shared" si="0"/>
        <v>3.5</v>
      </c>
      <c r="M22" s="138">
        <v>18</v>
      </c>
      <c r="N22" s="42"/>
      <c r="O22" s="66">
        <f t="shared" si="29"/>
        <v>6</v>
      </c>
      <c r="P22" s="33">
        <f t="shared" si="30"/>
        <v>1</v>
      </c>
      <c r="Q22" s="44" t="e">
        <f t="shared" si="1"/>
        <v>#VALUE!</v>
      </c>
      <c r="R22" s="45">
        <f t="shared" si="5"/>
        <v>0</v>
      </c>
      <c r="S22" s="45">
        <f t="shared" si="6"/>
        <v>0</v>
      </c>
      <c r="T22" s="46" t="e">
        <f t="shared" si="31"/>
        <v>#VALUE!</v>
      </c>
      <c r="U22" s="47" t="e">
        <f t="shared" si="2"/>
        <v>#VALUE!</v>
      </c>
      <c r="V22" s="48">
        <f t="shared" si="32"/>
        <v>0</v>
      </c>
      <c r="W22" s="48">
        <f t="shared" si="33"/>
        <v>0</v>
      </c>
      <c r="X22" s="49" t="e">
        <f t="shared" si="34"/>
        <v>#VALUE!</v>
      </c>
    </row>
    <row r="23" spans="1:24" x14ac:dyDescent="0.35">
      <c r="A23" s="71">
        <v>46297</v>
      </c>
      <c r="B23" s="40">
        <v>19</v>
      </c>
      <c r="C23" s="131" t="s">
        <v>23</v>
      </c>
      <c r="D23" s="131" t="s">
        <v>112</v>
      </c>
      <c r="E23" s="68"/>
      <c r="F23" s="68">
        <v>80</v>
      </c>
      <c r="G23" s="68">
        <v>40</v>
      </c>
      <c r="H23" s="124">
        <v>80</v>
      </c>
      <c r="I23" s="68">
        <v>120</v>
      </c>
      <c r="J23" s="68">
        <v>160</v>
      </c>
      <c r="K23" s="68">
        <v>240</v>
      </c>
      <c r="L23" s="124">
        <f t="shared" si="0"/>
        <v>18</v>
      </c>
      <c r="M23" s="138">
        <v>8</v>
      </c>
      <c r="N23" s="42"/>
      <c r="O23" s="66">
        <f t="shared" si="29"/>
        <v>10</v>
      </c>
      <c r="P23" s="33">
        <f t="shared" si="30"/>
        <v>26</v>
      </c>
      <c r="Q23" s="44" t="e">
        <f t="shared" si="1"/>
        <v>#VALUE!</v>
      </c>
      <c r="R23" s="45">
        <f t="shared" si="5"/>
        <v>0</v>
      </c>
      <c r="S23" s="45">
        <f t="shared" si="6"/>
        <v>0</v>
      </c>
      <c r="T23" s="46" t="e">
        <f t="shared" ref="T23:T27" si="35">SUM(Q23:S23)</f>
        <v>#VALUE!</v>
      </c>
      <c r="U23" s="47" t="e">
        <f t="shared" si="2"/>
        <v>#VALUE!</v>
      </c>
      <c r="V23" s="48">
        <f t="shared" si="32"/>
        <v>0</v>
      </c>
      <c r="W23" s="48">
        <f t="shared" si="33"/>
        <v>0</v>
      </c>
      <c r="X23" s="49" t="e">
        <f t="shared" si="34"/>
        <v>#VALUE!</v>
      </c>
    </row>
    <row r="24" spans="1:24" x14ac:dyDescent="0.35">
      <c r="A24" s="71">
        <v>46297</v>
      </c>
      <c r="B24" s="40">
        <v>20</v>
      </c>
      <c r="C24" s="131" t="s">
        <v>113</v>
      </c>
      <c r="D24" s="131" t="s">
        <v>114</v>
      </c>
      <c r="E24" s="68"/>
      <c r="F24" s="68">
        <v>73</v>
      </c>
      <c r="G24" s="68">
        <v>55</v>
      </c>
      <c r="H24" s="124">
        <v>75</v>
      </c>
      <c r="I24" s="68">
        <v>80</v>
      </c>
      <c r="J24" s="68">
        <v>80</v>
      </c>
      <c r="K24" s="68">
        <v>80</v>
      </c>
      <c r="L24" s="124">
        <f t="shared" si="0"/>
        <v>11.074999999999999</v>
      </c>
      <c r="M24" s="138">
        <v>15</v>
      </c>
      <c r="N24" s="42"/>
      <c r="O24" s="66">
        <f t="shared" ref="O24:O27" si="36">SUM(F24:H24)/20</f>
        <v>10.15</v>
      </c>
      <c r="P24" s="33">
        <f t="shared" ref="P24:P27" si="37">SUM(I24:K24)/20</f>
        <v>12</v>
      </c>
      <c r="Q24" s="44" t="e">
        <f t="shared" si="1"/>
        <v>#VALUE!</v>
      </c>
      <c r="R24" s="45">
        <f t="shared" si="5"/>
        <v>0</v>
      </c>
      <c r="S24" s="45">
        <f t="shared" si="6"/>
        <v>0</v>
      </c>
      <c r="T24" s="46" t="e">
        <f t="shared" si="35"/>
        <v>#VALUE!</v>
      </c>
      <c r="U24" s="47" t="e">
        <f t="shared" si="2"/>
        <v>#VALUE!</v>
      </c>
      <c r="V24" s="48">
        <f t="shared" ref="V24:V27" si="38">SUM(F24:H24)*$V$3</f>
        <v>0</v>
      </c>
      <c r="W24" s="48">
        <f t="shared" ref="W24:W27" si="39">SUM(I24:K24)*$W$3</f>
        <v>0</v>
      </c>
      <c r="X24" s="49" t="e">
        <f t="shared" si="34"/>
        <v>#VALUE!</v>
      </c>
    </row>
    <row r="25" spans="1:24" x14ac:dyDescent="0.35">
      <c r="A25" s="71">
        <v>46297</v>
      </c>
      <c r="B25" s="40">
        <v>21</v>
      </c>
      <c r="C25" s="131" t="s">
        <v>113</v>
      </c>
      <c r="D25" s="131" t="s">
        <v>115</v>
      </c>
      <c r="E25" s="68"/>
      <c r="F25" s="68">
        <v>40</v>
      </c>
      <c r="G25" s="68">
        <v>40</v>
      </c>
      <c r="H25" s="124">
        <v>40</v>
      </c>
      <c r="I25" s="68">
        <v>40</v>
      </c>
      <c r="J25" s="68">
        <v>40</v>
      </c>
      <c r="K25" s="68">
        <v>40</v>
      </c>
      <c r="L25" s="124">
        <f t="shared" si="0"/>
        <v>6</v>
      </c>
      <c r="M25" s="138">
        <v>15</v>
      </c>
      <c r="N25" s="42"/>
      <c r="O25" s="66">
        <f t="shared" si="36"/>
        <v>6</v>
      </c>
      <c r="P25" s="33">
        <f t="shared" si="37"/>
        <v>6</v>
      </c>
      <c r="Q25" s="44" t="e">
        <f t="shared" si="1"/>
        <v>#VALUE!</v>
      </c>
      <c r="R25" s="45">
        <f t="shared" si="5"/>
        <v>0</v>
      </c>
      <c r="S25" s="45">
        <f t="shared" si="6"/>
        <v>0</v>
      </c>
      <c r="T25" s="46" t="e">
        <f t="shared" si="35"/>
        <v>#VALUE!</v>
      </c>
      <c r="U25" s="47" t="e">
        <f t="shared" si="2"/>
        <v>#VALUE!</v>
      </c>
      <c r="V25" s="48">
        <f t="shared" si="38"/>
        <v>0</v>
      </c>
      <c r="W25" s="48">
        <f t="shared" si="39"/>
        <v>0</v>
      </c>
      <c r="X25" s="49" t="e">
        <f t="shared" si="34"/>
        <v>#VALUE!</v>
      </c>
    </row>
    <row r="26" spans="1:24" x14ac:dyDescent="0.35">
      <c r="A26" s="71">
        <v>46297</v>
      </c>
      <c r="B26" s="40">
        <v>22</v>
      </c>
      <c r="C26" s="131" t="s">
        <v>116</v>
      </c>
      <c r="D26" s="131" t="s">
        <v>118</v>
      </c>
      <c r="E26" s="68"/>
      <c r="F26" s="68">
        <v>40</v>
      </c>
      <c r="G26" s="68"/>
      <c r="H26" s="124"/>
      <c r="I26" s="68"/>
      <c r="J26" s="68">
        <v>80</v>
      </c>
      <c r="K26" s="68">
        <v>40</v>
      </c>
      <c r="L26" s="124">
        <f t="shared" si="0"/>
        <v>4</v>
      </c>
      <c r="M26" s="138">
        <v>14</v>
      </c>
      <c r="N26" s="42"/>
      <c r="O26" s="66">
        <f t="shared" si="36"/>
        <v>2</v>
      </c>
      <c r="P26" s="33">
        <f t="shared" si="37"/>
        <v>6</v>
      </c>
      <c r="Q26" s="44" t="e">
        <f t="shared" si="1"/>
        <v>#VALUE!</v>
      </c>
      <c r="R26" s="45">
        <f t="shared" si="5"/>
        <v>0</v>
      </c>
      <c r="S26" s="45">
        <f t="shared" si="6"/>
        <v>0</v>
      </c>
      <c r="T26" s="46" t="e">
        <f t="shared" si="35"/>
        <v>#VALUE!</v>
      </c>
      <c r="U26" s="47" t="e">
        <f t="shared" si="2"/>
        <v>#VALUE!</v>
      </c>
      <c r="V26" s="48">
        <f t="shared" si="38"/>
        <v>0</v>
      </c>
      <c r="W26" s="48">
        <f t="shared" si="39"/>
        <v>0</v>
      </c>
      <c r="X26" s="49" t="e">
        <f t="shared" si="34"/>
        <v>#VALUE!</v>
      </c>
    </row>
    <row r="27" spans="1:24" x14ac:dyDescent="0.35">
      <c r="A27" s="71">
        <v>46297</v>
      </c>
      <c r="B27" s="40">
        <v>23</v>
      </c>
      <c r="C27" s="131" t="s">
        <v>117</v>
      </c>
      <c r="D27" s="131" t="s">
        <v>119</v>
      </c>
      <c r="E27" s="68"/>
      <c r="F27" s="68"/>
      <c r="G27" s="68"/>
      <c r="H27" s="124">
        <v>40</v>
      </c>
      <c r="I27" s="68"/>
      <c r="J27" s="68"/>
      <c r="K27" s="68"/>
      <c r="L27" s="124">
        <f t="shared" si="0"/>
        <v>1</v>
      </c>
      <c r="M27" s="138">
        <v>14</v>
      </c>
      <c r="N27" s="42"/>
      <c r="O27" s="66">
        <f t="shared" si="36"/>
        <v>2</v>
      </c>
      <c r="P27" s="33">
        <f t="shared" si="37"/>
        <v>0</v>
      </c>
      <c r="Q27" s="44" t="e">
        <f t="shared" si="1"/>
        <v>#VALUE!</v>
      </c>
      <c r="R27" s="45">
        <f t="shared" si="5"/>
        <v>0</v>
      </c>
      <c r="S27" s="45">
        <f t="shared" si="6"/>
        <v>0</v>
      </c>
      <c r="T27" s="46" t="e">
        <f t="shared" si="35"/>
        <v>#VALUE!</v>
      </c>
      <c r="U27" s="47" t="e">
        <f t="shared" si="2"/>
        <v>#VALUE!</v>
      </c>
      <c r="V27" s="48">
        <f t="shared" si="38"/>
        <v>0</v>
      </c>
      <c r="W27" s="48">
        <f t="shared" si="39"/>
        <v>0</v>
      </c>
      <c r="X27" s="49" t="e">
        <f t="shared" si="34"/>
        <v>#VALUE!</v>
      </c>
    </row>
    <row r="28" spans="1:24" x14ac:dyDescent="0.35">
      <c r="A28" s="71">
        <v>46297</v>
      </c>
      <c r="B28" s="40">
        <v>24</v>
      </c>
      <c r="C28" s="131" t="s">
        <v>116</v>
      </c>
      <c r="D28" s="131" t="s">
        <v>120</v>
      </c>
      <c r="E28" s="68"/>
      <c r="F28" s="68">
        <v>40</v>
      </c>
      <c r="G28" s="68">
        <v>40</v>
      </c>
      <c r="H28" s="124">
        <v>80</v>
      </c>
      <c r="I28" s="68"/>
      <c r="J28" s="68">
        <v>40</v>
      </c>
      <c r="K28" s="68"/>
      <c r="L28" s="124">
        <f t="shared" si="0"/>
        <v>5</v>
      </c>
      <c r="M28" s="138">
        <v>14</v>
      </c>
      <c r="N28" s="42"/>
      <c r="O28" s="66">
        <f t="shared" ref="O28:O63" si="40">SUM(F28:H28)/20</f>
        <v>8</v>
      </c>
      <c r="P28" s="33">
        <f t="shared" ref="P28:P63" si="41">SUM(I28:K28)/20</f>
        <v>2</v>
      </c>
      <c r="Q28" s="44" t="e">
        <f t="shared" si="1"/>
        <v>#VALUE!</v>
      </c>
      <c r="R28" s="45">
        <f t="shared" si="5"/>
        <v>0</v>
      </c>
      <c r="S28" s="45">
        <f t="shared" si="6"/>
        <v>0</v>
      </c>
      <c r="T28" s="46" t="e">
        <f t="shared" ref="T28:T63" si="42">SUM(Q28:S28)</f>
        <v>#VALUE!</v>
      </c>
      <c r="U28" s="47" t="e">
        <f t="shared" si="2"/>
        <v>#VALUE!</v>
      </c>
      <c r="V28" s="48">
        <f t="shared" ref="V28:V63" si="43">SUM(F28:H28)*$V$3</f>
        <v>0</v>
      </c>
      <c r="W28" s="48">
        <f t="shared" ref="W28:W63" si="44">SUM(I28:K28)*$W$3</f>
        <v>0</v>
      </c>
      <c r="X28" s="49" t="e">
        <f t="shared" ref="X28:X63" si="45">SUM(U28:W28)</f>
        <v>#VALUE!</v>
      </c>
    </row>
    <row r="29" spans="1:24" x14ac:dyDescent="0.35">
      <c r="A29" s="71">
        <v>46297</v>
      </c>
      <c r="B29" s="40">
        <v>25</v>
      </c>
      <c r="C29" s="131" t="s">
        <v>116</v>
      </c>
      <c r="D29" s="131" t="s">
        <v>121</v>
      </c>
      <c r="E29" s="68"/>
      <c r="F29" s="68"/>
      <c r="G29" s="68"/>
      <c r="H29" s="124">
        <v>40</v>
      </c>
      <c r="I29" s="68"/>
      <c r="J29" s="68"/>
      <c r="K29" s="68"/>
      <c r="L29" s="124">
        <f t="shared" si="0"/>
        <v>1</v>
      </c>
      <c r="M29" s="138">
        <v>14</v>
      </c>
      <c r="N29" s="42"/>
      <c r="O29" s="66">
        <f t="shared" ref="O29" si="46">SUM(F29:H29)/20</f>
        <v>2</v>
      </c>
      <c r="P29" s="33">
        <f t="shared" ref="P29" si="47">SUM(I29:K29)/20</f>
        <v>0</v>
      </c>
      <c r="Q29" s="44" t="e">
        <f t="shared" si="1"/>
        <v>#VALUE!</v>
      </c>
      <c r="R29" s="45">
        <f t="shared" si="5"/>
        <v>0</v>
      </c>
      <c r="S29" s="45">
        <f t="shared" si="6"/>
        <v>0</v>
      </c>
      <c r="T29" s="46" t="e">
        <f t="shared" ref="T29" si="48">SUM(Q29:S29)</f>
        <v>#VALUE!</v>
      </c>
      <c r="U29" s="47" t="e">
        <f t="shared" si="2"/>
        <v>#VALUE!</v>
      </c>
      <c r="V29" s="48">
        <f t="shared" ref="V29" si="49">SUM(F29:H29)*$V$3</f>
        <v>0</v>
      </c>
      <c r="W29" s="48">
        <f t="shared" ref="W29" si="50">SUM(I29:K29)*$W$3</f>
        <v>0</v>
      </c>
      <c r="X29" s="49" t="e">
        <f t="shared" ref="X29" si="51">SUM(U29:W29)</f>
        <v>#VALUE!</v>
      </c>
    </row>
    <row r="30" spans="1:24" x14ac:dyDescent="0.35">
      <c r="A30" s="71">
        <v>46297</v>
      </c>
      <c r="B30" s="40">
        <v>26</v>
      </c>
      <c r="C30" s="131" t="s">
        <v>116</v>
      </c>
      <c r="D30" s="131" t="s">
        <v>122</v>
      </c>
      <c r="E30" s="68"/>
      <c r="F30" s="68">
        <v>40</v>
      </c>
      <c r="G30" s="68"/>
      <c r="H30" s="124">
        <v>180</v>
      </c>
      <c r="I30" s="68">
        <v>40</v>
      </c>
      <c r="J30" s="68"/>
      <c r="K30" s="68">
        <v>120</v>
      </c>
      <c r="L30" s="124">
        <f t="shared" si="0"/>
        <v>9.5</v>
      </c>
      <c r="M30" s="138">
        <v>14</v>
      </c>
      <c r="N30" s="42"/>
      <c r="O30" s="66">
        <f t="shared" si="40"/>
        <v>11</v>
      </c>
      <c r="P30" s="33">
        <f t="shared" si="41"/>
        <v>8</v>
      </c>
      <c r="Q30" s="44" t="e">
        <f t="shared" si="1"/>
        <v>#VALUE!</v>
      </c>
      <c r="R30" s="45">
        <f t="shared" si="5"/>
        <v>0</v>
      </c>
      <c r="S30" s="45">
        <f t="shared" si="6"/>
        <v>0</v>
      </c>
      <c r="T30" s="46" t="e">
        <f t="shared" si="42"/>
        <v>#VALUE!</v>
      </c>
      <c r="U30" s="47" t="e">
        <f t="shared" si="2"/>
        <v>#VALUE!</v>
      </c>
      <c r="V30" s="48">
        <f t="shared" si="43"/>
        <v>0</v>
      </c>
      <c r="W30" s="48">
        <f t="shared" si="44"/>
        <v>0</v>
      </c>
      <c r="X30" s="49" t="e">
        <f t="shared" si="45"/>
        <v>#VALUE!</v>
      </c>
    </row>
    <row r="31" spans="1:24" x14ac:dyDescent="0.35">
      <c r="A31" s="71">
        <v>46297</v>
      </c>
      <c r="B31" s="40">
        <v>27</v>
      </c>
      <c r="C31" s="131" t="s">
        <v>116</v>
      </c>
      <c r="D31" s="131" t="s">
        <v>123</v>
      </c>
      <c r="E31" s="68"/>
      <c r="F31" s="68"/>
      <c r="G31" s="68"/>
      <c r="H31" s="124"/>
      <c r="I31" s="68">
        <v>40</v>
      </c>
      <c r="J31" s="68"/>
      <c r="K31" s="68">
        <v>120</v>
      </c>
      <c r="L31" s="124">
        <f t="shared" si="0"/>
        <v>4</v>
      </c>
      <c r="M31" s="138">
        <v>14</v>
      </c>
      <c r="N31" s="42"/>
      <c r="O31" s="66">
        <f t="shared" si="40"/>
        <v>0</v>
      </c>
      <c r="P31" s="33">
        <f t="shared" si="41"/>
        <v>8</v>
      </c>
      <c r="Q31" s="44" t="e">
        <f t="shared" si="1"/>
        <v>#VALUE!</v>
      </c>
      <c r="R31" s="45">
        <f t="shared" si="5"/>
        <v>0</v>
      </c>
      <c r="S31" s="45">
        <f t="shared" si="6"/>
        <v>0</v>
      </c>
      <c r="T31" s="46" t="e">
        <f t="shared" si="42"/>
        <v>#VALUE!</v>
      </c>
      <c r="U31" s="47" t="e">
        <f t="shared" si="2"/>
        <v>#VALUE!</v>
      </c>
      <c r="V31" s="48">
        <f t="shared" si="43"/>
        <v>0</v>
      </c>
      <c r="W31" s="48">
        <f t="shared" si="44"/>
        <v>0</v>
      </c>
      <c r="X31" s="49" t="e">
        <f t="shared" si="45"/>
        <v>#VALUE!</v>
      </c>
    </row>
    <row r="32" spans="1:24" x14ac:dyDescent="0.35">
      <c r="A32" s="71">
        <v>46297</v>
      </c>
      <c r="B32" s="40">
        <v>28</v>
      </c>
      <c r="C32" s="131" t="s">
        <v>116</v>
      </c>
      <c r="D32" s="131" t="s">
        <v>124</v>
      </c>
      <c r="E32" s="68"/>
      <c r="F32" s="68"/>
      <c r="G32" s="68"/>
      <c r="H32" s="124">
        <v>40</v>
      </c>
      <c r="I32" s="68">
        <v>40</v>
      </c>
      <c r="J32" s="68">
        <v>40</v>
      </c>
      <c r="K32" s="68"/>
      <c r="L32" s="124">
        <f t="shared" si="0"/>
        <v>3</v>
      </c>
      <c r="M32" s="138">
        <v>14</v>
      </c>
      <c r="N32" s="42"/>
      <c r="O32" s="66">
        <f t="shared" si="40"/>
        <v>2</v>
      </c>
      <c r="P32" s="33">
        <f t="shared" si="41"/>
        <v>4</v>
      </c>
      <c r="Q32" s="44" t="e">
        <f t="shared" si="1"/>
        <v>#VALUE!</v>
      </c>
      <c r="R32" s="45">
        <f t="shared" si="5"/>
        <v>0</v>
      </c>
      <c r="S32" s="45">
        <f t="shared" si="6"/>
        <v>0</v>
      </c>
      <c r="T32" s="46" t="e">
        <f t="shared" si="42"/>
        <v>#VALUE!</v>
      </c>
      <c r="U32" s="47" t="e">
        <f t="shared" si="2"/>
        <v>#VALUE!</v>
      </c>
      <c r="V32" s="48">
        <f t="shared" si="43"/>
        <v>0</v>
      </c>
      <c r="W32" s="48">
        <f t="shared" si="44"/>
        <v>0</v>
      </c>
      <c r="X32" s="49" t="e">
        <f t="shared" si="45"/>
        <v>#VALUE!</v>
      </c>
    </row>
    <row r="33" spans="1:24" x14ac:dyDescent="0.35">
      <c r="A33" s="71">
        <v>46297</v>
      </c>
      <c r="B33" s="40">
        <v>29</v>
      </c>
      <c r="C33" s="131" t="s">
        <v>116</v>
      </c>
      <c r="D33" s="131" t="s">
        <v>125</v>
      </c>
      <c r="E33" s="68"/>
      <c r="F33" s="68">
        <v>4</v>
      </c>
      <c r="G33" s="68"/>
      <c r="H33" s="124">
        <v>36</v>
      </c>
      <c r="I33" s="68"/>
      <c r="J33" s="68">
        <v>2</v>
      </c>
      <c r="K33" s="68">
        <v>80</v>
      </c>
      <c r="L33" s="124">
        <f t="shared" si="0"/>
        <v>3.05</v>
      </c>
      <c r="M33" s="138">
        <v>14</v>
      </c>
      <c r="N33" s="42"/>
      <c r="O33" s="66">
        <f t="shared" si="40"/>
        <v>2</v>
      </c>
      <c r="P33" s="33">
        <f t="shared" si="41"/>
        <v>4.0999999999999996</v>
      </c>
      <c r="Q33" s="44" t="e">
        <f t="shared" si="1"/>
        <v>#VALUE!</v>
      </c>
      <c r="R33" s="45">
        <f t="shared" si="5"/>
        <v>0</v>
      </c>
      <c r="S33" s="45">
        <f t="shared" si="6"/>
        <v>0</v>
      </c>
      <c r="T33" s="46" t="e">
        <f t="shared" si="42"/>
        <v>#VALUE!</v>
      </c>
      <c r="U33" s="47" t="e">
        <f t="shared" si="2"/>
        <v>#VALUE!</v>
      </c>
      <c r="V33" s="48">
        <f t="shared" si="43"/>
        <v>0</v>
      </c>
      <c r="W33" s="48">
        <f t="shared" si="44"/>
        <v>0</v>
      </c>
      <c r="X33" s="49" t="e">
        <f t="shared" si="45"/>
        <v>#VALUE!</v>
      </c>
    </row>
    <row r="34" spans="1:24" x14ac:dyDescent="0.35">
      <c r="A34" s="71">
        <v>46298</v>
      </c>
      <c r="B34" s="40">
        <v>30</v>
      </c>
      <c r="C34" s="131" t="s">
        <v>161</v>
      </c>
      <c r="D34" s="131" t="s">
        <v>126</v>
      </c>
      <c r="E34" s="68"/>
      <c r="F34" s="68">
        <v>40</v>
      </c>
      <c r="G34" s="68"/>
      <c r="H34" s="124"/>
      <c r="I34" s="68"/>
      <c r="J34" s="68"/>
      <c r="K34" s="68"/>
      <c r="L34" s="124">
        <f t="shared" si="0"/>
        <v>1</v>
      </c>
      <c r="M34" s="138"/>
      <c r="N34" s="42"/>
      <c r="O34" s="66">
        <f t="shared" ref="O34:O49" si="52">SUM(F34:H34)/20</f>
        <v>2</v>
      </c>
      <c r="P34" s="33">
        <f t="shared" ref="P34:P49" si="53">SUM(I34:K34)/20</f>
        <v>0</v>
      </c>
      <c r="Q34" s="44" t="e">
        <f t="shared" si="1"/>
        <v>#VALUE!</v>
      </c>
      <c r="R34" s="45">
        <f t="shared" si="5"/>
        <v>0</v>
      </c>
      <c r="S34" s="45">
        <f t="shared" si="6"/>
        <v>0</v>
      </c>
      <c r="T34" s="46" t="e">
        <f t="shared" ref="T34:T48" si="54">SUM(Q34:S34)</f>
        <v>#VALUE!</v>
      </c>
      <c r="U34" s="47" t="e">
        <f t="shared" si="2"/>
        <v>#VALUE!</v>
      </c>
      <c r="V34" s="48">
        <f t="shared" ref="V34:V49" si="55">SUM(F34:H34)*$V$3</f>
        <v>0</v>
      </c>
      <c r="W34" s="48">
        <f t="shared" ref="W34:W49" si="56">SUM(I34:K34)*$W$3</f>
        <v>0</v>
      </c>
      <c r="X34" s="49" t="e">
        <f t="shared" ref="X34:X48" si="57">SUM(U34:W34)</f>
        <v>#VALUE!</v>
      </c>
    </row>
    <row r="35" spans="1:24" x14ac:dyDescent="0.35">
      <c r="A35" s="71">
        <v>46298</v>
      </c>
      <c r="B35" s="40">
        <v>31</v>
      </c>
      <c r="C35" s="131" t="s">
        <v>127</v>
      </c>
      <c r="D35" s="131" t="s">
        <v>128</v>
      </c>
      <c r="E35" s="68"/>
      <c r="F35" s="68">
        <v>40</v>
      </c>
      <c r="G35" s="68">
        <v>40</v>
      </c>
      <c r="H35" s="124">
        <v>40</v>
      </c>
      <c r="I35" s="68"/>
      <c r="J35" s="68">
        <v>40</v>
      </c>
      <c r="K35" s="68">
        <v>80</v>
      </c>
      <c r="L35" s="124">
        <f t="shared" si="0"/>
        <v>6</v>
      </c>
      <c r="M35" s="138">
        <v>14</v>
      </c>
      <c r="N35" s="42"/>
      <c r="O35" s="66">
        <f t="shared" ref="O35" si="58">SUM(F35:H35)/20</f>
        <v>6</v>
      </c>
      <c r="P35" s="33">
        <f t="shared" ref="P35" si="59">SUM(I35:K35)/20</f>
        <v>6</v>
      </c>
      <c r="Q35" s="44" t="e">
        <f t="shared" si="1"/>
        <v>#VALUE!</v>
      </c>
      <c r="R35" s="45">
        <f t="shared" si="5"/>
        <v>0</v>
      </c>
      <c r="S35" s="45">
        <f t="shared" si="6"/>
        <v>0</v>
      </c>
      <c r="T35" s="46" t="e">
        <f t="shared" ref="T35" si="60">SUM(Q35:S35)</f>
        <v>#VALUE!</v>
      </c>
      <c r="U35" s="47" t="e">
        <f t="shared" si="2"/>
        <v>#VALUE!</v>
      </c>
      <c r="V35" s="48">
        <f t="shared" ref="V35" si="61">SUM(F35:H35)*$V$3</f>
        <v>0</v>
      </c>
      <c r="W35" s="48">
        <f t="shared" ref="W35" si="62">SUM(I35:K35)*$W$3</f>
        <v>0</v>
      </c>
      <c r="X35" s="49" t="e">
        <f t="shared" ref="X35" si="63">SUM(U35:W35)</f>
        <v>#VALUE!</v>
      </c>
    </row>
    <row r="36" spans="1:24" x14ac:dyDescent="0.35">
      <c r="A36" s="71">
        <v>46298</v>
      </c>
      <c r="B36" s="40">
        <v>32</v>
      </c>
      <c r="C36" s="131" t="s">
        <v>129</v>
      </c>
      <c r="D36" s="131"/>
      <c r="E36" s="68"/>
      <c r="F36" s="68">
        <v>40</v>
      </c>
      <c r="G36" s="68"/>
      <c r="H36" s="124">
        <v>30</v>
      </c>
      <c r="I36" s="68">
        <v>20</v>
      </c>
      <c r="J36" s="68"/>
      <c r="K36" s="68">
        <v>20</v>
      </c>
      <c r="L36" s="124">
        <f t="shared" si="0"/>
        <v>2.75</v>
      </c>
      <c r="M36" s="138">
        <v>18</v>
      </c>
      <c r="N36" s="42"/>
      <c r="O36" s="66">
        <f t="shared" si="52"/>
        <v>3.5</v>
      </c>
      <c r="P36" s="33">
        <f t="shared" si="53"/>
        <v>2</v>
      </c>
      <c r="Q36" s="44" t="e">
        <f t="shared" si="1"/>
        <v>#VALUE!</v>
      </c>
      <c r="R36" s="45">
        <f t="shared" si="5"/>
        <v>0</v>
      </c>
      <c r="S36" s="45">
        <f t="shared" si="6"/>
        <v>0</v>
      </c>
      <c r="T36" s="46" t="e">
        <f t="shared" si="54"/>
        <v>#VALUE!</v>
      </c>
      <c r="U36" s="47" t="e">
        <f t="shared" si="2"/>
        <v>#VALUE!</v>
      </c>
      <c r="V36" s="48">
        <f t="shared" si="55"/>
        <v>0</v>
      </c>
      <c r="W36" s="48">
        <f t="shared" si="56"/>
        <v>0</v>
      </c>
      <c r="X36" s="49" t="e">
        <f t="shared" si="57"/>
        <v>#VALUE!</v>
      </c>
    </row>
    <row r="37" spans="1:24" x14ac:dyDescent="0.35">
      <c r="A37" s="71">
        <v>46298</v>
      </c>
      <c r="B37" s="40">
        <v>33</v>
      </c>
      <c r="C37" s="131" t="s">
        <v>130</v>
      </c>
      <c r="D37" s="131"/>
      <c r="E37" s="68"/>
      <c r="F37" s="68"/>
      <c r="G37" s="68"/>
      <c r="H37" s="124"/>
      <c r="I37" s="68">
        <v>20</v>
      </c>
      <c r="J37" s="68">
        <v>20</v>
      </c>
      <c r="K37" s="68">
        <v>20</v>
      </c>
      <c r="L37" s="124">
        <f t="shared" ref="L37:L70" si="64">SUM(E37:K37)/40</f>
        <v>1.5</v>
      </c>
      <c r="M37" s="138">
        <v>18</v>
      </c>
      <c r="N37" s="42"/>
      <c r="O37" s="66">
        <f t="shared" si="52"/>
        <v>0</v>
      </c>
      <c r="P37" s="33">
        <f t="shared" si="53"/>
        <v>3</v>
      </c>
      <c r="Q37" s="44" t="e">
        <f t="shared" si="1"/>
        <v>#VALUE!</v>
      </c>
      <c r="R37" s="45">
        <f t="shared" si="5"/>
        <v>0</v>
      </c>
      <c r="S37" s="45">
        <f t="shared" si="6"/>
        <v>0</v>
      </c>
      <c r="T37" s="46" t="e">
        <f t="shared" si="54"/>
        <v>#VALUE!</v>
      </c>
      <c r="U37" s="47" t="e">
        <f t="shared" si="2"/>
        <v>#VALUE!</v>
      </c>
      <c r="V37" s="48">
        <f t="shared" si="55"/>
        <v>0</v>
      </c>
      <c r="W37" s="48">
        <f t="shared" si="56"/>
        <v>0</v>
      </c>
      <c r="X37" s="49" t="e">
        <f t="shared" si="57"/>
        <v>#VALUE!</v>
      </c>
    </row>
    <row r="38" spans="1:24" x14ac:dyDescent="0.35">
      <c r="A38" s="71">
        <v>46298</v>
      </c>
      <c r="B38" s="40">
        <v>34</v>
      </c>
      <c r="C38" s="131" t="s">
        <v>131</v>
      </c>
      <c r="D38" s="131"/>
      <c r="E38" s="68"/>
      <c r="F38" s="68"/>
      <c r="G38" s="68">
        <v>40</v>
      </c>
      <c r="H38" s="124"/>
      <c r="I38" s="68">
        <v>20</v>
      </c>
      <c r="J38" s="68">
        <v>20</v>
      </c>
      <c r="K38" s="68">
        <v>20</v>
      </c>
      <c r="L38" s="124">
        <f t="shared" si="64"/>
        <v>2.5</v>
      </c>
      <c r="M38" s="138">
        <v>18</v>
      </c>
      <c r="N38" s="42"/>
      <c r="O38" s="66">
        <f t="shared" si="52"/>
        <v>2</v>
      </c>
      <c r="P38" s="33">
        <f t="shared" si="53"/>
        <v>3</v>
      </c>
      <c r="Q38" s="44" t="e">
        <f t="shared" si="1"/>
        <v>#VALUE!</v>
      </c>
      <c r="R38" s="45">
        <f t="shared" si="5"/>
        <v>0</v>
      </c>
      <c r="S38" s="45">
        <f t="shared" si="6"/>
        <v>0</v>
      </c>
      <c r="T38" s="46" t="e">
        <f t="shared" si="54"/>
        <v>#VALUE!</v>
      </c>
      <c r="U38" s="47" t="e">
        <f t="shared" si="2"/>
        <v>#VALUE!</v>
      </c>
      <c r="V38" s="48">
        <f t="shared" si="55"/>
        <v>0</v>
      </c>
      <c r="W38" s="48">
        <f t="shared" si="56"/>
        <v>0</v>
      </c>
      <c r="X38" s="49" t="e">
        <f t="shared" si="57"/>
        <v>#VALUE!</v>
      </c>
    </row>
    <row r="39" spans="1:24" x14ac:dyDescent="0.35">
      <c r="A39" s="71">
        <v>46298</v>
      </c>
      <c r="B39" s="40">
        <v>35</v>
      </c>
      <c r="C39" s="131" t="s">
        <v>132</v>
      </c>
      <c r="D39" s="131"/>
      <c r="E39" s="68"/>
      <c r="F39" s="68">
        <v>30</v>
      </c>
      <c r="G39" s="68"/>
      <c r="H39" s="124">
        <v>30</v>
      </c>
      <c r="I39" s="68">
        <v>20</v>
      </c>
      <c r="J39" s="68">
        <v>20</v>
      </c>
      <c r="K39" s="68"/>
      <c r="L39" s="124">
        <f t="shared" si="64"/>
        <v>2.5</v>
      </c>
      <c r="M39" s="138">
        <v>18</v>
      </c>
      <c r="N39" s="42"/>
      <c r="O39" s="66">
        <f t="shared" si="52"/>
        <v>3</v>
      </c>
      <c r="P39" s="33">
        <f t="shared" si="53"/>
        <v>2</v>
      </c>
      <c r="Q39" s="44" t="e">
        <f t="shared" si="1"/>
        <v>#VALUE!</v>
      </c>
      <c r="R39" s="45">
        <f t="shared" si="5"/>
        <v>0</v>
      </c>
      <c r="S39" s="45">
        <f t="shared" si="6"/>
        <v>0</v>
      </c>
      <c r="T39" s="46" t="e">
        <f t="shared" si="54"/>
        <v>#VALUE!</v>
      </c>
      <c r="U39" s="47" t="e">
        <f t="shared" si="2"/>
        <v>#VALUE!</v>
      </c>
      <c r="V39" s="48">
        <f t="shared" si="55"/>
        <v>0</v>
      </c>
      <c r="W39" s="48">
        <f t="shared" si="56"/>
        <v>0</v>
      </c>
      <c r="X39" s="49" t="e">
        <f t="shared" si="57"/>
        <v>#VALUE!</v>
      </c>
    </row>
    <row r="40" spans="1:24" x14ac:dyDescent="0.35">
      <c r="A40" s="71">
        <v>46298</v>
      </c>
      <c r="B40" s="40">
        <v>36</v>
      </c>
      <c r="C40" s="131" t="s">
        <v>133</v>
      </c>
      <c r="D40" s="131"/>
      <c r="E40" s="68"/>
      <c r="F40" s="68"/>
      <c r="G40" s="68">
        <v>30</v>
      </c>
      <c r="H40" s="124">
        <v>40</v>
      </c>
      <c r="I40" s="68">
        <v>20</v>
      </c>
      <c r="J40" s="68">
        <v>20</v>
      </c>
      <c r="K40" s="68">
        <v>20</v>
      </c>
      <c r="L40" s="124">
        <f t="shared" si="64"/>
        <v>3.25</v>
      </c>
      <c r="M40" s="138">
        <v>18</v>
      </c>
      <c r="N40" s="42"/>
      <c r="O40" s="66">
        <f t="shared" si="52"/>
        <v>3.5</v>
      </c>
      <c r="P40" s="33">
        <f t="shared" si="53"/>
        <v>3</v>
      </c>
      <c r="Q40" s="44" t="e">
        <f t="shared" si="1"/>
        <v>#VALUE!</v>
      </c>
      <c r="R40" s="45">
        <f t="shared" si="5"/>
        <v>0</v>
      </c>
      <c r="S40" s="45">
        <f t="shared" si="6"/>
        <v>0</v>
      </c>
      <c r="T40" s="46" t="e">
        <f t="shared" si="54"/>
        <v>#VALUE!</v>
      </c>
      <c r="U40" s="47" t="e">
        <f t="shared" si="2"/>
        <v>#VALUE!</v>
      </c>
      <c r="V40" s="48">
        <f t="shared" si="55"/>
        <v>0</v>
      </c>
      <c r="W40" s="48">
        <f t="shared" si="56"/>
        <v>0</v>
      </c>
      <c r="X40" s="49" t="e">
        <f t="shared" si="57"/>
        <v>#VALUE!</v>
      </c>
    </row>
    <row r="41" spans="1:24" x14ac:dyDescent="0.35">
      <c r="A41" s="71">
        <v>46298</v>
      </c>
      <c r="B41" s="40">
        <v>36</v>
      </c>
      <c r="C41" s="131" t="s">
        <v>159</v>
      </c>
      <c r="D41" s="131" t="s">
        <v>160</v>
      </c>
      <c r="E41" s="68"/>
      <c r="F41" s="68">
        <v>39</v>
      </c>
      <c r="G41" s="68">
        <v>40</v>
      </c>
      <c r="H41" s="124">
        <v>40</v>
      </c>
      <c r="I41" s="68">
        <v>80</v>
      </c>
      <c r="J41" s="68">
        <v>80</v>
      </c>
      <c r="K41" s="68">
        <v>80</v>
      </c>
      <c r="L41" s="124">
        <f t="shared" si="64"/>
        <v>8.9749999999999996</v>
      </c>
      <c r="M41" s="138">
        <v>15</v>
      </c>
      <c r="N41" s="42"/>
      <c r="O41" s="66">
        <f t="shared" ref="O41:O42" si="65">SUM(F41:H41)/20</f>
        <v>5.95</v>
      </c>
      <c r="P41" s="33">
        <f t="shared" ref="P41:P42" si="66">SUM(I41:K41)/20</f>
        <v>12</v>
      </c>
      <c r="Q41" s="44" t="e">
        <f t="shared" si="1"/>
        <v>#VALUE!</v>
      </c>
      <c r="R41" s="45">
        <f t="shared" si="5"/>
        <v>0</v>
      </c>
      <c r="S41" s="45">
        <f t="shared" si="6"/>
        <v>0</v>
      </c>
      <c r="T41" s="46" t="e">
        <f t="shared" ref="T41:T42" si="67">SUM(Q41:S41)</f>
        <v>#VALUE!</v>
      </c>
      <c r="U41" s="47" t="e">
        <f t="shared" ref="U41:U42" si="68">SUM(E41:E41)*$U$3</f>
        <v>#VALUE!</v>
      </c>
      <c r="V41" s="48">
        <f t="shared" ref="V41:V42" si="69">SUM(F41:H41)*$V$3</f>
        <v>0</v>
      </c>
      <c r="W41" s="48">
        <f t="shared" ref="W41:W42" si="70">SUM(I41:K41)*$W$3</f>
        <v>0</v>
      </c>
      <c r="X41" s="49" t="e">
        <f t="shared" ref="X41:X42" si="71">SUM(U41:W41)</f>
        <v>#VALUE!</v>
      </c>
    </row>
    <row r="42" spans="1:24" x14ac:dyDescent="0.35">
      <c r="A42" s="71">
        <v>46298</v>
      </c>
      <c r="B42" s="40">
        <v>36</v>
      </c>
      <c r="C42" s="131" t="s">
        <v>157</v>
      </c>
      <c r="D42" s="131" t="s">
        <v>158</v>
      </c>
      <c r="E42" s="68"/>
      <c r="F42" s="68">
        <v>160</v>
      </c>
      <c r="G42" s="68">
        <v>80</v>
      </c>
      <c r="H42" s="124">
        <v>240</v>
      </c>
      <c r="I42" s="68">
        <v>200</v>
      </c>
      <c r="J42" s="68">
        <v>160</v>
      </c>
      <c r="K42" s="68">
        <v>400</v>
      </c>
      <c r="L42" s="124">
        <f t="shared" si="64"/>
        <v>31</v>
      </c>
      <c r="M42" s="138">
        <v>15</v>
      </c>
      <c r="N42" s="42"/>
      <c r="O42" s="66">
        <f t="shared" si="65"/>
        <v>24</v>
      </c>
      <c r="P42" s="33">
        <f t="shared" si="66"/>
        <v>38</v>
      </c>
      <c r="Q42" s="44" t="e">
        <f t="shared" si="1"/>
        <v>#VALUE!</v>
      </c>
      <c r="R42" s="45">
        <f t="shared" si="5"/>
        <v>0</v>
      </c>
      <c r="S42" s="45">
        <f t="shared" si="6"/>
        <v>0</v>
      </c>
      <c r="T42" s="46" t="e">
        <f t="shared" si="67"/>
        <v>#VALUE!</v>
      </c>
      <c r="U42" s="47" t="e">
        <f t="shared" si="68"/>
        <v>#VALUE!</v>
      </c>
      <c r="V42" s="48">
        <f t="shared" si="69"/>
        <v>0</v>
      </c>
      <c r="W42" s="48">
        <f t="shared" si="70"/>
        <v>0</v>
      </c>
      <c r="X42" s="49" t="e">
        <f t="shared" si="71"/>
        <v>#VALUE!</v>
      </c>
    </row>
    <row r="43" spans="1:24" x14ac:dyDescent="0.35">
      <c r="A43" s="71">
        <v>46298</v>
      </c>
      <c r="B43" s="40">
        <v>37</v>
      </c>
      <c r="C43" s="131" t="s">
        <v>134</v>
      </c>
      <c r="D43" s="131"/>
      <c r="E43" s="68"/>
      <c r="F43" s="68">
        <v>40</v>
      </c>
      <c r="G43" s="68">
        <v>30</v>
      </c>
      <c r="H43" s="124">
        <v>40</v>
      </c>
      <c r="I43" s="68">
        <v>20</v>
      </c>
      <c r="J43" s="68">
        <v>20</v>
      </c>
      <c r="K43" s="68">
        <v>20</v>
      </c>
      <c r="L43" s="124">
        <f t="shared" si="64"/>
        <v>4.25</v>
      </c>
      <c r="M43" s="138">
        <v>18</v>
      </c>
      <c r="N43" s="42"/>
      <c r="O43" s="66">
        <f t="shared" si="52"/>
        <v>5.5</v>
      </c>
      <c r="P43" s="33">
        <f t="shared" si="53"/>
        <v>3</v>
      </c>
      <c r="Q43" s="44" t="e">
        <f t="shared" si="1"/>
        <v>#VALUE!</v>
      </c>
      <c r="R43" s="45">
        <f t="shared" si="5"/>
        <v>0</v>
      </c>
      <c r="S43" s="45">
        <f t="shared" si="6"/>
        <v>0</v>
      </c>
      <c r="T43" s="46" t="e">
        <f t="shared" si="54"/>
        <v>#VALUE!</v>
      </c>
      <c r="U43" s="47" t="e">
        <f t="shared" si="2"/>
        <v>#VALUE!</v>
      </c>
      <c r="V43" s="48">
        <f t="shared" si="55"/>
        <v>0</v>
      </c>
      <c r="W43" s="48">
        <f t="shared" si="56"/>
        <v>0</v>
      </c>
      <c r="X43" s="49" t="e">
        <f t="shared" si="57"/>
        <v>#VALUE!</v>
      </c>
    </row>
    <row r="44" spans="1:24" x14ac:dyDescent="0.35">
      <c r="A44" s="134">
        <v>46301</v>
      </c>
      <c r="B44" s="40">
        <v>38</v>
      </c>
      <c r="C44" s="131" t="s">
        <v>141</v>
      </c>
      <c r="D44" s="131" t="s">
        <v>142</v>
      </c>
      <c r="E44" s="68"/>
      <c r="F44" s="68">
        <v>80</v>
      </c>
      <c r="G44" s="68">
        <v>40</v>
      </c>
      <c r="H44" s="124">
        <v>40</v>
      </c>
      <c r="I44" s="68">
        <v>80</v>
      </c>
      <c r="J44" s="68">
        <v>80</v>
      </c>
      <c r="K44" s="68">
        <v>80</v>
      </c>
      <c r="L44" s="124">
        <f t="shared" si="64"/>
        <v>10</v>
      </c>
      <c r="M44" s="138">
        <v>12</v>
      </c>
      <c r="N44" s="42"/>
      <c r="O44" s="66">
        <f t="shared" si="52"/>
        <v>8</v>
      </c>
      <c r="P44" s="33">
        <f t="shared" si="53"/>
        <v>12</v>
      </c>
      <c r="Q44" s="44" t="e">
        <f t="shared" si="1"/>
        <v>#VALUE!</v>
      </c>
      <c r="R44" s="45">
        <f t="shared" si="5"/>
        <v>0</v>
      </c>
      <c r="S44" s="45">
        <f t="shared" si="6"/>
        <v>0</v>
      </c>
      <c r="T44" s="46" t="e">
        <f t="shared" si="54"/>
        <v>#VALUE!</v>
      </c>
      <c r="U44" s="47" t="e">
        <f t="shared" si="2"/>
        <v>#VALUE!</v>
      </c>
      <c r="V44" s="48">
        <f t="shared" si="55"/>
        <v>0</v>
      </c>
      <c r="W44" s="48">
        <f t="shared" si="56"/>
        <v>0</v>
      </c>
      <c r="X44" s="49" t="e">
        <f t="shared" si="57"/>
        <v>#VALUE!</v>
      </c>
    </row>
    <row r="45" spans="1:24" x14ac:dyDescent="0.35">
      <c r="A45" s="134">
        <v>46301</v>
      </c>
      <c r="B45" s="40">
        <v>39</v>
      </c>
      <c r="C45" s="131" t="s">
        <v>143</v>
      </c>
      <c r="D45" s="131" t="s">
        <v>144</v>
      </c>
      <c r="E45" s="68"/>
      <c r="F45" s="68">
        <v>40</v>
      </c>
      <c r="G45" s="68">
        <v>40</v>
      </c>
      <c r="H45" s="124">
        <v>40</v>
      </c>
      <c r="I45" s="68">
        <v>40</v>
      </c>
      <c r="J45" s="68">
        <v>40</v>
      </c>
      <c r="K45" s="68">
        <v>40</v>
      </c>
      <c r="L45" s="124">
        <f t="shared" si="64"/>
        <v>6</v>
      </c>
      <c r="M45" s="138">
        <v>14</v>
      </c>
      <c r="N45" s="42"/>
      <c r="O45" s="66">
        <f t="shared" si="52"/>
        <v>6</v>
      </c>
      <c r="P45" s="33">
        <f t="shared" si="53"/>
        <v>6</v>
      </c>
      <c r="Q45" s="44" t="e">
        <f t="shared" si="1"/>
        <v>#VALUE!</v>
      </c>
      <c r="R45" s="45">
        <f t="shared" si="5"/>
        <v>0</v>
      </c>
      <c r="S45" s="45">
        <f t="shared" si="6"/>
        <v>0</v>
      </c>
      <c r="T45" s="46" t="e">
        <f t="shared" si="54"/>
        <v>#VALUE!</v>
      </c>
      <c r="U45" s="47" t="e">
        <f t="shared" si="2"/>
        <v>#VALUE!</v>
      </c>
      <c r="V45" s="48">
        <f t="shared" si="55"/>
        <v>0</v>
      </c>
      <c r="W45" s="48">
        <f t="shared" si="56"/>
        <v>0</v>
      </c>
      <c r="X45" s="49" t="e">
        <f t="shared" si="57"/>
        <v>#VALUE!</v>
      </c>
    </row>
    <row r="46" spans="1:24" x14ac:dyDescent="0.35">
      <c r="A46" s="134">
        <v>46301</v>
      </c>
      <c r="B46" s="40">
        <v>40</v>
      </c>
      <c r="C46" s="131" t="s">
        <v>145</v>
      </c>
      <c r="D46" s="131" t="s">
        <v>146</v>
      </c>
      <c r="E46" s="68"/>
      <c r="F46" s="68"/>
      <c r="G46" s="68">
        <v>40</v>
      </c>
      <c r="H46" s="124">
        <v>40</v>
      </c>
      <c r="I46" s="68">
        <v>40</v>
      </c>
      <c r="J46" s="68">
        <v>40</v>
      </c>
      <c r="K46" s="68">
        <v>40</v>
      </c>
      <c r="L46" s="124">
        <f t="shared" si="64"/>
        <v>5</v>
      </c>
      <c r="M46" s="138">
        <v>18</v>
      </c>
      <c r="N46" s="42"/>
      <c r="O46" s="66">
        <f t="shared" si="52"/>
        <v>4</v>
      </c>
      <c r="P46" s="33">
        <f t="shared" si="53"/>
        <v>6</v>
      </c>
      <c r="Q46" s="44" t="e">
        <f t="shared" si="1"/>
        <v>#VALUE!</v>
      </c>
      <c r="R46" s="45">
        <f t="shared" si="5"/>
        <v>0</v>
      </c>
      <c r="S46" s="45">
        <f t="shared" si="6"/>
        <v>0</v>
      </c>
      <c r="T46" s="46" t="e">
        <f t="shared" si="54"/>
        <v>#VALUE!</v>
      </c>
      <c r="U46" s="47" t="e">
        <f t="shared" si="2"/>
        <v>#VALUE!</v>
      </c>
      <c r="V46" s="48">
        <f t="shared" si="55"/>
        <v>0</v>
      </c>
      <c r="W46" s="48">
        <f t="shared" si="56"/>
        <v>0</v>
      </c>
      <c r="X46" s="49" t="e">
        <f t="shared" si="57"/>
        <v>#VALUE!</v>
      </c>
    </row>
    <row r="47" spans="1:24" x14ac:dyDescent="0.35">
      <c r="A47" s="134">
        <v>46301</v>
      </c>
      <c r="B47" s="40">
        <v>41</v>
      </c>
      <c r="C47" s="131" t="s">
        <v>147</v>
      </c>
      <c r="D47" s="131"/>
      <c r="E47" s="68"/>
      <c r="F47" s="68"/>
      <c r="G47" s="68"/>
      <c r="H47" s="124"/>
      <c r="I47" s="68"/>
      <c r="J47" s="68">
        <v>40</v>
      </c>
      <c r="K47" s="68">
        <v>40</v>
      </c>
      <c r="L47" s="124">
        <f t="shared" si="64"/>
        <v>2</v>
      </c>
      <c r="M47" s="138">
        <v>18</v>
      </c>
      <c r="N47" s="42"/>
      <c r="O47" s="66">
        <f t="shared" si="52"/>
        <v>0</v>
      </c>
      <c r="P47" s="33">
        <f t="shared" si="53"/>
        <v>4</v>
      </c>
      <c r="Q47" s="44" t="e">
        <f t="shared" si="1"/>
        <v>#VALUE!</v>
      </c>
      <c r="R47" s="45">
        <f t="shared" si="5"/>
        <v>0</v>
      </c>
      <c r="S47" s="45">
        <f t="shared" si="6"/>
        <v>0</v>
      </c>
      <c r="T47" s="46" t="e">
        <f t="shared" si="54"/>
        <v>#VALUE!</v>
      </c>
      <c r="U47" s="47" t="e">
        <f t="shared" si="2"/>
        <v>#VALUE!</v>
      </c>
      <c r="V47" s="48">
        <f t="shared" si="55"/>
        <v>0</v>
      </c>
      <c r="W47" s="48">
        <f t="shared" si="56"/>
        <v>0</v>
      </c>
      <c r="X47" s="49" t="e">
        <f t="shared" si="57"/>
        <v>#VALUE!</v>
      </c>
    </row>
    <row r="48" spans="1:24" x14ac:dyDescent="0.35">
      <c r="A48" s="134">
        <v>46301</v>
      </c>
      <c r="B48" s="40">
        <v>42</v>
      </c>
      <c r="C48" s="131" t="s">
        <v>148</v>
      </c>
      <c r="D48" s="131"/>
      <c r="E48" s="68"/>
      <c r="F48" s="68"/>
      <c r="G48" s="68"/>
      <c r="H48" s="124">
        <v>40</v>
      </c>
      <c r="I48" s="68"/>
      <c r="J48" s="68"/>
      <c r="K48" s="68"/>
      <c r="L48" s="124">
        <f t="shared" si="64"/>
        <v>1</v>
      </c>
      <c r="M48" s="138">
        <v>18</v>
      </c>
      <c r="N48" s="42"/>
      <c r="O48" s="66">
        <f t="shared" si="52"/>
        <v>2</v>
      </c>
      <c r="P48" s="33">
        <f t="shared" si="53"/>
        <v>0</v>
      </c>
      <c r="Q48" s="44" t="e">
        <f t="shared" si="1"/>
        <v>#VALUE!</v>
      </c>
      <c r="R48" s="45">
        <f t="shared" si="5"/>
        <v>0</v>
      </c>
      <c r="S48" s="45">
        <f t="shared" si="6"/>
        <v>0</v>
      </c>
      <c r="T48" s="46" t="e">
        <f t="shared" si="54"/>
        <v>#VALUE!</v>
      </c>
      <c r="U48" s="47" t="e">
        <f t="shared" si="2"/>
        <v>#VALUE!</v>
      </c>
      <c r="V48" s="48">
        <f t="shared" si="55"/>
        <v>0</v>
      </c>
      <c r="W48" s="48">
        <f t="shared" si="56"/>
        <v>0</v>
      </c>
      <c r="X48" s="49" t="e">
        <f t="shared" si="57"/>
        <v>#VALUE!</v>
      </c>
    </row>
    <row r="49" spans="1:24" x14ac:dyDescent="0.35">
      <c r="A49" s="134">
        <v>46301</v>
      </c>
      <c r="B49" s="40">
        <v>43</v>
      </c>
      <c r="C49" s="131" t="s">
        <v>149</v>
      </c>
      <c r="D49" s="131"/>
      <c r="E49" s="68"/>
      <c r="F49" s="68"/>
      <c r="G49" s="68"/>
      <c r="H49" s="124"/>
      <c r="I49" s="68">
        <v>40</v>
      </c>
      <c r="J49" s="68"/>
      <c r="K49" s="68">
        <v>40</v>
      </c>
      <c r="L49" s="124">
        <f t="shared" si="64"/>
        <v>2</v>
      </c>
      <c r="M49" s="138">
        <v>18</v>
      </c>
      <c r="N49" s="42"/>
      <c r="O49" s="66">
        <f t="shared" si="52"/>
        <v>0</v>
      </c>
      <c r="P49" s="33">
        <f t="shared" si="53"/>
        <v>4</v>
      </c>
      <c r="Q49" s="44"/>
      <c r="R49" s="45"/>
      <c r="S49" s="45"/>
      <c r="T49" s="46"/>
      <c r="U49" s="47"/>
      <c r="V49" s="48">
        <f t="shared" si="55"/>
        <v>0</v>
      </c>
      <c r="W49" s="48">
        <f t="shared" si="56"/>
        <v>0</v>
      </c>
      <c r="X49" s="49"/>
    </row>
    <row r="50" spans="1:24" x14ac:dyDescent="0.35">
      <c r="A50" s="134">
        <v>46301</v>
      </c>
      <c r="B50" s="40">
        <v>44</v>
      </c>
      <c r="C50" s="131" t="s">
        <v>150</v>
      </c>
      <c r="D50" s="131"/>
      <c r="E50" s="68"/>
      <c r="F50" s="68"/>
      <c r="G50" s="68"/>
      <c r="H50" s="124">
        <v>40</v>
      </c>
      <c r="I50" s="68">
        <v>40</v>
      </c>
      <c r="J50" s="68">
        <v>40</v>
      </c>
      <c r="K50" s="68">
        <v>40</v>
      </c>
      <c r="L50" s="124">
        <f t="shared" si="64"/>
        <v>4</v>
      </c>
      <c r="M50" s="138">
        <v>18</v>
      </c>
      <c r="N50" s="42"/>
      <c r="O50" s="66">
        <f t="shared" ref="O50:O62" si="72">SUM(F50:H50)/20</f>
        <v>2</v>
      </c>
      <c r="P50" s="33">
        <f t="shared" ref="P50:P62" si="73">SUM(I50:K50)/20</f>
        <v>6</v>
      </c>
      <c r="Q50" s="44"/>
      <c r="R50" s="45"/>
      <c r="S50" s="45"/>
      <c r="T50" s="46"/>
      <c r="U50" s="47"/>
      <c r="V50" s="48">
        <f t="shared" ref="V50:V62" si="74">SUM(F50:H50)*$V$3</f>
        <v>0</v>
      </c>
      <c r="W50" s="48">
        <f t="shared" ref="W50:W62" si="75">SUM(I50:K50)*$W$3</f>
        <v>0</v>
      </c>
      <c r="X50" s="49"/>
    </row>
    <row r="51" spans="1:24" x14ac:dyDescent="0.35">
      <c r="A51" s="134">
        <v>46301</v>
      </c>
      <c r="B51" s="40">
        <v>45</v>
      </c>
      <c r="C51" s="131" t="s">
        <v>151</v>
      </c>
      <c r="D51" s="131" t="s">
        <v>152</v>
      </c>
      <c r="E51" s="68"/>
      <c r="F51" s="68"/>
      <c r="G51" s="68">
        <v>40</v>
      </c>
      <c r="H51" s="124">
        <v>80</v>
      </c>
      <c r="I51" s="68"/>
      <c r="J51" s="68">
        <v>120</v>
      </c>
      <c r="K51" s="68">
        <v>80</v>
      </c>
      <c r="L51" s="124">
        <f t="shared" si="64"/>
        <v>8</v>
      </c>
      <c r="M51" s="138">
        <v>14</v>
      </c>
      <c r="N51" s="42"/>
      <c r="O51" s="66">
        <f t="shared" si="72"/>
        <v>6</v>
      </c>
      <c r="P51" s="33">
        <f t="shared" si="73"/>
        <v>10</v>
      </c>
      <c r="Q51" s="44"/>
      <c r="R51" s="45"/>
      <c r="S51" s="45"/>
      <c r="T51" s="46"/>
      <c r="U51" s="47"/>
      <c r="V51" s="48">
        <f t="shared" si="74"/>
        <v>0</v>
      </c>
      <c r="W51" s="48">
        <f t="shared" si="75"/>
        <v>0</v>
      </c>
      <c r="X51" s="49"/>
    </row>
    <row r="52" spans="1:24" x14ac:dyDescent="0.35">
      <c r="A52" s="134">
        <v>46301</v>
      </c>
      <c r="B52" s="40">
        <v>46</v>
      </c>
      <c r="C52" s="131" t="s">
        <v>153</v>
      </c>
      <c r="D52" s="131" t="s">
        <v>154</v>
      </c>
      <c r="E52" s="68"/>
      <c r="F52" s="68"/>
      <c r="G52" s="68"/>
      <c r="H52" s="124">
        <v>600</v>
      </c>
      <c r="I52" s="68">
        <v>800</v>
      </c>
      <c r="J52" s="68">
        <v>1200</v>
      </c>
      <c r="K52" s="68">
        <v>1000</v>
      </c>
      <c r="L52" s="124">
        <f t="shared" si="64"/>
        <v>90</v>
      </c>
      <c r="M52" s="138">
        <v>16</v>
      </c>
      <c r="N52" s="42"/>
      <c r="O52" s="66">
        <f t="shared" si="72"/>
        <v>30</v>
      </c>
      <c r="P52" s="33">
        <f t="shared" si="73"/>
        <v>150</v>
      </c>
      <c r="Q52" s="44"/>
      <c r="R52" s="45"/>
      <c r="S52" s="45"/>
      <c r="T52" s="46"/>
      <c r="U52" s="47"/>
      <c r="V52" s="48">
        <f t="shared" si="74"/>
        <v>0</v>
      </c>
      <c r="W52" s="48">
        <f t="shared" si="75"/>
        <v>0</v>
      </c>
      <c r="X52" s="49"/>
    </row>
    <row r="53" spans="1:24" x14ac:dyDescent="0.35">
      <c r="A53" s="134">
        <v>46301</v>
      </c>
      <c r="B53" s="40">
        <v>47</v>
      </c>
      <c r="C53" s="131" t="s">
        <v>155</v>
      </c>
      <c r="D53" s="131" t="s">
        <v>156</v>
      </c>
      <c r="E53" s="68"/>
      <c r="F53" s="68"/>
      <c r="G53" s="68"/>
      <c r="H53" s="124">
        <v>200</v>
      </c>
      <c r="I53" s="68">
        <v>80</v>
      </c>
      <c r="J53" s="68">
        <v>80</v>
      </c>
      <c r="K53" s="68">
        <v>200</v>
      </c>
      <c r="L53" s="124">
        <f t="shared" si="64"/>
        <v>14</v>
      </c>
      <c r="M53" s="138">
        <v>12</v>
      </c>
      <c r="N53" s="42"/>
      <c r="O53" s="66">
        <f t="shared" si="72"/>
        <v>10</v>
      </c>
      <c r="P53" s="33">
        <f t="shared" si="73"/>
        <v>18</v>
      </c>
      <c r="Q53" s="44"/>
      <c r="R53" s="45"/>
      <c r="S53" s="45"/>
      <c r="T53" s="46"/>
      <c r="U53" s="47"/>
      <c r="V53" s="48">
        <f t="shared" si="74"/>
        <v>0</v>
      </c>
      <c r="W53" s="48">
        <f t="shared" si="75"/>
        <v>0</v>
      </c>
      <c r="X53" s="49"/>
    </row>
    <row r="54" spans="1:24" x14ac:dyDescent="0.35">
      <c r="A54" s="71"/>
      <c r="B54" s="40">
        <v>48</v>
      </c>
      <c r="C54" s="131"/>
      <c r="D54" s="131"/>
      <c r="E54" s="68"/>
      <c r="F54" s="68"/>
      <c r="G54" s="68"/>
      <c r="H54" s="124"/>
      <c r="I54" s="68"/>
      <c r="J54" s="68"/>
      <c r="K54" s="68"/>
      <c r="L54" s="124">
        <f t="shared" si="64"/>
        <v>0</v>
      </c>
      <c r="M54" s="138"/>
      <c r="N54" s="42"/>
      <c r="O54" s="66">
        <f t="shared" si="72"/>
        <v>0</v>
      </c>
      <c r="P54" s="33">
        <f t="shared" si="73"/>
        <v>0</v>
      </c>
      <c r="Q54" s="44"/>
      <c r="R54" s="45"/>
      <c r="S54" s="45"/>
      <c r="T54" s="46"/>
      <c r="U54" s="47"/>
      <c r="V54" s="48">
        <f t="shared" si="74"/>
        <v>0</v>
      </c>
      <c r="W54" s="48">
        <f t="shared" si="75"/>
        <v>0</v>
      </c>
      <c r="X54" s="49"/>
    </row>
    <row r="55" spans="1:24" x14ac:dyDescent="0.35">
      <c r="A55" s="71"/>
      <c r="B55" s="40">
        <v>49</v>
      </c>
      <c r="C55" s="125"/>
      <c r="D55" s="125"/>
      <c r="E55" s="68"/>
      <c r="F55" s="68"/>
      <c r="G55" s="68"/>
      <c r="H55" s="124"/>
      <c r="I55" s="68"/>
      <c r="J55" s="68"/>
      <c r="K55" s="68"/>
      <c r="L55" s="124">
        <f t="shared" si="64"/>
        <v>0</v>
      </c>
      <c r="M55" s="138"/>
      <c r="N55" s="42"/>
      <c r="O55" s="66">
        <f t="shared" si="72"/>
        <v>0</v>
      </c>
      <c r="P55" s="33">
        <f t="shared" si="73"/>
        <v>0</v>
      </c>
      <c r="Q55" s="44"/>
      <c r="R55" s="45"/>
      <c r="S55" s="45"/>
      <c r="T55" s="46"/>
      <c r="U55" s="47"/>
      <c r="V55" s="48">
        <f t="shared" si="74"/>
        <v>0</v>
      </c>
      <c r="W55" s="48">
        <f t="shared" si="75"/>
        <v>0</v>
      </c>
      <c r="X55" s="49"/>
    </row>
    <row r="56" spans="1:24" x14ac:dyDescent="0.35">
      <c r="A56" s="71"/>
      <c r="B56" s="40">
        <v>50</v>
      </c>
      <c r="C56" s="125"/>
      <c r="D56" s="125"/>
      <c r="E56" s="68"/>
      <c r="F56" s="68"/>
      <c r="G56" s="68"/>
      <c r="H56" s="124"/>
      <c r="I56" s="68"/>
      <c r="J56" s="68"/>
      <c r="K56" s="68"/>
      <c r="L56" s="124">
        <f t="shared" si="64"/>
        <v>0</v>
      </c>
      <c r="M56" s="138"/>
      <c r="N56" s="42"/>
      <c r="O56" s="66">
        <f t="shared" si="72"/>
        <v>0</v>
      </c>
      <c r="P56" s="33">
        <f t="shared" si="73"/>
        <v>0</v>
      </c>
      <c r="Q56" s="44"/>
      <c r="R56" s="45"/>
      <c r="S56" s="45"/>
      <c r="T56" s="46"/>
      <c r="U56" s="47"/>
      <c r="V56" s="48">
        <f t="shared" si="74"/>
        <v>0</v>
      </c>
      <c r="W56" s="48">
        <f t="shared" si="75"/>
        <v>0</v>
      </c>
      <c r="X56" s="49"/>
    </row>
    <row r="57" spans="1:24" x14ac:dyDescent="0.35">
      <c r="A57" s="71"/>
      <c r="B57" s="40">
        <v>51</v>
      </c>
      <c r="C57" s="125"/>
      <c r="D57" s="125"/>
      <c r="E57" s="68"/>
      <c r="F57" s="68"/>
      <c r="G57" s="68"/>
      <c r="H57" s="124"/>
      <c r="I57" s="68"/>
      <c r="J57" s="68"/>
      <c r="K57" s="68"/>
      <c r="L57" s="124">
        <f t="shared" si="64"/>
        <v>0</v>
      </c>
      <c r="M57" s="138"/>
      <c r="N57" s="42"/>
      <c r="O57" s="66">
        <f t="shared" si="72"/>
        <v>0</v>
      </c>
      <c r="P57" s="33">
        <f t="shared" si="73"/>
        <v>0</v>
      </c>
      <c r="Q57" s="44"/>
      <c r="R57" s="45"/>
      <c r="S57" s="45"/>
      <c r="T57" s="46"/>
      <c r="U57" s="47"/>
      <c r="V57" s="48">
        <f t="shared" si="74"/>
        <v>0</v>
      </c>
      <c r="W57" s="48">
        <f t="shared" si="75"/>
        <v>0</v>
      </c>
      <c r="X57" s="49"/>
    </row>
    <row r="58" spans="1:24" x14ac:dyDescent="0.35">
      <c r="A58" s="71"/>
      <c r="B58" s="40">
        <v>52</v>
      </c>
      <c r="C58" s="125"/>
      <c r="D58" s="125"/>
      <c r="E58" s="68"/>
      <c r="F58" s="68"/>
      <c r="G58" s="68"/>
      <c r="H58" s="124"/>
      <c r="I58" s="68"/>
      <c r="J58" s="68"/>
      <c r="K58" s="68"/>
      <c r="L58" s="124">
        <f t="shared" si="64"/>
        <v>0</v>
      </c>
      <c r="M58" s="138"/>
      <c r="N58" s="42"/>
      <c r="O58" s="66">
        <f t="shared" si="72"/>
        <v>0</v>
      </c>
      <c r="P58" s="33">
        <f t="shared" si="73"/>
        <v>0</v>
      </c>
      <c r="Q58" s="44"/>
      <c r="R58" s="45"/>
      <c r="S58" s="45"/>
      <c r="T58" s="46"/>
      <c r="U58" s="47"/>
      <c r="V58" s="48">
        <f t="shared" si="74"/>
        <v>0</v>
      </c>
      <c r="W58" s="48">
        <f t="shared" si="75"/>
        <v>0</v>
      </c>
      <c r="X58" s="49"/>
    </row>
    <row r="59" spans="1:24" x14ac:dyDescent="0.35">
      <c r="A59" s="71"/>
      <c r="B59" s="40">
        <v>53</v>
      </c>
      <c r="C59" s="125"/>
      <c r="D59" s="125"/>
      <c r="E59" s="68"/>
      <c r="F59" s="68"/>
      <c r="G59" s="68"/>
      <c r="H59" s="124"/>
      <c r="I59" s="68"/>
      <c r="J59" s="68"/>
      <c r="K59" s="68"/>
      <c r="L59" s="124">
        <f t="shared" si="64"/>
        <v>0</v>
      </c>
      <c r="M59" s="138"/>
      <c r="N59" s="42"/>
      <c r="O59" s="66">
        <f t="shared" si="72"/>
        <v>0</v>
      </c>
      <c r="P59" s="33">
        <f t="shared" si="73"/>
        <v>0</v>
      </c>
      <c r="Q59" s="44"/>
      <c r="R59" s="45"/>
      <c r="S59" s="45"/>
      <c r="T59" s="46"/>
      <c r="U59" s="47"/>
      <c r="V59" s="48">
        <f t="shared" si="74"/>
        <v>0</v>
      </c>
      <c r="W59" s="48">
        <f t="shared" si="75"/>
        <v>0</v>
      </c>
      <c r="X59" s="49"/>
    </row>
    <row r="60" spans="1:24" x14ac:dyDescent="0.35">
      <c r="A60" s="71"/>
      <c r="B60" s="40">
        <v>54</v>
      </c>
      <c r="C60" s="125"/>
      <c r="D60" s="125"/>
      <c r="E60" s="68"/>
      <c r="F60" s="68"/>
      <c r="G60" s="68"/>
      <c r="H60" s="124"/>
      <c r="I60" s="68"/>
      <c r="J60" s="68"/>
      <c r="K60" s="68"/>
      <c r="L60" s="124">
        <f t="shared" si="64"/>
        <v>0</v>
      </c>
      <c r="M60" s="138"/>
      <c r="N60" s="42"/>
      <c r="O60" s="66">
        <f t="shared" si="72"/>
        <v>0</v>
      </c>
      <c r="P60" s="33">
        <f t="shared" si="73"/>
        <v>0</v>
      </c>
      <c r="Q60" s="44"/>
      <c r="R60" s="45"/>
      <c r="S60" s="45"/>
      <c r="T60" s="46"/>
      <c r="U60" s="47"/>
      <c r="V60" s="48">
        <f t="shared" si="74"/>
        <v>0</v>
      </c>
      <c r="W60" s="48">
        <f t="shared" si="75"/>
        <v>0</v>
      </c>
      <c r="X60" s="49"/>
    </row>
    <row r="61" spans="1:24" x14ac:dyDescent="0.35">
      <c r="A61" s="71"/>
      <c r="B61" s="40">
        <v>55</v>
      </c>
      <c r="C61" s="125"/>
      <c r="D61" s="125"/>
      <c r="E61" s="68"/>
      <c r="F61" s="68"/>
      <c r="G61" s="68"/>
      <c r="H61" s="124"/>
      <c r="I61" s="68"/>
      <c r="J61" s="68"/>
      <c r="K61" s="68"/>
      <c r="L61" s="124">
        <f t="shared" si="64"/>
        <v>0</v>
      </c>
      <c r="M61" s="138"/>
      <c r="N61" s="42"/>
      <c r="O61" s="66">
        <f t="shared" si="72"/>
        <v>0</v>
      </c>
      <c r="P61" s="33">
        <f t="shared" si="73"/>
        <v>0</v>
      </c>
      <c r="Q61" s="44"/>
      <c r="R61" s="45"/>
      <c r="S61" s="45"/>
      <c r="T61" s="46"/>
      <c r="U61" s="47"/>
      <c r="V61" s="48">
        <f t="shared" si="74"/>
        <v>0</v>
      </c>
      <c r="W61" s="48">
        <f t="shared" si="75"/>
        <v>0</v>
      </c>
      <c r="X61" s="49"/>
    </row>
    <row r="62" spans="1:24" x14ac:dyDescent="0.35">
      <c r="A62" s="71"/>
      <c r="B62" s="40">
        <v>56</v>
      </c>
      <c r="C62" s="125"/>
      <c r="D62" s="125"/>
      <c r="E62" s="68"/>
      <c r="F62" s="68"/>
      <c r="G62" s="68"/>
      <c r="H62" s="124"/>
      <c r="I62" s="68"/>
      <c r="J62" s="68"/>
      <c r="K62" s="68"/>
      <c r="L62" s="124">
        <f t="shared" si="64"/>
        <v>0</v>
      </c>
      <c r="M62" s="138"/>
      <c r="N62" s="42"/>
      <c r="O62" s="66">
        <f t="shared" si="72"/>
        <v>0</v>
      </c>
      <c r="P62" s="33">
        <f t="shared" si="73"/>
        <v>0</v>
      </c>
      <c r="Q62" s="44"/>
      <c r="R62" s="45"/>
      <c r="S62" s="45"/>
      <c r="T62" s="46"/>
      <c r="U62" s="47"/>
      <c r="V62" s="48">
        <f t="shared" si="74"/>
        <v>0</v>
      </c>
      <c r="W62" s="48">
        <f t="shared" si="75"/>
        <v>0</v>
      </c>
      <c r="X62" s="49"/>
    </row>
    <row r="63" spans="1:24" x14ac:dyDescent="0.35">
      <c r="A63" s="71"/>
      <c r="B63" s="40">
        <v>57</v>
      </c>
      <c r="C63" s="125"/>
      <c r="D63" s="125"/>
      <c r="E63" s="68"/>
      <c r="F63" s="68"/>
      <c r="G63" s="68"/>
      <c r="H63" s="124"/>
      <c r="I63" s="68"/>
      <c r="J63" s="68"/>
      <c r="K63" s="68"/>
      <c r="L63" s="124">
        <f t="shared" si="64"/>
        <v>0</v>
      </c>
      <c r="M63" s="138"/>
      <c r="N63" s="42"/>
      <c r="O63" s="66">
        <f t="shared" si="40"/>
        <v>0</v>
      </c>
      <c r="P63" s="33">
        <f t="shared" si="41"/>
        <v>0</v>
      </c>
      <c r="Q63" s="44" t="e">
        <f t="shared" ref="Q63:Q94" si="76">SUMPRODUCT($E$4:$E$4,$E$6:$E$6)*$Q$3</f>
        <v>#VALUE!</v>
      </c>
      <c r="R63" s="45">
        <f t="shared" si="5"/>
        <v>0</v>
      </c>
      <c r="S63" s="45">
        <f t="shared" si="6"/>
        <v>0</v>
      </c>
      <c r="T63" s="46" t="e">
        <f t="shared" si="42"/>
        <v>#VALUE!</v>
      </c>
      <c r="U63" s="47" t="e">
        <f t="shared" ref="U63:U94" si="77">SUM(E63:E63)*$U$3</f>
        <v>#VALUE!</v>
      </c>
      <c r="V63" s="48">
        <f t="shared" si="43"/>
        <v>0</v>
      </c>
      <c r="W63" s="48">
        <f t="shared" si="44"/>
        <v>0</v>
      </c>
      <c r="X63" s="49" t="e">
        <f t="shared" si="45"/>
        <v>#VALUE!</v>
      </c>
    </row>
    <row r="64" spans="1:24" x14ac:dyDescent="0.35">
      <c r="A64" s="71"/>
      <c r="B64" s="40">
        <v>58</v>
      </c>
      <c r="C64" s="125"/>
      <c r="D64" s="125"/>
      <c r="E64" s="68"/>
      <c r="F64" s="68"/>
      <c r="G64" s="68"/>
      <c r="H64" s="124"/>
      <c r="I64" s="68"/>
      <c r="J64" s="68"/>
      <c r="K64" s="68"/>
      <c r="L64" s="124">
        <f t="shared" si="64"/>
        <v>0</v>
      </c>
      <c r="M64" s="138"/>
      <c r="N64" s="42"/>
      <c r="O64" s="66">
        <f t="shared" ref="O64:O81" si="78">SUM(F64:H64)/20</f>
        <v>0</v>
      </c>
      <c r="P64" s="33">
        <f t="shared" ref="P64:P81" si="79">SUM(I64:K64)/20</f>
        <v>0</v>
      </c>
      <c r="Q64" s="44" t="e">
        <f t="shared" si="76"/>
        <v>#VALUE!</v>
      </c>
      <c r="R64" s="45">
        <f t="shared" si="5"/>
        <v>0</v>
      </c>
      <c r="S64" s="45">
        <f t="shared" si="6"/>
        <v>0</v>
      </c>
      <c r="T64" s="46" t="e">
        <f t="shared" ref="T64:T81" si="80">SUM(Q64:S64)</f>
        <v>#VALUE!</v>
      </c>
      <c r="U64" s="47" t="e">
        <f t="shared" si="77"/>
        <v>#VALUE!</v>
      </c>
      <c r="V64" s="48">
        <f t="shared" ref="V64:V81" si="81">SUM(F64:H64)*$V$3</f>
        <v>0</v>
      </c>
      <c r="W64" s="48">
        <f t="shared" ref="W64:W81" si="82">SUM(I64:K64)*$W$3</f>
        <v>0</v>
      </c>
      <c r="X64" s="49" t="e">
        <f t="shared" ref="X64:X81" si="83">SUM(U64:W64)</f>
        <v>#VALUE!</v>
      </c>
    </row>
    <row r="65" spans="1:24" x14ac:dyDescent="0.35">
      <c r="A65" s="71"/>
      <c r="B65" s="40">
        <v>59</v>
      </c>
      <c r="C65" s="125"/>
      <c r="D65" s="125"/>
      <c r="E65" s="68"/>
      <c r="F65" s="68"/>
      <c r="G65" s="68"/>
      <c r="H65" s="124"/>
      <c r="I65" s="68"/>
      <c r="J65" s="68"/>
      <c r="K65" s="68"/>
      <c r="L65" s="124">
        <f t="shared" si="64"/>
        <v>0</v>
      </c>
      <c r="M65" s="138"/>
      <c r="N65" s="42"/>
      <c r="O65" s="66">
        <f t="shared" si="78"/>
        <v>0</v>
      </c>
      <c r="P65" s="33">
        <f t="shared" si="79"/>
        <v>0</v>
      </c>
      <c r="Q65" s="44" t="e">
        <f t="shared" si="76"/>
        <v>#VALUE!</v>
      </c>
      <c r="R65" s="45">
        <f t="shared" si="5"/>
        <v>0</v>
      </c>
      <c r="S65" s="45">
        <f t="shared" si="6"/>
        <v>0</v>
      </c>
      <c r="T65" s="46" t="e">
        <f t="shared" si="80"/>
        <v>#VALUE!</v>
      </c>
      <c r="U65" s="47" t="e">
        <f t="shared" si="77"/>
        <v>#VALUE!</v>
      </c>
      <c r="V65" s="48">
        <f t="shared" si="81"/>
        <v>0</v>
      </c>
      <c r="W65" s="48">
        <f t="shared" si="82"/>
        <v>0</v>
      </c>
      <c r="X65" s="49" t="e">
        <f t="shared" si="83"/>
        <v>#VALUE!</v>
      </c>
    </row>
    <row r="66" spans="1:24" x14ac:dyDescent="0.35">
      <c r="A66" s="71"/>
      <c r="B66" s="40">
        <v>60</v>
      </c>
      <c r="C66" s="125"/>
      <c r="D66" s="125"/>
      <c r="E66" s="68"/>
      <c r="F66" s="68"/>
      <c r="G66" s="68"/>
      <c r="H66" s="124"/>
      <c r="I66" s="68"/>
      <c r="J66" s="68"/>
      <c r="K66" s="68"/>
      <c r="L66" s="124">
        <f t="shared" si="64"/>
        <v>0</v>
      </c>
      <c r="M66" s="138"/>
      <c r="N66" s="42"/>
      <c r="O66" s="66">
        <f t="shared" si="78"/>
        <v>0</v>
      </c>
      <c r="P66" s="33">
        <f t="shared" si="79"/>
        <v>0</v>
      </c>
      <c r="Q66" s="44" t="e">
        <f t="shared" si="76"/>
        <v>#VALUE!</v>
      </c>
      <c r="R66" s="45">
        <f t="shared" si="5"/>
        <v>0</v>
      </c>
      <c r="S66" s="45">
        <f t="shared" si="6"/>
        <v>0</v>
      </c>
      <c r="T66" s="46" t="e">
        <f t="shared" si="80"/>
        <v>#VALUE!</v>
      </c>
      <c r="U66" s="47" t="e">
        <f t="shared" si="77"/>
        <v>#VALUE!</v>
      </c>
      <c r="V66" s="48">
        <f t="shared" si="81"/>
        <v>0</v>
      </c>
      <c r="W66" s="48">
        <f t="shared" si="82"/>
        <v>0</v>
      </c>
      <c r="X66" s="49" t="e">
        <f t="shared" si="83"/>
        <v>#VALUE!</v>
      </c>
    </row>
    <row r="67" spans="1:24" x14ac:dyDescent="0.35">
      <c r="A67" s="71"/>
      <c r="B67" s="40">
        <v>61</v>
      </c>
      <c r="C67" s="125"/>
      <c r="D67" s="125"/>
      <c r="E67" s="68"/>
      <c r="F67" s="68"/>
      <c r="G67" s="68"/>
      <c r="H67" s="124"/>
      <c r="I67" s="68"/>
      <c r="J67" s="68"/>
      <c r="K67" s="68"/>
      <c r="L67" s="124">
        <f t="shared" si="64"/>
        <v>0</v>
      </c>
      <c r="M67" s="138"/>
      <c r="N67" s="42"/>
      <c r="O67" s="66">
        <f t="shared" si="78"/>
        <v>0</v>
      </c>
      <c r="P67" s="33">
        <f t="shared" si="79"/>
        <v>0</v>
      </c>
      <c r="Q67" s="44" t="e">
        <f t="shared" si="76"/>
        <v>#VALUE!</v>
      </c>
      <c r="R67" s="45">
        <f t="shared" si="5"/>
        <v>0</v>
      </c>
      <c r="S67" s="45">
        <f t="shared" si="6"/>
        <v>0</v>
      </c>
      <c r="T67" s="46" t="e">
        <f t="shared" si="80"/>
        <v>#VALUE!</v>
      </c>
      <c r="U67" s="47" t="e">
        <f t="shared" si="77"/>
        <v>#VALUE!</v>
      </c>
      <c r="V67" s="48">
        <f t="shared" si="81"/>
        <v>0</v>
      </c>
      <c r="W67" s="48">
        <f t="shared" si="82"/>
        <v>0</v>
      </c>
      <c r="X67" s="49" t="e">
        <f t="shared" si="83"/>
        <v>#VALUE!</v>
      </c>
    </row>
    <row r="68" spans="1:24" x14ac:dyDescent="0.35">
      <c r="A68" s="71"/>
      <c r="B68" s="40">
        <v>62</v>
      </c>
      <c r="C68" s="125"/>
      <c r="D68" s="125"/>
      <c r="E68" s="68"/>
      <c r="F68" s="68"/>
      <c r="G68" s="68"/>
      <c r="H68" s="124"/>
      <c r="I68" s="68"/>
      <c r="J68" s="68"/>
      <c r="K68" s="68"/>
      <c r="L68" s="124">
        <f t="shared" si="64"/>
        <v>0</v>
      </c>
      <c r="M68" s="138"/>
      <c r="N68" s="42"/>
      <c r="O68" s="66">
        <f t="shared" si="78"/>
        <v>0</v>
      </c>
      <c r="P68" s="33">
        <f t="shared" si="79"/>
        <v>0</v>
      </c>
      <c r="Q68" s="44" t="e">
        <f t="shared" si="76"/>
        <v>#VALUE!</v>
      </c>
      <c r="R68" s="45">
        <f t="shared" si="5"/>
        <v>0</v>
      </c>
      <c r="S68" s="45">
        <f t="shared" si="6"/>
        <v>0</v>
      </c>
      <c r="T68" s="46" t="e">
        <f t="shared" si="80"/>
        <v>#VALUE!</v>
      </c>
      <c r="U68" s="47" t="e">
        <f t="shared" si="77"/>
        <v>#VALUE!</v>
      </c>
      <c r="V68" s="48">
        <f t="shared" si="81"/>
        <v>0</v>
      </c>
      <c r="W68" s="48">
        <f t="shared" si="82"/>
        <v>0</v>
      </c>
      <c r="X68" s="49" t="e">
        <f t="shared" si="83"/>
        <v>#VALUE!</v>
      </c>
    </row>
    <row r="69" spans="1:24" x14ac:dyDescent="0.35">
      <c r="A69" s="71"/>
      <c r="B69" s="40">
        <v>63</v>
      </c>
      <c r="C69" s="125"/>
      <c r="D69" s="125"/>
      <c r="E69" s="68"/>
      <c r="F69" s="68"/>
      <c r="G69" s="68"/>
      <c r="H69" s="124"/>
      <c r="I69" s="68"/>
      <c r="J69" s="68"/>
      <c r="K69" s="68"/>
      <c r="L69" s="124">
        <f t="shared" si="64"/>
        <v>0</v>
      </c>
      <c r="M69" s="138"/>
      <c r="N69" s="42"/>
      <c r="O69" s="66">
        <f t="shared" si="78"/>
        <v>0</v>
      </c>
      <c r="P69" s="33">
        <f t="shared" si="79"/>
        <v>0</v>
      </c>
      <c r="Q69" s="44" t="e">
        <f t="shared" si="76"/>
        <v>#VALUE!</v>
      </c>
      <c r="R69" s="45">
        <f t="shared" si="5"/>
        <v>0</v>
      </c>
      <c r="S69" s="45">
        <f t="shared" si="6"/>
        <v>0</v>
      </c>
      <c r="T69" s="46" t="e">
        <f t="shared" si="80"/>
        <v>#VALUE!</v>
      </c>
      <c r="U69" s="47" t="e">
        <f t="shared" si="77"/>
        <v>#VALUE!</v>
      </c>
      <c r="V69" s="48">
        <f t="shared" si="81"/>
        <v>0</v>
      </c>
      <c r="W69" s="48">
        <f t="shared" si="82"/>
        <v>0</v>
      </c>
      <c r="X69" s="49" t="e">
        <f t="shared" si="83"/>
        <v>#VALUE!</v>
      </c>
    </row>
    <row r="70" spans="1:24" x14ac:dyDescent="0.35">
      <c r="A70" s="71"/>
      <c r="B70" s="40">
        <v>64</v>
      </c>
      <c r="C70" s="125"/>
      <c r="D70" s="125"/>
      <c r="E70" s="68"/>
      <c r="F70" s="68"/>
      <c r="G70" s="68"/>
      <c r="H70" s="124"/>
      <c r="I70" s="68"/>
      <c r="J70" s="68"/>
      <c r="K70" s="68"/>
      <c r="L70" s="124">
        <f t="shared" si="64"/>
        <v>0</v>
      </c>
      <c r="M70" s="138"/>
      <c r="N70" s="42"/>
      <c r="O70" s="66">
        <f t="shared" si="78"/>
        <v>0</v>
      </c>
      <c r="P70" s="33">
        <f t="shared" si="79"/>
        <v>0</v>
      </c>
      <c r="Q70" s="44" t="e">
        <f t="shared" si="76"/>
        <v>#VALUE!</v>
      </c>
      <c r="R70" s="45">
        <f t="shared" si="5"/>
        <v>0</v>
      </c>
      <c r="S70" s="45">
        <f t="shared" si="6"/>
        <v>0</v>
      </c>
      <c r="T70" s="46" t="e">
        <f t="shared" si="80"/>
        <v>#VALUE!</v>
      </c>
      <c r="U70" s="47" t="e">
        <f t="shared" si="77"/>
        <v>#VALUE!</v>
      </c>
      <c r="V70" s="48">
        <f t="shared" si="81"/>
        <v>0</v>
      </c>
      <c r="W70" s="48">
        <f t="shared" si="82"/>
        <v>0</v>
      </c>
      <c r="X70" s="49" t="e">
        <f t="shared" si="83"/>
        <v>#VALUE!</v>
      </c>
    </row>
    <row r="71" spans="1:24" x14ac:dyDescent="0.35">
      <c r="A71" s="71"/>
      <c r="B71" s="40">
        <v>65</v>
      </c>
      <c r="C71" s="125"/>
      <c r="D71" s="125"/>
      <c r="E71" s="68"/>
      <c r="F71" s="68"/>
      <c r="G71" s="68"/>
      <c r="H71" s="124"/>
      <c r="I71" s="68"/>
      <c r="J71" s="68"/>
      <c r="K71" s="68"/>
      <c r="L71" s="124">
        <f t="shared" ref="L71:L102" si="84">SUM(E71:K71)/40</f>
        <v>0</v>
      </c>
      <c r="M71" s="138"/>
      <c r="N71" s="42"/>
      <c r="O71" s="66">
        <f t="shared" si="78"/>
        <v>0</v>
      </c>
      <c r="P71" s="33">
        <f t="shared" si="79"/>
        <v>0</v>
      </c>
      <c r="Q71" s="44" t="e">
        <f t="shared" si="76"/>
        <v>#VALUE!</v>
      </c>
      <c r="R71" s="45">
        <f t="shared" si="5"/>
        <v>0</v>
      </c>
      <c r="S71" s="45">
        <f t="shared" si="6"/>
        <v>0</v>
      </c>
      <c r="T71" s="46" t="e">
        <f t="shared" si="80"/>
        <v>#VALUE!</v>
      </c>
      <c r="U71" s="47" t="e">
        <f t="shared" si="77"/>
        <v>#VALUE!</v>
      </c>
      <c r="V71" s="48">
        <f t="shared" si="81"/>
        <v>0</v>
      </c>
      <c r="W71" s="48">
        <f t="shared" si="82"/>
        <v>0</v>
      </c>
      <c r="X71" s="49" t="e">
        <f t="shared" si="83"/>
        <v>#VALUE!</v>
      </c>
    </row>
    <row r="72" spans="1:24" x14ac:dyDescent="0.35">
      <c r="A72" s="71"/>
      <c r="B72" s="40">
        <v>66</v>
      </c>
      <c r="C72" s="125"/>
      <c r="D72" s="125"/>
      <c r="E72" s="68"/>
      <c r="F72" s="68"/>
      <c r="G72" s="68"/>
      <c r="H72" s="124"/>
      <c r="I72" s="68"/>
      <c r="J72" s="68"/>
      <c r="K72" s="68"/>
      <c r="L72" s="124">
        <f t="shared" si="84"/>
        <v>0</v>
      </c>
      <c r="M72" s="138"/>
      <c r="N72" s="42"/>
      <c r="O72" s="66">
        <f t="shared" si="78"/>
        <v>0</v>
      </c>
      <c r="P72" s="33">
        <f t="shared" si="79"/>
        <v>0</v>
      </c>
      <c r="Q72" s="44" t="e">
        <f t="shared" si="76"/>
        <v>#VALUE!</v>
      </c>
      <c r="R72" s="45">
        <f t="shared" si="5"/>
        <v>0</v>
      </c>
      <c r="S72" s="45">
        <f t="shared" si="6"/>
        <v>0</v>
      </c>
      <c r="T72" s="46" t="e">
        <f t="shared" si="80"/>
        <v>#VALUE!</v>
      </c>
      <c r="U72" s="47" t="e">
        <f t="shared" si="77"/>
        <v>#VALUE!</v>
      </c>
      <c r="V72" s="48">
        <f t="shared" si="81"/>
        <v>0</v>
      </c>
      <c r="W72" s="48">
        <f t="shared" si="82"/>
        <v>0</v>
      </c>
      <c r="X72" s="49" t="e">
        <f t="shared" si="83"/>
        <v>#VALUE!</v>
      </c>
    </row>
    <row r="73" spans="1:24" x14ac:dyDescent="0.35">
      <c r="A73" s="71"/>
      <c r="B73" s="40">
        <v>67</v>
      </c>
      <c r="C73" s="125"/>
      <c r="D73" s="125"/>
      <c r="E73" s="68"/>
      <c r="F73" s="68"/>
      <c r="G73" s="68"/>
      <c r="H73" s="124"/>
      <c r="I73" s="68"/>
      <c r="J73" s="68"/>
      <c r="K73" s="68"/>
      <c r="L73" s="124">
        <f t="shared" si="84"/>
        <v>0</v>
      </c>
      <c r="M73" s="138"/>
      <c r="N73" s="42"/>
      <c r="O73" s="66">
        <f t="shared" si="78"/>
        <v>0</v>
      </c>
      <c r="P73" s="33">
        <f t="shared" si="79"/>
        <v>0</v>
      </c>
      <c r="Q73" s="44" t="e">
        <f t="shared" si="76"/>
        <v>#VALUE!</v>
      </c>
      <c r="R73" s="45">
        <f t="shared" si="5"/>
        <v>0</v>
      </c>
      <c r="S73" s="45">
        <f t="shared" si="6"/>
        <v>0</v>
      </c>
      <c r="T73" s="46" t="e">
        <f t="shared" si="80"/>
        <v>#VALUE!</v>
      </c>
      <c r="U73" s="47" t="e">
        <f t="shared" si="77"/>
        <v>#VALUE!</v>
      </c>
      <c r="V73" s="48">
        <f t="shared" si="81"/>
        <v>0</v>
      </c>
      <c r="W73" s="48">
        <f t="shared" si="82"/>
        <v>0</v>
      </c>
      <c r="X73" s="49" t="e">
        <f t="shared" si="83"/>
        <v>#VALUE!</v>
      </c>
    </row>
    <row r="74" spans="1:24" x14ac:dyDescent="0.35">
      <c r="A74" s="71"/>
      <c r="B74" s="40">
        <v>68</v>
      </c>
      <c r="C74" s="125"/>
      <c r="D74" s="125"/>
      <c r="E74" s="68"/>
      <c r="F74" s="68"/>
      <c r="G74" s="68"/>
      <c r="H74" s="124"/>
      <c r="I74" s="68"/>
      <c r="J74" s="68"/>
      <c r="K74" s="68"/>
      <c r="L74" s="124">
        <f t="shared" si="84"/>
        <v>0</v>
      </c>
      <c r="M74" s="138"/>
      <c r="N74" s="42"/>
      <c r="O74" s="66">
        <f t="shared" si="78"/>
        <v>0</v>
      </c>
      <c r="P74" s="33">
        <f t="shared" si="79"/>
        <v>0</v>
      </c>
      <c r="Q74" s="44" t="e">
        <f t="shared" si="76"/>
        <v>#VALUE!</v>
      </c>
      <c r="R74" s="45">
        <f t="shared" si="5"/>
        <v>0</v>
      </c>
      <c r="S74" s="45">
        <f t="shared" si="6"/>
        <v>0</v>
      </c>
      <c r="T74" s="46" t="e">
        <f t="shared" si="80"/>
        <v>#VALUE!</v>
      </c>
      <c r="U74" s="47" t="e">
        <f t="shared" si="77"/>
        <v>#VALUE!</v>
      </c>
      <c r="V74" s="48">
        <f t="shared" si="81"/>
        <v>0</v>
      </c>
      <c r="W74" s="48">
        <f t="shared" si="82"/>
        <v>0</v>
      </c>
      <c r="X74" s="49" t="e">
        <f t="shared" si="83"/>
        <v>#VALUE!</v>
      </c>
    </row>
    <row r="75" spans="1:24" x14ac:dyDescent="0.35">
      <c r="A75" s="71"/>
      <c r="B75" s="40">
        <v>69</v>
      </c>
      <c r="C75" s="125"/>
      <c r="D75" s="125"/>
      <c r="E75" s="68"/>
      <c r="F75" s="68"/>
      <c r="G75" s="68"/>
      <c r="H75" s="124"/>
      <c r="I75" s="68"/>
      <c r="J75" s="68"/>
      <c r="K75" s="68"/>
      <c r="L75" s="124">
        <f t="shared" si="84"/>
        <v>0</v>
      </c>
      <c r="M75" s="138"/>
      <c r="N75" s="42"/>
      <c r="O75" s="66">
        <f t="shared" si="78"/>
        <v>0</v>
      </c>
      <c r="P75" s="33">
        <f t="shared" si="79"/>
        <v>0</v>
      </c>
      <c r="Q75" s="44" t="e">
        <f t="shared" si="76"/>
        <v>#VALUE!</v>
      </c>
      <c r="R75" s="45">
        <f t="shared" si="5"/>
        <v>0</v>
      </c>
      <c r="S75" s="45">
        <f t="shared" si="6"/>
        <v>0</v>
      </c>
      <c r="T75" s="46" t="e">
        <f t="shared" si="80"/>
        <v>#VALUE!</v>
      </c>
      <c r="U75" s="47" t="e">
        <f t="shared" si="77"/>
        <v>#VALUE!</v>
      </c>
      <c r="V75" s="48">
        <f t="shared" si="81"/>
        <v>0</v>
      </c>
      <c r="W75" s="48">
        <f t="shared" si="82"/>
        <v>0</v>
      </c>
      <c r="X75" s="49" t="e">
        <f t="shared" si="83"/>
        <v>#VALUE!</v>
      </c>
    </row>
    <row r="76" spans="1:24" x14ac:dyDescent="0.35">
      <c r="A76" s="71"/>
      <c r="B76" s="40">
        <v>70</v>
      </c>
      <c r="C76" s="125"/>
      <c r="D76" s="125"/>
      <c r="E76" s="68"/>
      <c r="F76" s="68"/>
      <c r="G76" s="68"/>
      <c r="H76" s="124"/>
      <c r="I76" s="68"/>
      <c r="J76" s="68"/>
      <c r="K76" s="68"/>
      <c r="L76" s="124">
        <f t="shared" si="84"/>
        <v>0</v>
      </c>
      <c r="M76" s="138"/>
      <c r="N76" s="42"/>
      <c r="O76" s="66">
        <f t="shared" si="78"/>
        <v>0</v>
      </c>
      <c r="P76" s="33">
        <f t="shared" si="79"/>
        <v>0</v>
      </c>
      <c r="Q76" s="44" t="e">
        <f t="shared" si="76"/>
        <v>#VALUE!</v>
      </c>
      <c r="R76" s="45">
        <f t="shared" si="5"/>
        <v>0</v>
      </c>
      <c r="S76" s="45">
        <f t="shared" si="6"/>
        <v>0</v>
      </c>
      <c r="T76" s="46" t="e">
        <f t="shared" si="80"/>
        <v>#VALUE!</v>
      </c>
      <c r="U76" s="47" t="e">
        <f t="shared" si="77"/>
        <v>#VALUE!</v>
      </c>
      <c r="V76" s="48">
        <f t="shared" si="81"/>
        <v>0</v>
      </c>
      <c r="W76" s="48">
        <f t="shared" si="82"/>
        <v>0</v>
      </c>
      <c r="X76" s="49" t="e">
        <f t="shared" si="83"/>
        <v>#VALUE!</v>
      </c>
    </row>
    <row r="77" spans="1:24" x14ac:dyDescent="0.35">
      <c r="A77" s="71"/>
      <c r="B77" s="40">
        <v>71</v>
      </c>
      <c r="C77" s="125"/>
      <c r="D77" s="125"/>
      <c r="E77" s="68"/>
      <c r="F77" s="68"/>
      <c r="G77" s="68"/>
      <c r="H77" s="124"/>
      <c r="I77" s="68"/>
      <c r="J77" s="68"/>
      <c r="K77" s="68"/>
      <c r="L77" s="124">
        <f t="shared" si="84"/>
        <v>0</v>
      </c>
      <c r="M77" s="138"/>
      <c r="N77" s="42"/>
      <c r="O77" s="66">
        <f t="shared" si="78"/>
        <v>0</v>
      </c>
      <c r="P77" s="33">
        <f t="shared" si="79"/>
        <v>0</v>
      </c>
      <c r="Q77" s="44" t="e">
        <f t="shared" si="76"/>
        <v>#VALUE!</v>
      </c>
      <c r="R77" s="45">
        <f t="shared" si="5"/>
        <v>0</v>
      </c>
      <c r="S77" s="45">
        <f t="shared" si="6"/>
        <v>0</v>
      </c>
      <c r="T77" s="46" t="e">
        <f t="shared" si="80"/>
        <v>#VALUE!</v>
      </c>
      <c r="U77" s="47" t="e">
        <f t="shared" si="77"/>
        <v>#VALUE!</v>
      </c>
      <c r="V77" s="48">
        <f t="shared" si="81"/>
        <v>0</v>
      </c>
      <c r="W77" s="48">
        <f t="shared" si="82"/>
        <v>0</v>
      </c>
      <c r="X77" s="49" t="e">
        <f t="shared" si="83"/>
        <v>#VALUE!</v>
      </c>
    </row>
    <row r="78" spans="1:24" x14ac:dyDescent="0.35">
      <c r="A78" s="71"/>
      <c r="B78" s="40">
        <v>72</v>
      </c>
      <c r="C78" s="125"/>
      <c r="D78" s="125"/>
      <c r="E78" s="68"/>
      <c r="F78" s="68"/>
      <c r="G78" s="68"/>
      <c r="H78" s="124"/>
      <c r="I78" s="68"/>
      <c r="J78" s="68"/>
      <c r="K78" s="68"/>
      <c r="L78" s="124">
        <f t="shared" si="84"/>
        <v>0</v>
      </c>
      <c r="M78" s="138"/>
      <c r="N78" s="42"/>
      <c r="O78" s="66">
        <f t="shared" si="78"/>
        <v>0</v>
      </c>
      <c r="P78" s="33">
        <f t="shared" si="79"/>
        <v>0</v>
      </c>
      <c r="Q78" s="44" t="e">
        <f t="shared" si="76"/>
        <v>#VALUE!</v>
      </c>
      <c r="R78" s="45">
        <f t="shared" si="5"/>
        <v>0</v>
      </c>
      <c r="S78" s="45">
        <f t="shared" si="6"/>
        <v>0</v>
      </c>
      <c r="T78" s="46" t="e">
        <f t="shared" si="80"/>
        <v>#VALUE!</v>
      </c>
      <c r="U78" s="47" t="e">
        <f t="shared" si="77"/>
        <v>#VALUE!</v>
      </c>
      <c r="V78" s="48">
        <f t="shared" si="81"/>
        <v>0</v>
      </c>
      <c r="W78" s="48">
        <f t="shared" si="82"/>
        <v>0</v>
      </c>
      <c r="X78" s="49" t="e">
        <f t="shared" si="83"/>
        <v>#VALUE!</v>
      </c>
    </row>
    <row r="79" spans="1:24" x14ac:dyDescent="0.35">
      <c r="A79" s="71"/>
      <c r="B79" s="40">
        <v>73</v>
      </c>
      <c r="C79" s="125"/>
      <c r="D79" s="125"/>
      <c r="E79" s="68"/>
      <c r="F79" s="68"/>
      <c r="G79" s="68"/>
      <c r="H79" s="124"/>
      <c r="I79" s="68"/>
      <c r="J79" s="68"/>
      <c r="K79" s="68"/>
      <c r="L79" s="124">
        <f t="shared" si="84"/>
        <v>0</v>
      </c>
      <c r="M79" s="138"/>
      <c r="N79" s="42"/>
      <c r="O79" s="66">
        <f t="shared" si="78"/>
        <v>0</v>
      </c>
      <c r="P79" s="33">
        <f t="shared" si="79"/>
        <v>0</v>
      </c>
      <c r="Q79" s="44" t="e">
        <f t="shared" si="76"/>
        <v>#VALUE!</v>
      </c>
      <c r="R79" s="45">
        <f t="shared" si="5"/>
        <v>0</v>
      </c>
      <c r="S79" s="45">
        <f t="shared" si="6"/>
        <v>0</v>
      </c>
      <c r="T79" s="46" t="e">
        <f t="shared" si="80"/>
        <v>#VALUE!</v>
      </c>
      <c r="U79" s="47" t="e">
        <f t="shared" si="77"/>
        <v>#VALUE!</v>
      </c>
      <c r="V79" s="48">
        <f t="shared" si="81"/>
        <v>0</v>
      </c>
      <c r="W79" s="48">
        <f t="shared" si="82"/>
        <v>0</v>
      </c>
      <c r="X79" s="49" t="e">
        <f t="shared" si="83"/>
        <v>#VALUE!</v>
      </c>
    </row>
    <row r="80" spans="1:24" x14ac:dyDescent="0.35">
      <c r="A80" s="71"/>
      <c r="B80" s="40">
        <v>74</v>
      </c>
      <c r="C80" s="125"/>
      <c r="D80" s="125"/>
      <c r="E80" s="68"/>
      <c r="F80" s="68"/>
      <c r="G80" s="68"/>
      <c r="H80" s="124"/>
      <c r="I80" s="68"/>
      <c r="J80" s="68"/>
      <c r="K80" s="68"/>
      <c r="L80" s="124">
        <f t="shared" si="84"/>
        <v>0</v>
      </c>
      <c r="M80" s="138"/>
      <c r="N80" s="42"/>
      <c r="O80" s="66">
        <f t="shared" si="78"/>
        <v>0</v>
      </c>
      <c r="P80" s="33">
        <f t="shared" si="79"/>
        <v>0</v>
      </c>
      <c r="Q80" s="44" t="e">
        <f t="shared" si="76"/>
        <v>#VALUE!</v>
      </c>
      <c r="R80" s="45">
        <f t="shared" si="5"/>
        <v>0</v>
      </c>
      <c r="S80" s="45">
        <f t="shared" si="6"/>
        <v>0</v>
      </c>
      <c r="T80" s="46" t="e">
        <f t="shared" si="80"/>
        <v>#VALUE!</v>
      </c>
      <c r="U80" s="47" t="e">
        <f t="shared" si="77"/>
        <v>#VALUE!</v>
      </c>
      <c r="V80" s="48">
        <f t="shared" si="81"/>
        <v>0</v>
      </c>
      <c r="W80" s="48">
        <f t="shared" si="82"/>
        <v>0</v>
      </c>
      <c r="X80" s="49" t="e">
        <f t="shared" si="83"/>
        <v>#VALUE!</v>
      </c>
    </row>
    <row r="81" spans="1:24" x14ac:dyDescent="0.35">
      <c r="A81" s="71"/>
      <c r="B81" s="40">
        <v>75</v>
      </c>
      <c r="C81" s="125"/>
      <c r="D81" s="125"/>
      <c r="E81" s="68"/>
      <c r="F81" s="68"/>
      <c r="G81" s="68"/>
      <c r="H81" s="124"/>
      <c r="I81" s="68"/>
      <c r="J81" s="68"/>
      <c r="K81" s="68"/>
      <c r="L81" s="124">
        <f t="shared" si="84"/>
        <v>0</v>
      </c>
      <c r="M81" s="138"/>
      <c r="N81" s="42"/>
      <c r="O81" s="66">
        <f t="shared" si="78"/>
        <v>0</v>
      </c>
      <c r="P81" s="33">
        <f t="shared" si="79"/>
        <v>0</v>
      </c>
      <c r="Q81" s="44" t="e">
        <f t="shared" si="76"/>
        <v>#VALUE!</v>
      </c>
      <c r="R81" s="45">
        <f t="shared" si="5"/>
        <v>0</v>
      </c>
      <c r="S81" s="45">
        <f t="shared" si="6"/>
        <v>0</v>
      </c>
      <c r="T81" s="46" t="e">
        <f t="shared" si="80"/>
        <v>#VALUE!</v>
      </c>
      <c r="U81" s="47" t="e">
        <f t="shared" si="77"/>
        <v>#VALUE!</v>
      </c>
      <c r="V81" s="48">
        <f t="shared" si="81"/>
        <v>0</v>
      </c>
      <c r="W81" s="48">
        <f t="shared" si="82"/>
        <v>0</v>
      </c>
      <c r="X81" s="49" t="e">
        <f t="shared" si="83"/>
        <v>#VALUE!</v>
      </c>
    </row>
    <row r="82" spans="1:24" x14ac:dyDescent="0.35">
      <c r="A82" s="71"/>
      <c r="B82" s="40">
        <v>76</v>
      </c>
      <c r="C82" s="125"/>
      <c r="D82" s="125"/>
      <c r="E82" s="68"/>
      <c r="F82" s="68"/>
      <c r="G82" s="68"/>
      <c r="H82" s="124"/>
      <c r="I82" s="68"/>
      <c r="J82" s="68"/>
      <c r="K82" s="68"/>
      <c r="L82" s="124">
        <f t="shared" si="84"/>
        <v>0</v>
      </c>
      <c r="M82" s="138"/>
      <c r="N82" s="42"/>
      <c r="O82" s="66">
        <f t="shared" ref="O82:O86" si="85">SUM(F82:H82)/20</f>
        <v>0</v>
      </c>
      <c r="P82" s="33">
        <f t="shared" ref="P82:P86" si="86">SUM(I82:K82)/20</f>
        <v>0</v>
      </c>
      <c r="Q82" s="44" t="e">
        <f t="shared" si="76"/>
        <v>#VALUE!</v>
      </c>
      <c r="R82" s="45">
        <f t="shared" si="5"/>
        <v>0</v>
      </c>
      <c r="S82" s="45">
        <f t="shared" si="6"/>
        <v>0</v>
      </c>
      <c r="T82" s="46" t="e">
        <f t="shared" ref="T82:T86" si="87">SUM(Q82:S82)</f>
        <v>#VALUE!</v>
      </c>
      <c r="U82" s="47" t="e">
        <f t="shared" si="77"/>
        <v>#VALUE!</v>
      </c>
      <c r="V82" s="48">
        <f t="shared" ref="V82:V86" si="88">SUM(F82:H82)*$V$3</f>
        <v>0</v>
      </c>
      <c r="W82" s="48">
        <f t="shared" ref="W82:W86" si="89">SUM(I82:K82)*$W$3</f>
        <v>0</v>
      </c>
      <c r="X82" s="49" t="e">
        <f t="shared" ref="X82:X86" si="90">SUM(U82:W82)</f>
        <v>#VALUE!</v>
      </c>
    </row>
    <row r="83" spans="1:24" x14ac:dyDescent="0.35">
      <c r="A83" s="71"/>
      <c r="B83" s="40">
        <v>77</v>
      </c>
      <c r="C83" s="125"/>
      <c r="D83" s="125"/>
      <c r="E83" s="68"/>
      <c r="F83" s="68"/>
      <c r="G83" s="68"/>
      <c r="H83" s="124"/>
      <c r="I83" s="68"/>
      <c r="J83" s="68"/>
      <c r="K83" s="68"/>
      <c r="L83" s="124">
        <f t="shared" si="84"/>
        <v>0</v>
      </c>
      <c r="M83" s="138"/>
      <c r="N83" s="42"/>
      <c r="O83" s="66">
        <f t="shared" si="85"/>
        <v>0</v>
      </c>
      <c r="P83" s="33">
        <f t="shared" si="86"/>
        <v>0</v>
      </c>
      <c r="Q83" s="44" t="e">
        <f t="shared" si="76"/>
        <v>#VALUE!</v>
      </c>
      <c r="R83" s="45">
        <f t="shared" si="5"/>
        <v>0</v>
      </c>
      <c r="S83" s="45">
        <f t="shared" si="6"/>
        <v>0</v>
      </c>
      <c r="T83" s="46" t="e">
        <f t="shared" si="87"/>
        <v>#VALUE!</v>
      </c>
      <c r="U83" s="47" t="e">
        <f t="shared" si="77"/>
        <v>#VALUE!</v>
      </c>
      <c r="V83" s="48">
        <f t="shared" si="88"/>
        <v>0</v>
      </c>
      <c r="W83" s="48">
        <f t="shared" si="89"/>
        <v>0</v>
      </c>
      <c r="X83" s="49" t="e">
        <f t="shared" si="90"/>
        <v>#VALUE!</v>
      </c>
    </row>
    <row r="84" spans="1:24" x14ac:dyDescent="0.35">
      <c r="A84" s="71"/>
      <c r="B84" s="40">
        <v>78</v>
      </c>
      <c r="C84" s="125"/>
      <c r="D84" s="125"/>
      <c r="E84" s="68"/>
      <c r="F84" s="68"/>
      <c r="G84" s="68"/>
      <c r="H84" s="124"/>
      <c r="I84" s="68"/>
      <c r="J84" s="68"/>
      <c r="K84" s="68"/>
      <c r="L84" s="124">
        <f t="shared" si="84"/>
        <v>0</v>
      </c>
      <c r="M84" s="138"/>
      <c r="N84" s="42"/>
      <c r="O84" s="66">
        <f t="shared" si="85"/>
        <v>0</v>
      </c>
      <c r="P84" s="33">
        <f t="shared" si="86"/>
        <v>0</v>
      </c>
      <c r="Q84" s="44" t="e">
        <f t="shared" si="76"/>
        <v>#VALUE!</v>
      </c>
      <c r="R84" s="45">
        <f t="shared" si="5"/>
        <v>0</v>
      </c>
      <c r="S84" s="45">
        <f t="shared" si="6"/>
        <v>0</v>
      </c>
      <c r="T84" s="46" t="e">
        <f t="shared" si="87"/>
        <v>#VALUE!</v>
      </c>
      <c r="U84" s="47" t="e">
        <f t="shared" si="77"/>
        <v>#VALUE!</v>
      </c>
      <c r="V84" s="48">
        <f t="shared" si="88"/>
        <v>0</v>
      </c>
      <c r="W84" s="48">
        <f t="shared" si="89"/>
        <v>0</v>
      </c>
      <c r="X84" s="49" t="e">
        <f t="shared" si="90"/>
        <v>#VALUE!</v>
      </c>
    </row>
    <row r="85" spans="1:24" x14ac:dyDescent="0.35">
      <c r="A85" s="71"/>
      <c r="B85" s="40">
        <v>79</v>
      </c>
      <c r="C85" s="125"/>
      <c r="D85" s="125"/>
      <c r="E85" s="68"/>
      <c r="F85" s="68"/>
      <c r="G85" s="68"/>
      <c r="H85" s="124"/>
      <c r="I85" s="68"/>
      <c r="J85" s="68"/>
      <c r="K85" s="68"/>
      <c r="L85" s="124">
        <f t="shared" si="84"/>
        <v>0</v>
      </c>
      <c r="M85" s="138"/>
      <c r="N85" s="42"/>
      <c r="O85" s="66">
        <f t="shared" si="85"/>
        <v>0</v>
      </c>
      <c r="P85" s="33">
        <f t="shared" si="86"/>
        <v>0</v>
      </c>
      <c r="Q85" s="44" t="e">
        <f t="shared" si="76"/>
        <v>#VALUE!</v>
      </c>
      <c r="R85" s="45">
        <f t="shared" si="5"/>
        <v>0</v>
      </c>
      <c r="S85" s="45">
        <f t="shared" si="6"/>
        <v>0</v>
      </c>
      <c r="T85" s="46" t="e">
        <f t="shared" si="87"/>
        <v>#VALUE!</v>
      </c>
      <c r="U85" s="47" t="e">
        <f t="shared" si="77"/>
        <v>#VALUE!</v>
      </c>
      <c r="V85" s="48">
        <f t="shared" si="88"/>
        <v>0</v>
      </c>
      <c r="W85" s="48">
        <f t="shared" si="89"/>
        <v>0</v>
      </c>
      <c r="X85" s="49" t="e">
        <f t="shared" si="90"/>
        <v>#VALUE!</v>
      </c>
    </row>
    <row r="86" spans="1:24" x14ac:dyDescent="0.35">
      <c r="A86" s="71"/>
      <c r="B86" s="40">
        <v>80</v>
      </c>
      <c r="C86" s="125"/>
      <c r="D86" s="125"/>
      <c r="E86" s="68"/>
      <c r="F86" s="68"/>
      <c r="G86" s="68"/>
      <c r="H86" s="124"/>
      <c r="I86" s="68"/>
      <c r="J86" s="68"/>
      <c r="K86" s="68"/>
      <c r="L86" s="124">
        <f t="shared" si="84"/>
        <v>0</v>
      </c>
      <c r="M86" s="138"/>
      <c r="N86" s="42"/>
      <c r="O86" s="66">
        <f t="shared" si="85"/>
        <v>0</v>
      </c>
      <c r="P86" s="33">
        <f t="shared" si="86"/>
        <v>0</v>
      </c>
      <c r="Q86" s="44" t="e">
        <f t="shared" si="76"/>
        <v>#VALUE!</v>
      </c>
      <c r="R86" s="45">
        <f t="shared" si="5"/>
        <v>0</v>
      </c>
      <c r="S86" s="45">
        <f t="shared" si="6"/>
        <v>0</v>
      </c>
      <c r="T86" s="46" t="e">
        <f t="shared" si="87"/>
        <v>#VALUE!</v>
      </c>
      <c r="U86" s="47" t="e">
        <f t="shared" si="77"/>
        <v>#VALUE!</v>
      </c>
      <c r="V86" s="48">
        <f t="shared" si="88"/>
        <v>0</v>
      </c>
      <c r="W86" s="48">
        <f t="shared" si="89"/>
        <v>0</v>
      </c>
      <c r="X86" s="49" t="e">
        <f t="shared" si="90"/>
        <v>#VALUE!</v>
      </c>
    </row>
    <row r="87" spans="1:24" x14ac:dyDescent="0.35">
      <c r="A87" s="71"/>
      <c r="B87" s="40">
        <v>81</v>
      </c>
      <c r="C87" s="125"/>
      <c r="D87" s="125"/>
      <c r="E87" s="68"/>
      <c r="F87" s="68"/>
      <c r="G87" s="68"/>
      <c r="H87" s="124"/>
      <c r="I87" s="68"/>
      <c r="J87" s="68"/>
      <c r="K87" s="68"/>
      <c r="L87" s="124">
        <f t="shared" si="84"/>
        <v>0</v>
      </c>
      <c r="M87" s="138"/>
      <c r="N87" s="42"/>
      <c r="O87" s="66">
        <f t="shared" ref="O87:O134" si="91">SUM(F87:H87)/20</f>
        <v>0</v>
      </c>
      <c r="P87" s="33">
        <f t="shared" ref="P87:P134" si="92">SUM(I87:K87)/20</f>
        <v>0</v>
      </c>
      <c r="Q87" s="44" t="e">
        <f t="shared" si="76"/>
        <v>#VALUE!</v>
      </c>
      <c r="R87" s="45">
        <f t="shared" si="5"/>
        <v>0</v>
      </c>
      <c r="S87" s="45">
        <f t="shared" si="6"/>
        <v>0</v>
      </c>
      <c r="T87" s="46" t="e">
        <f t="shared" ref="T87:T134" si="93">SUM(Q87:S87)</f>
        <v>#VALUE!</v>
      </c>
      <c r="U87" s="47" t="e">
        <f t="shared" si="77"/>
        <v>#VALUE!</v>
      </c>
      <c r="V87" s="48">
        <f t="shared" ref="V87:V134" si="94">SUM(F87:H87)*$V$3</f>
        <v>0</v>
      </c>
      <c r="W87" s="48">
        <f t="shared" ref="W87:W134" si="95">SUM(I87:K87)*$W$3</f>
        <v>0</v>
      </c>
      <c r="X87" s="49" t="e">
        <f t="shared" ref="X87:X134" si="96">SUM(U87:W87)</f>
        <v>#VALUE!</v>
      </c>
    </row>
    <row r="88" spans="1:24" x14ac:dyDescent="0.35">
      <c r="A88" s="71"/>
      <c r="B88" s="40">
        <v>82</v>
      </c>
      <c r="C88" s="125"/>
      <c r="D88" s="125"/>
      <c r="E88" s="68"/>
      <c r="F88" s="68"/>
      <c r="G88" s="68"/>
      <c r="H88" s="124"/>
      <c r="I88" s="68"/>
      <c r="J88" s="68"/>
      <c r="K88" s="68"/>
      <c r="L88" s="124">
        <f t="shared" si="84"/>
        <v>0</v>
      </c>
      <c r="M88" s="138"/>
      <c r="N88" s="42"/>
      <c r="O88" s="66">
        <f t="shared" si="91"/>
        <v>0</v>
      </c>
      <c r="P88" s="33">
        <f t="shared" si="92"/>
        <v>0</v>
      </c>
      <c r="Q88" s="44" t="e">
        <f t="shared" si="76"/>
        <v>#VALUE!</v>
      </c>
      <c r="R88" s="45">
        <f t="shared" si="5"/>
        <v>0</v>
      </c>
      <c r="S88" s="45">
        <f t="shared" si="6"/>
        <v>0</v>
      </c>
      <c r="T88" s="46" t="e">
        <f t="shared" si="93"/>
        <v>#VALUE!</v>
      </c>
      <c r="U88" s="47" t="e">
        <f t="shared" si="77"/>
        <v>#VALUE!</v>
      </c>
      <c r="V88" s="48">
        <f t="shared" si="94"/>
        <v>0</v>
      </c>
      <c r="W88" s="48">
        <f t="shared" si="95"/>
        <v>0</v>
      </c>
      <c r="X88" s="49" t="e">
        <f t="shared" si="96"/>
        <v>#VALUE!</v>
      </c>
    </row>
    <row r="89" spans="1:24" x14ac:dyDescent="0.35">
      <c r="A89" s="71"/>
      <c r="B89" s="40">
        <v>83</v>
      </c>
      <c r="C89" s="125"/>
      <c r="D89" s="125"/>
      <c r="E89" s="68"/>
      <c r="F89" s="68"/>
      <c r="G89" s="68"/>
      <c r="H89" s="124"/>
      <c r="I89" s="68"/>
      <c r="J89" s="68"/>
      <c r="K89" s="68"/>
      <c r="L89" s="124">
        <f t="shared" si="84"/>
        <v>0</v>
      </c>
      <c r="M89" s="138"/>
      <c r="N89" s="42"/>
      <c r="O89" s="66">
        <f t="shared" si="91"/>
        <v>0</v>
      </c>
      <c r="P89" s="33">
        <f t="shared" si="92"/>
        <v>0</v>
      </c>
      <c r="Q89" s="44" t="e">
        <f t="shared" si="76"/>
        <v>#VALUE!</v>
      </c>
      <c r="R89" s="45">
        <f t="shared" si="5"/>
        <v>0</v>
      </c>
      <c r="S89" s="45">
        <f t="shared" si="6"/>
        <v>0</v>
      </c>
      <c r="T89" s="46" t="e">
        <f t="shared" si="93"/>
        <v>#VALUE!</v>
      </c>
      <c r="U89" s="47" t="e">
        <f t="shared" si="77"/>
        <v>#VALUE!</v>
      </c>
      <c r="V89" s="48">
        <f t="shared" si="94"/>
        <v>0</v>
      </c>
      <c r="W89" s="48">
        <f t="shared" si="95"/>
        <v>0</v>
      </c>
      <c r="X89" s="49" t="e">
        <f t="shared" si="96"/>
        <v>#VALUE!</v>
      </c>
    </row>
    <row r="90" spans="1:24" x14ac:dyDescent="0.35">
      <c r="A90" s="71"/>
      <c r="B90" s="40">
        <v>84</v>
      </c>
      <c r="C90" s="125"/>
      <c r="D90" s="125"/>
      <c r="E90" s="68"/>
      <c r="F90" s="68"/>
      <c r="G90" s="68"/>
      <c r="H90" s="124"/>
      <c r="I90" s="68"/>
      <c r="J90" s="68"/>
      <c r="K90" s="68"/>
      <c r="L90" s="124">
        <f t="shared" si="84"/>
        <v>0</v>
      </c>
      <c r="M90" s="138"/>
      <c r="N90" s="42"/>
      <c r="O90" s="66">
        <f t="shared" si="91"/>
        <v>0</v>
      </c>
      <c r="P90" s="33">
        <f t="shared" si="92"/>
        <v>0</v>
      </c>
      <c r="Q90" s="44" t="e">
        <f t="shared" si="76"/>
        <v>#VALUE!</v>
      </c>
      <c r="R90" s="45">
        <f t="shared" si="5"/>
        <v>0</v>
      </c>
      <c r="S90" s="45">
        <f t="shared" si="6"/>
        <v>0</v>
      </c>
      <c r="T90" s="46" t="e">
        <f t="shared" si="93"/>
        <v>#VALUE!</v>
      </c>
      <c r="U90" s="47" t="e">
        <f t="shared" si="77"/>
        <v>#VALUE!</v>
      </c>
      <c r="V90" s="48">
        <f t="shared" si="94"/>
        <v>0</v>
      </c>
      <c r="W90" s="48">
        <f t="shared" si="95"/>
        <v>0</v>
      </c>
      <c r="X90" s="49" t="e">
        <f t="shared" si="96"/>
        <v>#VALUE!</v>
      </c>
    </row>
    <row r="91" spans="1:24" x14ac:dyDescent="0.35">
      <c r="A91" s="71"/>
      <c r="B91" s="40">
        <v>85</v>
      </c>
      <c r="C91" s="125"/>
      <c r="D91" s="125"/>
      <c r="E91" s="68"/>
      <c r="F91" s="68"/>
      <c r="G91" s="68"/>
      <c r="H91" s="124"/>
      <c r="I91" s="68"/>
      <c r="J91" s="68"/>
      <c r="K91" s="68"/>
      <c r="L91" s="124">
        <f t="shared" si="84"/>
        <v>0</v>
      </c>
      <c r="M91" s="138"/>
      <c r="N91" s="42"/>
      <c r="O91" s="66">
        <f t="shared" si="91"/>
        <v>0</v>
      </c>
      <c r="P91" s="33">
        <f t="shared" si="92"/>
        <v>0</v>
      </c>
      <c r="Q91" s="44" t="e">
        <f t="shared" si="76"/>
        <v>#VALUE!</v>
      </c>
      <c r="R91" s="45">
        <f t="shared" si="5"/>
        <v>0</v>
      </c>
      <c r="S91" s="45">
        <f t="shared" si="6"/>
        <v>0</v>
      </c>
      <c r="T91" s="46" t="e">
        <f t="shared" si="93"/>
        <v>#VALUE!</v>
      </c>
      <c r="U91" s="47" t="e">
        <f t="shared" si="77"/>
        <v>#VALUE!</v>
      </c>
      <c r="V91" s="48">
        <f t="shared" si="94"/>
        <v>0</v>
      </c>
      <c r="W91" s="48">
        <f t="shared" si="95"/>
        <v>0</v>
      </c>
      <c r="X91" s="49" t="e">
        <f t="shared" si="96"/>
        <v>#VALUE!</v>
      </c>
    </row>
    <row r="92" spans="1:24" x14ac:dyDescent="0.35">
      <c r="A92" s="71"/>
      <c r="B92" s="40">
        <v>86</v>
      </c>
      <c r="C92" s="125"/>
      <c r="D92" s="125"/>
      <c r="E92" s="68"/>
      <c r="F92" s="68"/>
      <c r="G92" s="68"/>
      <c r="H92" s="124"/>
      <c r="I92" s="68"/>
      <c r="J92" s="68"/>
      <c r="K92" s="68"/>
      <c r="L92" s="124">
        <f t="shared" si="84"/>
        <v>0</v>
      </c>
      <c r="M92" s="139"/>
      <c r="N92" s="42"/>
      <c r="O92" s="66">
        <f t="shared" si="91"/>
        <v>0</v>
      </c>
      <c r="P92" s="33">
        <f t="shared" si="92"/>
        <v>0</v>
      </c>
      <c r="Q92" s="44" t="e">
        <f t="shared" si="76"/>
        <v>#VALUE!</v>
      </c>
      <c r="R92" s="45">
        <f t="shared" si="5"/>
        <v>0</v>
      </c>
      <c r="S92" s="45">
        <f t="shared" si="6"/>
        <v>0</v>
      </c>
      <c r="T92" s="46" t="e">
        <f t="shared" si="93"/>
        <v>#VALUE!</v>
      </c>
      <c r="U92" s="47" t="e">
        <f t="shared" si="77"/>
        <v>#VALUE!</v>
      </c>
      <c r="V92" s="48">
        <f t="shared" si="94"/>
        <v>0</v>
      </c>
      <c r="W92" s="48">
        <f t="shared" si="95"/>
        <v>0</v>
      </c>
      <c r="X92" s="49" t="e">
        <f t="shared" si="96"/>
        <v>#VALUE!</v>
      </c>
    </row>
    <row r="93" spans="1:24" x14ac:dyDescent="0.35">
      <c r="A93" s="71"/>
      <c r="B93" s="40">
        <v>87</v>
      </c>
      <c r="C93" s="125"/>
      <c r="D93" s="125"/>
      <c r="E93" s="68"/>
      <c r="F93" s="68"/>
      <c r="G93" s="68"/>
      <c r="H93" s="124"/>
      <c r="I93" s="68"/>
      <c r="J93" s="68"/>
      <c r="K93" s="68"/>
      <c r="L93" s="124">
        <f t="shared" si="84"/>
        <v>0</v>
      </c>
      <c r="M93" s="139"/>
      <c r="N93" s="42"/>
      <c r="O93" s="66">
        <f t="shared" si="91"/>
        <v>0</v>
      </c>
      <c r="P93" s="33">
        <f t="shared" si="92"/>
        <v>0</v>
      </c>
      <c r="Q93" s="44" t="e">
        <f t="shared" si="76"/>
        <v>#VALUE!</v>
      </c>
      <c r="R93" s="45">
        <f t="shared" si="5"/>
        <v>0</v>
      </c>
      <c r="S93" s="45">
        <f t="shared" si="6"/>
        <v>0</v>
      </c>
      <c r="T93" s="46" t="e">
        <f t="shared" si="93"/>
        <v>#VALUE!</v>
      </c>
      <c r="U93" s="47" t="e">
        <f t="shared" si="77"/>
        <v>#VALUE!</v>
      </c>
      <c r="V93" s="48">
        <f t="shared" si="94"/>
        <v>0</v>
      </c>
      <c r="W93" s="48">
        <f t="shared" si="95"/>
        <v>0</v>
      </c>
      <c r="X93" s="49" t="e">
        <f t="shared" si="96"/>
        <v>#VALUE!</v>
      </c>
    </row>
    <row r="94" spans="1:24" x14ac:dyDescent="0.35">
      <c r="A94" s="71"/>
      <c r="B94" s="40">
        <v>88</v>
      </c>
      <c r="C94" s="125"/>
      <c r="D94" s="125"/>
      <c r="E94" s="68"/>
      <c r="F94" s="68"/>
      <c r="G94" s="68"/>
      <c r="H94" s="124"/>
      <c r="I94" s="68"/>
      <c r="J94" s="68"/>
      <c r="K94" s="68"/>
      <c r="L94" s="124">
        <f t="shared" si="84"/>
        <v>0</v>
      </c>
      <c r="M94" s="139"/>
      <c r="N94" s="42"/>
      <c r="O94" s="66">
        <f t="shared" si="91"/>
        <v>0</v>
      </c>
      <c r="P94" s="33">
        <f t="shared" si="92"/>
        <v>0</v>
      </c>
      <c r="Q94" s="44" t="e">
        <f t="shared" si="76"/>
        <v>#VALUE!</v>
      </c>
      <c r="R94" s="45">
        <f t="shared" si="5"/>
        <v>0</v>
      </c>
      <c r="S94" s="45">
        <f t="shared" si="6"/>
        <v>0</v>
      </c>
      <c r="T94" s="46" t="e">
        <f t="shared" si="93"/>
        <v>#VALUE!</v>
      </c>
      <c r="U94" s="47" t="e">
        <f t="shared" si="77"/>
        <v>#VALUE!</v>
      </c>
      <c r="V94" s="48">
        <f t="shared" si="94"/>
        <v>0</v>
      </c>
      <c r="W94" s="48">
        <f t="shared" si="95"/>
        <v>0</v>
      </c>
      <c r="X94" s="49" t="e">
        <f t="shared" si="96"/>
        <v>#VALUE!</v>
      </c>
    </row>
    <row r="95" spans="1:24" x14ac:dyDescent="0.35">
      <c r="A95" s="71"/>
      <c r="B95" s="40">
        <v>89</v>
      </c>
      <c r="C95" s="125"/>
      <c r="D95" s="125"/>
      <c r="E95" s="68"/>
      <c r="F95" s="68"/>
      <c r="G95" s="68"/>
      <c r="H95" s="124"/>
      <c r="I95" s="68"/>
      <c r="J95" s="68"/>
      <c r="K95" s="68"/>
      <c r="L95" s="124">
        <f t="shared" si="84"/>
        <v>0</v>
      </c>
      <c r="M95" s="139"/>
      <c r="N95" s="42"/>
      <c r="O95" s="66">
        <f t="shared" si="91"/>
        <v>0</v>
      </c>
      <c r="P95" s="33">
        <f t="shared" si="92"/>
        <v>0</v>
      </c>
      <c r="Q95" s="44" t="e">
        <f t="shared" ref="Q95:Q126" si="97">SUMPRODUCT($E$4:$E$4,$E$6:$E$6)*$Q$3</f>
        <v>#VALUE!</v>
      </c>
      <c r="R95" s="45">
        <f t="shared" si="5"/>
        <v>0</v>
      </c>
      <c r="S95" s="45">
        <f t="shared" si="6"/>
        <v>0</v>
      </c>
      <c r="T95" s="46" t="e">
        <f t="shared" si="93"/>
        <v>#VALUE!</v>
      </c>
      <c r="U95" s="47" t="e">
        <f t="shared" ref="U95:U126" si="98">SUM(E95:E95)*$U$3</f>
        <v>#VALUE!</v>
      </c>
      <c r="V95" s="48">
        <f t="shared" si="94"/>
        <v>0</v>
      </c>
      <c r="W95" s="48">
        <f t="shared" si="95"/>
        <v>0</v>
      </c>
      <c r="X95" s="49" t="e">
        <f t="shared" si="96"/>
        <v>#VALUE!</v>
      </c>
    </row>
    <row r="96" spans="1:24" x14ac:dyDescent="0.35">
      <c r="A96" s="71"/>
      <c r="B96" s="40">
        <v>90</v>
      </c>
      <c r="C96" s="125"/>
      <c r="D96" s="125"/>
      <c r="E96" s="68"/>
      <c r="F96" s="68"/>
      <c r="G96" s="68"/>
      <c r="H96" s="124"/>
      <c r="I96" s="68"/>
      <c r="J96" s="68"/>
      <c r="K96" s="68"/>
      <c r="L96" s="124">
        <f t="shared" si="84"/>
        <v>0</v>
      </c>
      <c r="M96" s="138"/>
      <c r="N96" s="42"/>
      <c r="O96" s="66">
        <f t="shared" si="91"/>
        <v>0</v>
      </c>
      <c r="P96" s="33">
        <f t="shared" si="92"/>
        <v>0</v>
      </c>
      <c r="Q96" s="44" t="e">
        <f t="shared" si="97"/>
        <v>#VALUE!</v>
      </c>
      <c r="R96" s="45">
        <f t="shared" si="5"/>
        <v>0</v>
      </c>
      <c r="S96" s="45">
        <f t="shared" si="6"/>
        <v>0</v>
      </c>
      <c r="T96" s="46" t="e">
        <f t="shared" si="93"/>
        <v>#VALUE!</v>
      </c>
      <c r="U96" s="47" t="e">
        <f t="shared" si="98"/>
        <v>#VALUE!</v>
      </c>
      <c r="V96" s="48">
        <f t="shared" si="94"/>
        <v>0</v>
      </c>
      <c r="W96" s="48">
        <f t="shared" si="95"/>
        <v>0</v>
      </c>
      <c r="X96" s="49" t="e">
        <f t="shared" si="96"/>
        <v>#VALUE!</v>
      </c>
    </row>
    <row r="97" spans="1:24" x14ac:dyDescent="0.35">
      <c r="A97" s="71"/>
      <c r="B97" s="40">
        <v>91</v>
      </c>
      <c r="C97" s="125"/>
      <c r="D97" s="125"/>
      <c r="E97" s="68"/>
      <c r="F97" s="68"/>
      <c r="G97" s="68"/>
      <c r="H97" s="124"/>
      <c r="I97" s="68"/>
      <c r="J97" s="68"/>
      <c r="K97" s="68"/>
      <c r="L97" s="124">
        <f t="shared" si="84"/>
        <v>0</v>
      </c>
      <c r="M97" s="138"/>
      <c r="N97" s="42"/>
      <c r="O97" s="66">
        <f t="shared" si="91"/>
        <v>0</v>
      </c>
      <c r="P97" s="33">
        <f t="shared" si="92"/>
        <v>0</v>
      </c>
      <c r="Q97" s="44" t="e">
        <f t="shared" si="97"/>
        <v>#VALUE!</v>
      </c>
      <c r="R97" s="45">
        <f t="shared" si="5"/>
        <v>0</v>
      </c>
      <c r="S97" s="45">
        <f t="shared" si="6"/>
        <v>0</v>
      </c>
      <c r="T97" s="46" t="e">
        <f t="shared" si="93"/>
        <v>#VALUE!</v>
      </c>
      <c r="U97" s="47" t="e">
        <f t="shared" si="98"/>
        <v>#VALUE!</v>
      </c>
      <c r="V97" s="48">
        <f t="shared" si="94"/>
        <v>0</v>
      </c>
      <c r="W97" s="48">
        <f t="shared" si="95"/>
        <v>0</v>
      </c>
      <c r="X97" s="49" t="e">
        <f t="shared" si="96"/>
        <v>#VALUE!</v>
      </c>
    </row>
    <row r="98" spans="1:24" x14ac:dyDescent="0.35">
      <c r="A98" s="71"/>
      <c r="B98" s="40">
        <v>92</v>
      </c>
      <c r="C98" s="125"/>
      <c r="D98" s="125"/>
      <c r="E98" s="68"/>
      <c r="F98" s="68"/>
      <c r="G98" s="68"/>
      <c r="H98" s="124"/>
      <c r="I98" s="68"/>
      <c r="J98" s="68"/>
      <c r="K98" s="68"/>
      <c r="L98" s="124">
        <f t="shared" si="84"/>
        <v>0</v>
      </c>
      <c r="M98" s="138"/>
      <c r="N98" s="42"/>
      <c r="O98" s="66">
        <f t="shared" si="91"/>
        <v>0</v>
      </c>
      <c r="P98" s="33">
        <f t="shared" si="92"/>
        <v>0</v>
      </c>
      <c r="Q98" s="44" t="e">
        <f t="shared" si="97"/>
        <v>#VALUE!</v>
      </c>
      <c r="R98" s="45">
        <f t="shared" si="5"/>
        <v>0</v>
      </c>
      <c r="S98" s="45">
        <f t="shared" si="6"/>
        <v>0</v>
      </c>
      <c r="T98" s="46" t="e">
        <f t="shared" si="93"/>
        <v>#VALUE!</v>
      </c>
      <c r="U98" s="47" t="e">
        <f t="shared" si="98"/>
        <v>#VALUE!</v>
      </c>
      <c r="V98" s="48">
        <f t="shared" si="94"/>
        <v>0</v>
      </c>
      <c r="W98" s="48">
        <f t="shared" si="95"/>
        <v>0</v>
      </c>
      <c r="X98" s="49" t="e">
        <f t="shared" si="96"/>
        <v>#VALUE!</v>
      </c>
    </row>
    <row r="99" spans="1:24" x14ac:dyDescent="0.35">
      <c r="A99" s="71"/>
      <c r="B99" s="40">
        <v>93</v>
      </c>
      <c r="C99" s="125"/>
      <c r="D99" s="125"/>
      <c r="E99" s="68"/>
      <c r="F99" s="68"/>
      <c r="G99" s="68"/>
      <c r="H99" s="124"/>
      <c r="I99" s="68"/>
      <c r="J99" s="68"/>
      <c r="K99" s="68"/>
      <c r="L99" s="124">
        <f t="shared" si="84"/>
        <v>0</v>
      </c>
      <c r="M99" s="138"/>
      <c r="N99" s="42"/>
      <c r="O99" s="66">
        <f t="shared" si="91"/>
        <v>0</v>
      </c>
      <c r="P99" s="33">
        <f t="shared" si="92"/>
        <v>0</v>
      </c>
      <c r="Q99" s="44" t="e">
        <f t="shared" si="97"/>
        <v>#VALUE!</v>
      </c>
      <c r="R99" s="45">
        <f t="shared" si="5"/>
        <v>0</v>
      </c>
      <c r="S99" s="45">
        <f t="shared" si="6"/>
        <v>0</v>
      </c>
      <c r="T99" s="46" t="e">
        <f t="shared" si="93"/>
        <v>#VALUE!</v>
      </c>
      <c r="U99" s="47" t="e">
        <f t="shared" si="98"/>
        <v>#VALUE!</v>
      </c>
      <c r="V99" s="48">
        <f t="shared" si="94"/>
        <v>0</v>
      </c>
      <c r="W99" s="48">
        <f t="shared" si="95"/>
        <v>0</v>
      </c>
      <c r="X99" s="49" t="e">
        <f t="shared" si="96"/>
        <v>#VALUE!</v>
      </c>
    </row>
    <row r="100" spans="1:24" x14ac:dyDescent="0.35">
      <c r="A100" s="71"/>
      <c r="B100" s="40">
        <v>94</v>
      </c>
      <c r="C100" s="125"/>
      <c r="D100" s="125"/>
      <c r="E100" s="68"/>
      <c r="F100" s="68"/>
      <c r="G100" s="68"/>
      <c r="H100" s="124"/>
      <c r="I100" s="68"/>
      <c r="J100" s="68"/>
      <c r="K100" s="68"/>
      <c r="L100" s="124">
        <f t="shared" si="84"/>
        <v>0</v>
      </c>
      <c r="M100" s="138"/>
      <c r="N100" s="42"/>
      <c r="O100" s="66">
        <f t="shared" si="91"/>
        <v>0</v>
      </c>
      <c r="P100" s="33">
        <f t="shared" si="92"/>
        <v>0</v>
      </c>
      <c r="Q100" s="44" t="e">
        <f t="shared" si="97"/>
        <v>#VALUE!</v>
      </c>
      <c r="R100" s="45">
        <f t="shared" si="5"/>
        <v>0</v>
      </c>
      <c r="S100" s="45">
        <f t="shared" si="6"/>
        <v>0</v>
      </c>
      <c r="T100" s="46" t="e">
        <f t="shared" si="93"/>
        <v>#VALUE!</v>
      </c>
      <c r="U100" s="47" t="e">
        <f t="shared" si="98"/>
        <v>#VALUE!</v>
      </c>
      <c r="V100" s="48">
        <f t="shared" si="94"/>
        <v>0</v>
      </c>
      <c r="W100" s="48">
        <f t="shared" si="95"/>
        <v>0</v>
      </c>
      <c r="X100" s="49" t="e">
        <f t="shared" si="96"/>
        <v>#VALUE!</v>
      </c>
    </row>
    <row r="101" spans="1:24" x14ac:dyDescent="0.35">
      <c r="A101" s="71"/>
      <c r="B101" s="40">
        <v>95</v>
      </c>
      <c r="C101" s="125"/>
      <c r="D101" s="125"/>
      <c r="E101" s="68"/>
      <c r="F101" s="68"/>
      <c r="G101" s="68"/>
      <c r="H101" s="124"/>
      <c r="I101" s="68"/>
      <c r="J101" s="68"/>
      <c r="K101" s="68"/>
      <c r="L101" s="124">
        <f t="shared" si="84"/>
        <v>0</v>
      </c>
      <c r="M101" s="138"/>
      <c r="N101" s="42"/>
      <c r="O101" s="66">
        <f t="shared" si="91"/>
        <v>0</v>
      </c>
      <c r="P101" s="33">
        <f t="shared" si="92"/>
        <v>0</v>
      </c>
      <c r="Q101" s="44" t="e">
        <f t="shared" si="97"/>
        <v>#VALUE!</v>
      </c>
      <c r="R101" s="45">
        <f t="shared" si="5"/>
        <v>0</v>
      </c>
      <c r="S101" s="45">
        <f t="shared" si="6"/>
        <v>0</v>
      </c>
      <c r="T101" s="46" t="e">
        <f t="shared" si="93"/>
        <v>#VALUE!</v>
      </c>
      <c r="U101" s="47" t="e">
        <f t="shared" si="98"/>
        <v>#VALUE!</v>
      </c>
      <c r="V101" s="48">
        <f t="shared" si="94"/>
        <v>0</v>
      </c>
      <c r="W101" s="48">
        <f t="shared" si="95"/>
        <v>0</v>
      </c>
      <c r="X101" s="49" t="e">
        <f t="shared" si="96"/>
        <v>#VALUE!</v>
      </c>
    </row>
    <row r="102" spans="1:24" x14ac:dyDescent="0.35">
      <c r="A102" s="71"/>
      <c r="B102" s="40">
        <v>96</v>
      </c>
      <c r="C102" s="125"/>
      <c r="D102" s="125"/>
      <c r="E102" s="68"/>
      <c r="F102" s="68"/>
      <c r="G102" s="68"/>
      <c r="H102" s="124"/>
      <c r="I102" s="68"/>
      <c r="J102" s="68"/>
      <c r="K102" s="68"/>
      <c r="L102" s="124">
        <f t="shared" si="84"/>
        <v>0</v>
      </c>
      <c r="M102" s="138"/>
      <c r="N102" s="42"/>
      <c r="O102" s="66">
        <f t="shared" si="91"/>
        <v>0</v>
      </c>
      <c r="P102" s="33">
        <f t="shared" si="92"/>
        <v>0</v>
      </c>
      <c r="Q102" s="44" t="e">
        <f t="shared" si="97"/>
        <v>#VALUE!</v>
      </c>
      <c r="R102" s="45">
        <f t="shared" si="5"/>
        <v>0</v>
      </c>
      <c r="S102" s="45">
        <f t="shared" si="6"/>
        <v>0</v>
      </c>
      <c r="T102" s="46" t="e">
        <f t="shared" si="93"/>
        <v>#VALUE!</v>
      </c>
      <c r="U102" s="47" t="e">
        <f t="shared" si="98"/>
        <v>#VALUE!</v>
      </c>
      <c r="V102" s="48">
        <f t="shared" si="94"/>
        <v>0</v>
      </c>
      <c r="W102" s="48">
        <f t="shared" si="95"/>
        <v>0</v>
      </c>
      <c r="X102" s="49" t="e">
        <f t="shared" si="96"/>
        <v>#VALUE!</v>
      </c>
    </row>
    <row r="103" spans="1:24" x14ac:dyDescent="0.35">
      <c r="A103" s="71"/>
      <c r="B103" s="40">
        <v>97</v>
      </c>
      <c r="C103" s="125"/>
      <c r="D103" s="125"/>
      <c r="E103" s="68"/>
      <c r="F103" s="68"/>
      <c r="G103" s="68"/>
      <c r="H103" s="124"/>
      <c r="I103" s="68"/>
      <c r="J103" s="68"/>
      <c r="K103" s="68"/>
      <c r="L103" s="124">
        <f t="shared" ref="L103:L134" si="99">SUM(E103:K103)/40</f>
        <v>0</v>
      </c>
      <c r="M103" s="138"/>
      <c r="N103" s="42"/>
      <c r="O103" s="66">
        <f t="shared" si="91"/>
        <v>0</v>
      </c>
      <c r="P103" s="33">
        <f t="shared" si="92"/>
        <v>0</v>
      </c>
      <c r="Q103" s="44" t="e">
        <f t="shared" si="97"/>
        <v>#VALUE!</v>
      </c>
      <c r="R103" s="45">
        <f t="shared" si="5"/>
        <v>0</v>
      </c>
      <c r="S103" s="45">
        <f t="shared" si="6"/>
        <v>0</v>
      </c>
      <c r="T103" s="46" t="e">
        <f t="shared" si="93"/>
        <v>#VALUE!</v>
      </c>
      <c r="U103" s="47" t="e">
        <f t="shared" si="98"/>
        <v>#VALUE!</v>
      </c>
      <c r="V103" s="48">
        <f t="shared" si="94"/>
        <v>0</v>
      </c>
      <c r="W103" s="48">
        <f t="shared" si="95"/>
        <v>0</v>
      </c>
      <c r="X103" s="49" t="e">
        <f t="shared" si="96"/>
        <v>#VALUE!</v>
      </c>
    </row>
    <row r="104" spans="1:24" x14ac:dyDescent="0.35">
      <c r="A104" s="71"/>
      <c r="B104" s="40">
        <v>98</v>
      </c>
      <c r="C104" s="125"/>
      <c r="D104" s="125"/>
      <c r="E104" s="68"/>
      <c r="F104" s="68"/>
      <c r="G104" s="68"/>
      <c r="H104" s="124"/>
      <c r="I104" s="68"/>
      <c r="J104" s="68"/>
      <c r="K104" s="68"/>
      <c r="L104" s="124">
        <f t="shared" si="99"/>
        <v>0</v>
      </c>
      <c r="M104" s="138"/>
      <c r="N104" s="42"/>
      <c r="O104" s="66">
        <f t="shared" si="91"/>
        <v>0</v>
      </c>
      <c r="P104" s="33">
        <f t="shared" si="92"/>
        <v>0</v>
      </c>
      <c r="Q104" s="44" t="e">
        <f t="shared" si="97"/>
        <v>#VALUE!</v>
      </c>
      <c r="R104" s="45">
        <f t="shared" si="5"/>
        <v>0</v>
      </c>
      <c r="S104" s="45">
        <f t="shared" si="6"/>
        <v>0</v>
      </c>
      <c r="T104" s="46" t="e">
        <f t="shared" si="93"/>
        <v>#VALUE!</v>
      </c>
      <c r="U104" s="47" t="e">
        <f t="shared" si="98"/>
        <v>#VALUE!</v>
      </c>
      <c r="V104" s="48">
        <f t="shared" si="94"/>
        <v>0</v>
      </c>
      <c r="W104" s="48">
        <f t="shared" si="95"/>
        <v>0</v>
      </c>
      <c r="X104" s="49" t="e">
        <f t="shared" si="96"/>
        <v>#VALUE!</v>
      </c>
    </row>
    <row r="105" spans="1:24" x14ac:dyDescent="0.35">
      <c r="A105" s="71"/>
      <c r="B105" s="40">
        <v>99</v>
      </c>
      <c r="C105" s="125"/>
      <c r="D105" s="125"/>
      <c r="E105" s="68"/>
      <c r="F105" s="68"/>
      <c r="G105" s="68"/>
      <c r="H105" s="124"/>
      <c r="I105" s="68"/>
      <c r="J105" s="68"/>
      <c r="K105" s="68"/>
      <c r="L105" s="124">
        <f t="shared" si="99"/>
        <v>0</v>
      </c>
      <c r="M105" s="138"/>
      <c r="N105" s="42"/>
      <c r="O105" s="66">
        <f t="shared" si="91"/>
        <v>0</v>
      </c>
      <c r="P105" s="33">
        <f t="shared" si="92"/>
        <v>0</v>
      </c>
      <c r="Q105" s="44" t="e">
        <f t="shared" si="97"/>
        <v>#VALUE!</v>
      </c>
      <c r="R105" s="45">
        <f t="shared" si="5"/>
        <v>0</v>
      </c>
      <c r="S105" s="45">
        <f t="shared" si="6"/>
        <v>0</v>
      </c>
      <c r="T105" s="46" t="e">
        <f t="shared" si="93"/>
        <v>#VALUE!</v>
      </c>
      <c r="U105" s="47" t="e">
        <f t="shared" si="98"/>
        <v>#VALUE!</v>
      </c>
      <c r="V105" s="48">
        <f t="shared" si="94"/>
        <v>0</v>
      </c>
      <c r="W105" s="48">
        <f t="shared" si="95"/>
        <v>0</v>
      </c>
      <c r="X105" s="49" t="e">
        <f t="shared" si="96"/>
        <v>#VALUE!</v>
      </c>
    </row>
    <row r="106" spans="1:24" x14ac:dyDescent="0.35">
      <c r="A106" s="71"/>
      <c r="B106" s="40">
        <v>100</v>
      </c>
      <c r="C106" s="125"/>
      <c r="D106" s="125"/>
      <c r="E106" s="68"/>
      <c r="F106" s="68"/>
      <c r="G106" s="68"/>
      <c r="H106" s="124"/>
      <c r="I106" s="68"/>
      <c r="J106" s="68"/>
      <c r="K106" s="68"/>
      <c r="L106" s="124">
        <f t="shared" si="99"/>
        <v>0</v>
      </c>
      <c r="M106" s="138"/>
      <c r="N106" s="42"/>
      <c r="O106" s="66">
        <f t="shared" si="91"/>
        <v>0</v>
      </c>
      <c r="P106" s="33">
        <f t="shared" si="92"/>
        <v>0</v>
      </c>
      <c r="Q106" s="44" t="e">
        <f t="shared" si="97"/>
        <v>#VALUE!</v>
      </c>
      <c r="R106" s="45">
        <f t="shared" si="5"/>
        <v>0</v>
      </c>
      <c r="S106" s="45">
        <f t="shared" si="6"/>
        <v>0</v>
      </c>
      <c r="T106" s="46" t="e">
        <f t="shared" si="93"/>
        <v>#VALUE!</v>
      </c>
      <c r="U106" s="47" t="e">
        <f t="shared" si="98"/>
        <v>#VALUE!</v>
      </c>
      <c r="V106" s="48">
        <f t="shared" si="94"/>
        <v>0</v>
      </c>
      <c r="W106" s="48">
        <f t="shared" si="95"/>
        <v>0</v>
      </c>
      <c r="X106" s="49" t="e">
        <f t="shared" si="96"/>
        <v>#VALUE!</v>
      </c>
    </row>
    <row r="107" spans="1:24" x14ac:dyDescent="0.35">
      <c r="A107" s="71"/>
      <c r="B107" s="40">
        <v>101</v>
      </c>
      <c r="C107" s="125"/>
      <c r="D107" s="125"/>
      <c r="E107" s="68"/>
      <c r="F107" s="68"/>
      <c r="G107" s="68"/>
      <c r="H107" s="124"/>
      <c r="I107" s="68"/>
      <c r="J107" s="68"/>
      <c r="K107" s="68"/>
      <c r="L107" s="124">
        <f t="shared" si="99"/>
        <v>0</v>
      </c>
      <c r="M107" s="138"/>
      <c r="N107" s="42"/>
      <c r="O107" s="66">
        <f t="shared" si="91"/>
        <v>0</v>
      </c>
      <c r="P107" s="33">
        <f t="shared" si="92"/>
        <v>0</v>
      </c>
      <c r="Q107" s="44" t="e">
        <f t="shared" si="97"/>
        <v>#VALUE!</v>
      </c>
      <c r="R107" s="45">
        <f t="shared" si="5"/>
        <v>0</v>
      </c>
      <c r="S107" s="45">
        <f t="shared" si="6"/>
        <v>0</v>
      </c>
      <c r="T107" s="46" t="e">
        <f t="shared" si="93"/>
        <v>#VALUE!</v>
      </c>
      <c r="U107" s="47" t="e">
        <f t="shared" si="98"/>
        <v>#VALUE!</v>
      </c>
      <c r="V107" s="48">
        <f t="shared" si="94"/>
        <v>0</v>
      </c>
      <c r="W107" s="48">
        <f t="shared" si="95"/>
        <v>0</v>
      </c>
      <c r="X107" s="49" t="e">
        <f t="shared" si="96"/>
        <v>#VALUE!</v>
      </c>
    </row>
    <row r="108" spans="1:24" x14ac:dyDescent="0.35">
      <c r="A108" s="71"/>
      <c r="B108" s="40">
        <v>102</v>
      </c>
      <c r="C108" s="125"/>
      <c r="D108" s="125"/>
      <c r="E108" s="68"/>
      <c r="F108" s="68"/>
      <c r="G108" s="68"/>
      <c r="H108" s="124"/>
      <c r="I108" s="68"/>
      <c r="J108" s="68"/>
      <c r="K108" s="68"/>
      <c r="L108" s="124">
        <f t="shared" si="99"/>
        <v>0</v>
      </c>
      <c r="M108" s="138"/>
      <c r="N108" s="42"/>
      <c r="O108" s="66">
        <f t="shared" si="91"/>
        <v>0</v>
      </c>
      <c r="P108" s="33">
        <f t="shared" si="92"/>
        <v>0</v>
      </c>
      <c r="Q108" s="44" t="e">
        <f t="shared" si="97"/>
        <v>#VALUE!</v>
      </c>
      <c r="R108" s="45">
        <f t="shared" si="5"/>
        <v>0</v>
      </c>
      <c r="S108" s="45">
        <f t="shared" si="6"/>
        <v>0</v>
      </c>
      <c r="T108" s="46" t="e">
        <f t="shared" si="93"/>
        <v>#VALUE!</v>
      </c>
      <c r="U108" s="47" t="e">
        <f t="shared" si="98"/>
        <v>#VALUE!</v>
      </c>
      <c r="V108" s="48">
        <f t="shared" si="94"/>
        <v>0</v>
      </c>
      <c r="W108" s="48">
        <f t="shared" si="95"/>
        <v>0</v>
      </c>
      <c r="X108" s="49" t="e">
        <f t="shared" si="96"/>
        <v>#VALUE!</v>
      </c>
    </row>
    <row r="109" spans="1:24" x14ac:dyDescent="0.35">
      <c r="A109" s="71"/>
      <c r="B109" s="40">
        <v>103</v>
      </c>
      <c r="C109" s="125"/>
      <c r="D109" s="125"/>
      <c r="E109" s="68"/>
      <c r="F109" s="68"/>
      <c r="G109" s="68"/>
      <c r="H109" s="124"/>
      <c r="I109" s="68"/>
      <c r="J109" s="68"/>
      <c r="K109" s="68"/>
      <c r="L109" s="124">
        <f t="shared" si="99"/>
        <v>0</v>
      </c>
      <c r="M109" s="138"/>
      <c r="N109" s="42"/>
      <c r="O109" s="66">
        <f t="shared" si="91"/>
        <v>0</v>
      </c>
      <c r="P109" s="33">
        <f t="shared" si="92"/>
        <v>0</v>
      </c>
      <c r="Q109" s="44" t="e">
        <f t="shared" si="97"/>
        <v>#VALUE!</v>
      </c>
      <c r="R109" s="45">
        <f t="shared" si="5"/>
        <v>0</v>
      </c>
      <c r="S109" s="45">
        <f t="shared" si="6"/>
        <v>0</v>
      </c>
      <c r="T109" s="46" t="e">
        <f t="shared" si="93"/>
        <v>#VALUE!</v>
      </c>
      <c r="U109" s="47" t="e">
        <f t="shared" si="98"/>
        <v>#VALUE!</v>
      </c>
      <c r="V109" s="48">
        <f t="shared" si="94"/>
        <v>0</v>
      </c>
      <c r="W109" s="48">
        <f t="shared" si="95"/>
        <v>0</v>
      </c>
      <c r="X109" s="49" t="e">
        <f t="shared" si="96"/>
        <v>#VALUE!</v>
      </c>
    </row>
    <row r="110" spans="1:24" x14ac:dyDescent="0.35">
      <c r="A110" s="71"/>
      <c r="B110" s="40">
        <v>104</v>
      </c>
      <c r="C110" s="125"/>
      <c r="D110" s="125"/>
      <c r="E110" s="68"/>
      <c r="F110" s="68"/>
      <c r="G110" s="68"/>
      <c r="H110" s="124"/>
      <c r="I110" s="68"/>
      <c r="J110" s="68"/>
      <c r="K110" s="68"/>
      <c r="L110" s="124">
        <f t="shared" si="99"/>
        <v>0</v>
      </c>
      <c r="M110" s="138"/>
      <c r="N110" s="42"/>
      <c r="O110" s="66">
        <f t="shared" si="91"/>
        <v>0</v>
      </c>
      <c r="P110" s="33">
        <f t="shared" si="92"/>
        <v>0</v>
      </c>
      <c r="Q110" s="44" t="e">
        <f t="shared" si="97"/>
        <v>#VALUE!</v>
      </c>
      <c r="R110" s="45">
        <f t="shared" si="5"/>
        <v>0</v>
      </c>
      <c r="S110" s="45">
        <f t="shared" si="6"/>
        <v>0</v>
      </c>
      <c r="T110" s="46" t="e">
        <f t="shared" si="93"/>
        <v>#VALUE!</v>
      </c>
      <c r="U110" s="47" t="e">
        <f t="shared" si="98"/>
        <v>#VALUE!</v>
      </c>
      <c r="V110" s="48">
        <f t="shared" si="94"/>
        <v>0</v>
      </c>
      <c r="W110" s="48">
        <f t="shared" si="95"/>
        <v>0</v>
      </c>
      <c r="X110" s="49" t="e">
        <f t="shared" si="96"/>
        <v>#VALUE!</v>
      </c>
    </row>
    <row r="111" spans="1:24" x14ac:dyDescent="0.35">
      <c r="A111" s="71"/>
      <c r="B111" s="40">
        <v>105</v>
      </c>
      <c r="C111" s="125"/>
      <c r="D111" s="125"/>
      <c r="E111" s="68"/>
      <c r="F111" s="68"/>
      <c r="G111" s="68"/>
      <c r="H111" s="124"/>
      <c r="I111" s="68"/>
      <c r="J111" s="68"/>
      <c r="K111" s="68"/>
      <c r="L111" s="124">
        <f t="shared" si="99"/>
        <v>0</v>
      </c>
      <c r="M111" s="138"/>
      <c r="N111" s="42"/>
      <c r="O111" s="66">
        <f t="shared" si="91"/>
        <v>0</v>
      </c>
      <c r="P111" s="33">
        <f t="shared" si="92"/>
        <v>0</v>
      </c>
      <c r="Q111" s="44" t="e">
        <f t="shared" si="97"/>
        <v>#VALUE!</v>
      </c>
      <c r="R111" s="45">
        <f t="shared" si="5"/>
        <v>0</v>
      </c>
      <c r="S111" s="45">
        <f t="shared" si="6"/>
        <v>0</v>
      </c>
      <c r="T111" s="46" t="e">
        <f t="shared" si="93"/>
        <v>#VALUE!</v>
      </c>
      <c r="U111" s="47" t="e">
        <f t="shared" si="98"/>
        <v>#VALUE!</v>
      </c>
      <c r="V111" s="48">
        <f t="shared" si="94"/>
        <v>0</v>
      </c>
      <c r="W111" s="48">
        <f t="shared" si="95"/>
        <v>0</v>
      </c>
      <c r="X111" s="49" t="e">
        <f t="shared" si="96"/>
        <v>#VALUE!</v>
      </c>
    </row>
    <row r="112" spans="1:24" x14ac:dyDescent="0.35">
      <c r="A112" s="71"/>
      <c r="B112" s="40">
        <v>106</v>
      </c>
      <c r="C112" s="125"/>
      <c r="D112" s="125"/>
      <c r="E112" s="68"/>
      <c r="F112" s="68"/>
      <c r="G112" s="68"/>
      <c r="H112" s="124"/>
      <c r="I112" s="68"/>
      <c r="J112" s="68"/>
      <c r="K112" s="68"/>
      <c r="L112" s="124">
        <f t="shared" si="99"/>
        <v>0</v>
      </c>
      <c r="M112" s="138"/>
      <c r="N112" s="42"/>
      <c r="O112" s="66">
        <f t="shared" si="91"/>
        <v>0</v>
      </c>
      <c r="P112" s="33">
        <f t="shared" si="92"/>
        <v>0</v>
      </c>
      <c r="Q112" s="44" t="e">
        <f t="shared" si="97"/>
        <v>#VALUE!</v>
      </c>
      <c r="R112" s="45">
        <f t="shared" si="5"/>
        <v>0</v>
      </c>
      <c r="S112" s="45">
        <f t="shared" si="6"/>
        <v>0</v>
      </c>
      <c r="T112" s="46" t="e">
        <f t="shared" si="93"/>
        <v>#VALUE!</v>
      </c>
      <c r="U112" s="47" t="e">
        <f t="shared" si="98"/>
        <v>#VALUE!</v>
      </c>
      <c r="V112" s="48">
        <f t="shared" si="94"/>
        <v>0</v>
      </c>
      <c r="W112" s="48">
        <f t="shared" si="95"/>
        <v>0</v>
      </c>
      <c r="X112" s="49" t="e">
        <f t="shared" si="96"/>
        <v>#VALUE!</v>
      </c>
    </row>
    <row r="113" spans="1:24" x14ac:dyDescent="0.35">
      <c r="A113" s="71"/>
      <c r="B113" s="40">
        <v>107</v>
      </c>
      <c r="C113" s="125"/>
      <c r="D113" s="125"/>
      <c r="E113" s="68"/>
      <c r="F113" s="68"/>
      <c r="G113" s="68"/>
      <c r="H113" s="124"/>
      <c r="I113" s="68"/>
      <c r="J113" s="68"/>
      <c r="K113" s="68"/>
      <c r="L113" s="124">
        <f t="shared" si="99"/>
        <v>0</v>
      </c>
      <c r="M113" s="138"/>
      <c r="N113" s="42"/>
      <c r="O113" s="66">
        <f t="shared" si="91"/>
        <v>0</v>
      </c>
      <c r="P113" s="33">
        <f t="shared" si="92"/>
        <v>0</v>
      </c>
      <c r="Q113" s="44" t="e">
        <f t="shared" si="97"/>
        <v>#VALUE!</v>
      </c>
      <c r="R113" s="45">
        <f t="shared" si="5"/>
        <v>0</v>
      </c>
      <c r="S113" s="45">
        <f t="shared" si="6"/>
        <v>0</v>
      </c>
      <c r="T113" s="46" t="e">
        <f t="shared" si="93"/>
        <v>#VALUE!</v>
      </c>
      <c r="U113" s="47" t="e">
        <f t="shared" si="98"/>
        <v>#VALUE!</v>
      </c>
      <c r="V113" s="48">
        <f t="shared" si="94"/>
        <v>0</v>
      </c>
      <c r="W113" s="48">
        <f t="shared" si="95"/>
        <v>0</v>
      </c>
      <c r="X113" s="49" t="e">
        <f t="shared" si="96"/>
        <v>#VALUE!</v>
      </c>
    </row>
    <row r="114" spans="1:24" x14ac:dyDescent="0.35">
      <c r="A114" s="71"/>
      <c r="B114" s="40">
        <v>108</v>
      </c>
      <c r="C114" s="125"/>
      <c r="D114" s="125"/>
      <c r="E114" s="68"/>
      <c r="F114" s="68"/>
      <c r="G114" s="68"/>
      <c r="H114" s="124"/>
      <c r="I114" s="68"/>
      <c r="J114" s="68"/>
      <c r="K114" s="68"/>
      <c r="L114" s="124">
        <f t="shared" si="99"/>
        <v>0</v>
      </c>
      <c r="M114" s="138"/>
      <c r="N114" s="42"/>
      <c r="O114" s="66">
        <f t="shared" si="91"/>
        <v>0</v>
      </c>
      <c r="P114" s="33">
        <f t="shared" si="92"/>
        <v>0</v>
      </c>
      <c r="Q114" s="44" t="e">
        <f t="shared" si="97"/>
        <v>#VALUE!</v>
      </c>
      <c r="R114" s="45">
        <f t="shared" si="5"/>
        <v>0</v>
      </c>
      <c r="S114" s="45">
        <f t="shared" si="6"/>
        <v>0</v>
      </c>
      <c r="T114" s="46" t="e">
        <f t="shared" si="93"/>
        <v>#VALUE!</v>
      </c>
      <c r="U114" s="47" t="e">
        <f t="shared" si="98"/>
        <v>#VALUE!</v>
      </c>
      <c r="V114" s="48">
        <f t="shared" si="94"/>
        <v>0</v>
      </c>
      <c r="W114" s="48">
        <f t="shared" si="95"/>
        <v>0</v>
      </c>
      <c r="X114" s="49" t="e">
        <f t="shared" si="96"/>
        <v>#VALUE!</v>
      </c>
    </row>
    <row r="115" spans="1:24" x14ac:dyDescent="0.35">
      <c r="A115" s="71"/>
      <c r="B115" s="40">
        <v>109</v>
      </c>
      <c r="C115" s="125"/>
      <c r="D115" s="125"/>
      <c r="E115" s="68"/>
      <c r="F115" s="68"/>
      <c r="G115" s="68"/>
      <c r="H115" s="124"/>
      <c r="I115" s="68"/>
      <c r="J115" s="68"/>
      <c r="K115" s="68"/>
      <c r="L115" s="124">
        <f t="shared" si="99"/>
        <v>0</v>
      </c>
      <c r="M115" s="138"/>
      <c r="N115" s="42"/>
      <c r="O115" s="66">
        <f t="shared" si="91"/>
        <v>0</v>
      </c>
      <c r="P115" s="33">
        <f t="shared" si="92"/>
        <v>0</v>
      </c>
      <c r="Q115" s="44" t="e">
        <f t="shared" si="97"/>
        <v>#VALUE!</v>
      </c>
      <c r="R115" s="45">
        <f t="shared" si="5"/>
        <v>0</v>
      </c>
      <c r="S115" s="45">
        <f t="shared" si="6"/>
        <v>0</v>
      </c>
      <c r="T115" s="46" t="e">
        <f t="shared" si="93"/>
        <v>#VALUE!</v>
      </c>
      <c r="U115" s="47" t="e">
        <f t="shared" si="98"/>
        <v>#VALUE!</v>
      </c>
      <c r="V115" s="48">
        <f t="shared" si="94"/>
        <v>0</v>
      </c>
      <c r="W115" s="48">
        <f t="shared" si="95"/>
        <v>0</v>
      </c>
      <c r="X115" s="49" t="e">
        <f t="shared" si="96"/>
        <v>#VALUE!</v>
      </c>
    </row>
    <row r="116" spans="1:24" x14ac:dyDescent="0.35">
      <c r="A116" s="71"/>
      <c r="B116" s="40">
        <v>110</v>
      </c>
      <c r="C116" s="125"/>
      <c r="D116" s="125"/>
      <c r="E116" s="68"/>
      <c r="F116" s="68"/>
      <c r="G116" s="68"/>
      <c r="H116" s="124"/>
      <c r="I116" s="68"/>
      <c r="J116" s="68"/>
      <c r="K116" s="68"/>
      <c r="L116" s="124">
        <f t="shared" si="99"/>
        <v>0</v>
      </c>
      <c r="M116" s="138"/>
      <c r="N116" s="42"/>
      <c r="O116" s="66">
        <f t="shared" si="91"/>
        <v>0</v>
      </c>
      <c r="P116" s="33">
        <f t="shared" si="92"/>
        <v>0</v>
      </c>
      <c r="Q116" s="44" t="e">
        <f t="shared" si="97"/>
        <v>#VALUE!</v>
      </c>
      <c r="R116" s="45">
        <f t="shared" si="5"/>
        <v>0</v>
      </c>
      <c r="S116" s="45">
        <f t="shared" si="6"/>
        <v>0</v>
      </c>
      <c r="T116" s="46" t="e">
        <f t="shared" si="93"/>
        <v>#VALUE!</v>
      </c>
      <c r="U116" s="47" t="e">
        <f t="shared" si="98"/>
        <v>#VALUE!</v>
      </c>
      <c r="V116" s="48">
        <f t="shared" si="94"/>
        <v>0</v>
      </c>
      <c r="W116" s="48">
        <f t="shared" si="95"/>
        <v>0</v>
      </c>
      <c r="X116" s="49" t="e">
        <f t="shared" si="96"/>
        <v>#VALUE!</v>
      </c>
    </row>
    <row r="117" spans="1:24" x14ac:dyDescent="0.35">
      <c r="A117" s="71"/>
      <c r="B117" s="40">
        <v>111</v>
      </c>
      <c r="C117" s="125"/>
      <c r="D117" s="125"/>
      <c r="E117" s="68"/>
      <c r="F117" s="68"/>
      <c r="G117" s="68"/>
      <c r="H117" s="124"/>
      <c r="I117" s="68"/>
      <c r="J117" s="68"/>
      <c r="K117" s="68"/>
      <c r="L117" s="124">
        <f t="shared" si="99"/>
        <v>0</v>
      </c>
      <c r="M117" s="138"/>
      <c r="N117" s="42"/>
      <c r="O117" s="66">
        <f t="shared" si="91"/>
        <v>0</v>
      </c>
      <c r="P117" s="33">
        <f t="shared" si="92"/>
        <v>0</v>
      </c>
      <c r="Q117" s="44" t="e">
        <f t="shared" si="97"/>
        <v>#VALUE!</v>
      </c>
      <c r="R117" s="45">
        <f t="shared" si="5"/>
        <v>0</v>
      </c>
      <c r="S117" s="45">
        <f t="shared" si="6"/>
        <v>0</v>
      </c>
      <c r="T117" s="46" t="e">
        <f t="shared" si="93"/>
        <v>#VALUE!</v>
      </c>
      <c r="U117" s="47" t="e">
        <f t="shared" si="98"/>
        <v>#VALUE!</v>
      </c>
      <c r="V117" s="48">
        <f t="shared" si="94"/>
        <v>0</v>
      </c>
      <c r="W117" s="48">
        <f t="shared" si="95"/>
        <v>0</v>
      </c>
      <c r="X117" s="49" t="e">
        <f t="shared" si="96"/>
        <v>#VALUE!</v>
      </c>
    </row>
    <row r="118" spans="1:24" x14ac:dyDescent="0.35">
      <c r="A118" s="71"/>
      <c r="B118" s="40">
        <v>112</v>
      </c>
      <c r="C118" s="125"/>
      <c r="D118" s="125"/>
      <c r="E118" s="68"/>
      <c r="F118" s="68"/>
      <c r="G118" s="68"/>
      <c r="H118" s="124"/>
      <c r="I118" s="68"/>
      <c r="J118" s="68"/>
      <c r="K118" s="68"/>
      <c r="L118" s="124">
        <f t="shared" si="99"/>
        <v>0</v>
      </c>
      <c r="M118" s="138"/>
      <c r="N118" s="42"/>
      <c r="O118" s="66">
        <f t="shared" si="91"/>
        <v>0</v>
      </c>
      <c r="P118" s="33">
        <f t="shared" si="92"/>
        <v>0</v>
      </c>
      <c r="Q118" s="44" t="e">
        <f t="shared" si="97"/>
        <v>#VALUE!</v>
      </c>
      <c r="R118" s="45">
        <f t="shared" si="5"/>
        <v>0</v>
      </c>
      <c r="S118" s="45">
        <f t="shared" si="6"/>
        <v>0</v>
      </c>
      <c r="T118" s="46" t="e">
        <f t="shared" si="93"/>
        <v>#VALUE!</v>
      </c>
      <c r="U118" s="47" t="e">
        <f t="shared" si="98"/>
        <v>#VALUE!</v>
      </c>
      <c r="V118" s="48">
        <f t="shared" si="94"/>
        <v>0</v>
      </c>
      <c r="W118" s="48">
        <f t="shared" si="95"/>
        <v>0</v>
      </c>
      <c r="X118" s="49" t="e">
        <f t="shared" si="96"/>
        <v>#VALUE!</v>
      </c>
    </row>
    <row r="119" spans="1:24" x14ac:dyDescent="0.35">
      <c r="A119" s="71"/>
      <c r="B119" s="40">
        <v>113</v>
      </c>
      <c r="C119" s="125"/>
      <c r="D119" s="125"/>
      <c r="E119" s="68"/>
      <c r="F119" s="68"/>
      <c r="G119" s="68"/>
      <c r="H119" s="124"/>
      <c r="I119" s="68"/>
      <c r="J119" s="68"/>
      <c r="K119" s="68"/>
      <c r="L119" s="124">
        <f t="shared" si="99"/>
        <v>0</v>
      </c>
      <c r="M119" s="138"/>
      <c r="N119" s="42"/>
      <c r="O119" s="66">
        <f t="shared" si="91"/>
        <v>0</v>
      </c>
      <c r="P119" s="33">
        <f t="shared" si="92"/>
        <v>0</v>
      </c>
      <c r="Q119" s="44" t="e">
        <f t="shared" si="97"/>
        <v>#VALUE!</v>
      </c>
      <c r="R119" s="45">
        <f t="shared" si="5"/>
        <v>0</v>
      </c>
      <c r="S119" s="45">
        <f t="shared" si="6"/>
        <v>0</v>
      </c>
      <c r="T119" s="46" t="e">
        <f t="shared" si="93"/>
        <v>#VALUE!</v>
      </c>
      <c r="U119" s="47" t="e">
        <f t="shared" si="98"/>
        <v>#VALUE!</v>
      </c>
      <c r="V119" s="48">
        <f t="shared" si="94"/>
        <v>0</v>
      </c>
      <c r="W119" s="48">
        <f t="shared" si="95"/>
        <v>0</v>
      </c>
      <c r="X119" s="49" t="e">
        <f t="shared" si="96"/>
        <v>#VALUE!</v>
      </c>
    </row>
    <row r="120" spans="1:24" x14ac:dyDescent="0.35">
      <c r="A120" s="71"/>
      <c r="B120" s="40">
        <v>114</v>
      </c>
      <c r="C120" s="125"/>
      <c r="D120" s="125"/>
      <c r="E120" s="68"/>
      <c r="F120" s="68"/>
      <c r="G120" s="68"/>
      <c r="H120" s="124"/>
      <c r="I120" s="68"/>
      <c r="J120" s="68"/>
      <c r="K120" s="68"/>
      <c r="L120" s="124">
        <f t="shared" si="99"/>
        <v>0</v>
      </c>
      <c r="M120" s="138"/>
      <c r="N120" s="42"/>
      <c r="O120" s="66">
        <f t="shared" si="91"/>
        <v>0</v>
      </c>
      <c r="P120" s="33">
        <f t="shared" si="92"/>
        <v>0</v>
      </c>
      <c r="Q120" s="44" t="e">
        <f t="shared" si="97"/>
        <v>#VALUE!</v>
      </c>
      <c r="R120" s="45">
        <f t="shared" si="5"/>
        <v>0</v>
      </c>
      <c r="S120" s="45">
        <f t="shared" si="6"/>
        <v>0</v>
      </c>
      <c r="T120" s="46" t="e">
        <f t="shared" si="93"/>
        <v>#VALUE!</v>
      </c>
      <c r="U120" s="47" t="e">
        <f t="shared" si="98"/>
        <v>#VALUE!</v>
      </c>
      <c r="V120" s="48">
        <f t="shared" si="94"/>
        <v>0</v>
      </c>
      <c r="W120" s="48">
        <f t="shared" si="95"/>
        <v>0</v>
      </c>
      <c r="X120" s="49" t="e">
        <f t="shared" si="96"/>
        <v>#VALUE!</v>
      </c>
    </row>
    <row r="121" spans="1:24" x14ac:dyDescent="0.35">
      <c r="A121" s="71"/>
      <c r="B121" s="40">
        <v>115</v>
      </c>
      <c r="C121" s="125"/>
      <c r="D121" s="125"/>
      <c r="E121" s="68"/>
      <c r="F121" s="68"/>
      <c r="G121" s="68"/>
      <c r="H121" s="124"/>
      <c r="I121" s="68"/>
      <c r="J121" s="68"/>
      <c r="K121" s="68"/>
      <c r="L121" s="124">
        <f t="shared" si="99"/>
        <v>0</v>
      </c>
      <c r="M121" s="138"/>
      <c r="N121" s="42"/>
      <c r="O121" s="66">
        <f t="shared" si="91"/>
        <v>0</v>
      </c>
      <c r="P121" s="33">
        <f t="shared" si="92"/>
        <v>0</v>
      </c>
      <c r="Q121" s="44" t="e">
        <f t="shared" si="97"/>
        <v>#VALUE!</v>
      </c>
      <c r="R121" s="45">
        <f t="shared" si="5"/>
        <v>0</v>
      </c>
      <c r="S121" s="45">
        <f t="shared" si="6"/>
        <v>0</v>
      </c>
      <c r="T121" s="46" t="e">
        <f t="shared" si="93"/>
        <v>#VALUE!</v>
      </c>
      <c r="U121" s="47" t="e">
        <f t="shared" si="98"/>
        <v>#VALUE!</v>
      </c>
      <c r="V121" s="48">
        <f t="shared" si="94"/>
        <v>0</v>
      </c>
      <c r="W121" s="48">
        <f t="shared" si="95"/>
        <v>0</v>
      </c>
      <c r="X121" s="49" t="e">
        <f t="shared" si="96"/>
        <v>#VALUE!</v>
      </c>
    </row>
    <row r="122" spans="1:24" x14ac:dyDescent="0.35">
      <c r="A122" s="71"/>
      <c r="B122" s="40">
        <v>116</v>
      </c>
      <c r="C122" s="125"/>
      <c r="D122" s="125"/>
      <c r="E122" s="68"/>
      <c r="F122" s="68"/>
      <c r="G122" s="68"/>
      <c r="H122" s="124"/>
      <c r="I122" s="68"/>
      <c r="J122" s="68"/>
      <c r="K122" s="68"/>
      <c r="L122" s="124">
        <f t="shared" si="99"/>
        <v>0</v>
      </c>
      <c r="M122" s="138"/>
      <c r="N122" s="42"/>
      <c r="O122" s="66">
        <f t="shared" si="91"/>
        <v>0</v>
      </c>
      <c r="P122" s="33">
        <f t="shared" si="92"/>
        <v>0</v>
      </c>
      <c r="Q122" s="44" t="e">
        <f t="shared" si="97"/>
        <v>#VALUE!</v>
      </c>
      <c r="R122" s="45">
        <f t="shared" si="5"/>
        <v>0</v>
      </c>
      <c r="S122" s="45">
        <f t="shared" si="6"/>
        <v>0</v>
      </c>
      <c r="T122" s="46" t="e">
        <f t="shared" si="93"/>
        <v>#VALUE!</v>
      </c>
      <c r="U122" s="47" t="e">
        <f t="shared" si="98"/>
        <v>#VALUE!</v>
      </c>
      <c r="V122" s="48">
        <f t="shared" si="94"/>
        <v>0</v>
      </c>
      <c r="W122" s="48">
        <f t="shared" si="95"/>
        <v>0</v>
      </c>
      <c r="X122" s="49" t="e">
        <f t="shared" si="96"/>
        <v>#VALUE!</v>
      </c>
    </row>
    <row r="123" spans="1:24" x14ac:dyDescent="0.35">
      <c r="A123" s="71"/>
      <c r="B123" s="40">
        <v>117</v>
      </c>
      <c r="C123" s="125"/>
      <c r="D123" s="125"/>
      <c r="E123" s="68"/>
      <c r="F123" s="68"/>
      <c r="G123" s="68"/>
      <c r="H123" s="124"/>
      <c r="I123" s="68"/>
      <c r="J123" s="68"/>
      <c r="K123" s="68"/>
      <c r="L123" s="124">
        <f t="shared" si="99"/>
        <v>0</v>
      </c>
      <c r="M123" s="138"/>
      <c r="N123" s="42"/>
      <c r="O123" s="66">
        <f t="shared" si="91"/>
        <v>0</v>
      </c>
      <c r="P123" s="33">
        <f t="shared" si="92"/>
        <v>0</v>
      </c>
      <c r="Q123" s="44" t="e">
        <f t="shared" si="97"/>
        <v>#VALUE!</v>
      </c>
      <c r="R123" s="45">
        <f t="shared" si="5"/>
        <v>0</v>
      </c>
      <c r="S123" s="45">
        <f t="shared" si="6"/>
        <v>0</v>
      </c>
      <c r="T123" s="46" t="e">
        <f t="shared" si="93"/>
        <v>#VALUE!</v>
      </c>
      <c r="U123" s="47" t="e">
        <f t="shared" si="98"/>
        <v>#VALUE!</v>
      </c>
      <c r="V123" s="48">
        <f t="shared" si="94"/>
        <v>0</v>
      </c>
      <c r="W123" s="48">
        <f t="shared" si="95"/>
        <v>0</v>
      </c>
      <c r="X123" s="49" t="e">
        <f t="shared" si="96"/>
        <v>#VALUE!</v>
      </c>
    </row>
    <row r="124" spans="1:24" x14ac:dyDescent="0.35">
      <c r="A124" s="71"/>
      <c r="B124" s="40">
        <v>118</v>
      </c>
      <c r="C124" s="125"/>
      <c r="D124" s="125"/>
      <c r="E124" s="68"/>
      <c r="F124" s="68"/>
      <c r="G124" s="68"/>
      <c r="H124" s="124"/>
      <c r="I124" s="68"/>
      <c r="J124" s="68"/>
      <c r="K124" s="68"/>
      <c r="L124" s="124">
        <f t="shared" si="99"/>
        <v>0</v>
      </c>
      <c r="M124" s="138"/>
      <c r="N124" s="42"/>
      <c r="O124" s="66">
        <f t="shared" si="91"/>
        <v>0</v>
      </c>
      <c r="P124" s="33">
        <f t="shared" si="92"/>
        <v>0</v>
      </c>
      <c r="Q124" s="44" t="e">
        <f t="shared" si="97"/>
        <v>#VALUE!</v>
      </c>
      <c r="R124" s="45">
        <f t="shared" si="5"/>
        <v>0</v>
      </c>
      <c r="S124" s="45">
        <f t="shared" si="6"/>
        <v>0</v>
      </c>
      <c r="T124" s="46" t="e">
        <f t="shared" si="93"/>
        <v>#VALUE!</v>
      </c>
      <c r="U124" s="47" t="e">
        <f t="shared" si="98"/>
        <v>#VALUE!</v>
      </c>
      <c r="V124" s="48">
        <f t="shared" si="94"/>
        <v>0</v>
      </c>
      <c r="W124" s="48">
        <f t="shared" si="95"/>
        <v>0</v>
      </c>
      <c r="X124" s="49" t="e">
        <f t="shared" si="96"/>
        <v>#VALUE!</v>
      </c>
    </row>
    <row r="125" spans="1:24" x14ac:dyDescent="0.35">
      <c r="A125" s="71"/>
      <c r="B125" s="40">
        <v>119</v>
      </c>
      <c r="C125" s="125"/>
      <c r="D125" s="125"/>
      <c r="E125" s="68"/>
      <c r="F125" s="68"/>
      <c r="G125" s="68"/>
      <c r="H125" s="124"/>
      <c r="I125" s="68"/>
      <c r="J125" s="68"/>
      <c r="K125" s="68"/>
      <c r="L125" s="124">
        <f t="shared" si="99"/>
        <v>0</v>
      </c>
      <c r="M125" s="138"/>
      <c r="N125" s="42"/>
      <c r="O125" s="66">
        <f t="shared" si="91"/>
        <v>0</v>
      </c>
      <c r="P125" s="33">
        <f t="shared" si="92"/>
        <v>0</v>
      </c>
      <c r="Q125" s="44" t="e">
        <f t="shared" si="97"/>
        <v>#VALUE!</v>
      </c>
      <c r="R125" s="45">
        <f t="shared" si="5"/>
        <v>0</v>
      </c>
      <c r="S125" s="45">
        <f t="shared" si="6"/>
        <v>0</v>
      </c>
      <c r="T125" s="46" t="e">
        <f t="shared" si="93"/>
        <v>#VALUE!</v>
      </c>
      <c r="U125" s="47" t="e">
        <f t="shared" si="98"/>
        <v>#VALUE!</v>
      </c>
      <c r="V125" s="48">
        <f t="shared" si="94"/>
        <v>0</v>
      </c>
      <c r="W125" s="48">
        <f t="shared" si="95"/>
        <v>0</v>
      </c>
      <c r="X125" s="49" t="e">
        <f t="shared" si="96"/>
        <v>#VALUE!</v>
      </c>
    </row>
    <row r="126" spans="1:24" x14ac:dyDescent="0.35">
      <c r="A126" s="71"/>
      <c r="B126" s="40">
        <v>120</v>
      </c>
      <c r="C126" s="125"/>
      <c r="D126" s="125"/>
      <c r="E126" s="68"/>
      <c r="F126" s="68"/>
      <c r="G126" s="68"/>
      <c r="H126" s="124"/>
      <c r="I126" s="68"/>
      <c r="J126" s="68"/>
      <c r="K126" s="68"/>
      <c r="L126" s="124">
        <f t="shared" si="99"/>
        <v>0</v>
      </c>
      <c r="M126" s="138"/>
      <c r="N126" s="42"/>
      <c r="O126" s="66">
        <f t="shared" si="91"/>
        <v>0</v>
      </c>
      <c r="P126" s="33">
        <f t="shared" si="92"/>
        <v>0</v>
      </c>
      <c r="Q126" s="44" t="e">
        <f t="shared" si="97"/>
        <v>#VALUE!</v>
      </c>
      <c r="R126" s="45">
        <f t="shared" si="5"/>
        <v>0</v>
      </c>
      <c r="S126" s="45">
        <f t="shared" si="6"/>
        <v>0</v>
      </c>
      <c r="T126" s="46" t="e">
        <f t="shared" si="93"/>
        <v>#VALUE!</v>
      </c>
      <c r="U126" s="47" t="e">
        <f t="shared" si="98"/>
        <v>#VALUE!</v>
      </c>
      <c r="V126" s="48">
        <f t="shared" si="94"/>
        <v>0</v>
      </c>
      <c r="W126" s="48">
        <f t="shared" si="95"/>
        <v>0</v>
      </c>
      <c r="X126" s="49" t="e">
        <f t="shared" si="96"/>
        <v>#VALUE!</v>
      </c>
    </row>
    <row r="127" spans="1:24" x14ac:dyDescent="0.35">
      <c r="A127" s="71"/>
      <c r="B127" s="40"/>
      <c r="C127" s="125"/>
      <c r="D127" s="125"/>
      <c r="E127" s="68"/>
      <c r="F127" s="68"/>
      <c r="G127" s="68"/>
      <c r="H127" s="124"/>
      <c r="I127" s="68"/>
      <c r="J127" s="68"/>
      <c r="K127" s="68"/>
      <c r="L127" s="124">
        <f t="shared" si="99"/>
        <v>0</v>
      </c>
      <c r="M127" s="138"/>
      <c r="N127" s="42"/>
      <c r="O127" s="66">
        <f t="shared" si="91"/>
        <v>0</v>
      </c>
      <c r="P127" s="33">
        <f t="shared" si="92"/>
        <v>0</v>
      </c>
      <c r="Q127" s="44" t="e">
        <f t="shared" ref="Q127:Q135" si="100">SUMPRODUCT($E$4:$E$4,$E$6:$E$6)*$Q$3</f>
        <v>#VALUE!</v>
      </c>
      <c r="R127" s="45">
        <f t="shared" si="5"/>
        <v>0</v>
      </c>
      <c r="S127" s="45">
        <f t="shared" si="6"/>
        <v>0</v>
      </c>
      <c r="T127" s="46" t="e">
        <f t="shared" si="93"/>
        <v>#VALUE!</v>
      </c>
      <c r="U127" s="47" t="e">
        <f t="shared" ref="U127:U135" si="101">SUM(E127:E127)*$U$3</f>
        <v>#VALUE!</v>
      </c>
      <c r="V127" s="48">
        <f t="shared" si="94"/>
        <v>0</v>
      </c>
      <c r="W127" s="48">
        <f t="shared" si="95"/>
        <v>0</v>
      </c>
      <c r="X127" s="49" t="e">
        <f t="shared" si="96"/>
        <v>#VALUE!</v>
      </c>
    </row>
    <row r="128" spans="1:24" x14ac:dyDescent="0.35">
      <c r="A128" s="71"/>
      <c r="B128" s="40"/>
      <c r="C128" s="125"/>
      <c r="D128" s="125"/>
      <c r="E128" s="68"/>
      <c r="F128" s="68"/>
      <c r="G128" s="68"/>
      <c r="H128" s="124"/>
      <c r="I128" s="68"/>
      <c r="J128" s="68"/>
      <c r="K128" s="68"/>
      <c r="L128" s="124">
        <f t="shared" si="99"/>
        <v>0</v>
      </c>
      <c r="M128" s="138">
        <f t="shared" ref="M128:M135" si="102">SUMPRODUCT($E$4:$K$4,$E$6:$K$6)</f>
        <v>0</v>
      </c>
      <c r="N128" s="42"/>
      <c r="O128" s="66">
        <f t="shared" si="91"/>
        <v>0</v>
      </c>
      <c r="P128" s="33">
        <f t="shared" si="92"/>
        <v>0</v>
      </c>
      <c r="Q128" s="44" t="e">
        <f t="shared" si="100"/>
        <v>#VALUE!</v>
      </c>
      <c r="R128" s="45">
        <f t="shared" si="5"/>
        <v>0</v>
      </c>
      <c r="S128" s="45">
        <f t="shared" si="6"/>
        <v>0</v>
      </c>
      <c r="T128" s="46" t="e">
        <f t="shared" si="93"/>
        <v>#VALUE!</v>
      </c>
      <c r="U128" s="47" t="e">
        <f t="shared" si="101"/>
        <v>#VALUE!</v>
      </c>
      <c r="V128" s="48">
        <f t="shared" si="94"/>
        <v>0</v>
      </c>
      <c r="W128" s="48">
        <f t="shared" si="95"/>
        <v>0</v>
      </c>
      <c r="X128" s="49" t="e">
        <f t="shared" si="96"/>
        <v>#VALUE!</v>
      </c>
    </row>
    <row r="129" spans="1:24" x14ac:dyDescent="0.35">
      <c r="A129" s="71"/>
      <c r="B129" s="40"/>
      <c r="C129" s="125"/>
      <c r="D129" s="125"/>
      <c r="E129" s="68"/>
      <c r="F129" s="68"/>
      <c r="G129" s="68"/>
      <c r="H129" s="124"/>
      <c r="I129" s="68"/>
      <c r="J129" s="68"/>
      <c r="K129" s="68"/>
      <c r="L129" s="124">
        <f t="shared" si="99"/>
        <v>0</v>
      </c>
      <c r="M129" s="138">
        <f t="shared" si="102"/>
        <v>0</v>
      </c>
      <c r="N129" s="42"/>
      <c r="O129" s="66">
        <f t="shared" si="91"/>
        <v>0</v>
      </c>
      <c r="P129" s="33">
        <f t="shared" si="92"/>
        <v>0</v>
      </c>
      <c r="Q129" s="44" t="e">
        <f t="shared" si="100"/>
        <v>#VALUE!</v>
      </c>
      <c r="R129" s="45">
        <f t="shared" si="5"/>
        <v>0</v>
      </c>
      <c r="S129" s="45">
        <f t="shared" si="6"/>
        <v>0</v>
      </c>
      <c r="T129" s="46" t="e">
        <f t="shared" si="93"/>
        <v>#VALUE!</v>
      </c>
      <c r="U129" s="47" t="e">
        <f t="shared" si="101"/>
        <v>#VALUE!</v>
      </c>
      <c r="V129" s="48">
        <f t="shared" si="94"/>
        <v>0</v>
      </c>
      <c r="W129" s="48">
        <f t="shared" si="95"/>
        <v>0</v>
      </c>
      <c r="X129" s="49" t="e">
        <f t="shared" si="96"/>
        <v>#VALUE!</v>
      </c>
    </row>
    <row r="130" spans="1:24" x14ac:dyDescent="0.35">
      <c r="A130" s="71"/>
      <c r="B130" s="40"/>
      <c r="C130" s="125"/>
      <c r="D130" s="125"/>
      <c r="E130" s="68"/>
      <c r="F130" s="68"/>
      <c r="G130" s="68"/>
      <c r="H130" s="124"/>
      <c r="I130" s="68"/>
      <c r="J130" s="68"/>
      <c r="K130" s="68"/>
      <c r="L130" s="124">
        <f t="shared" si="99"/>
        <v>0</v>
      </c>
      <c r="M130" s="138">
        <f t="shared" si="102"/>
        <v>0</v>
      </c>
      <c r="N130" s="42"/>
      <c r="O130" s="66">
        <f t="shared" si="91"/>
        <v>0</v>
      </c>
      <c r="P130" s="33">
        <f t="shared" si="92"/>
        <v>0</v>
      </c>
      <c r="Q130" s="44" t="e">
        <f t="shared" si="100"/>
        <v>#VALUE!</v>
      </c>
      <c r="R130" s="45">
        <f t="shared" si="5"/>
        <v>0</v>
      </c>
      <c r="S130" s="45">
        <f t="shared" si="6"/>
        <v>0</v>
      </c>
      <c r="T130" s="46" t="e">
        <f t="shared" si="93"/>
        <v>#VALUE!</v>
      </c>
      <c r="U130" s="47" t="e">
        <f t="shared" si="101"/>
        <v>#VALUE!</v>
      </c>
      <c r="V130" s="48">
        <f t="shared" si="94"/>
        <v>0</v>
      </c>
      <c r="W130" s="48">
        <f t="shared" si="95"/>
        <v>0</v>
      </c>
      <c r="X130" s="49" t="e">
        <f t="shared" si="96"/>
        <v>#VALUE!</v>
      </c>
    </row>
    <row r="131" spans="1:24" x14ac:dyDescent="0.35">
      <c r="A131" s="71"/>
      <c r="B131" s="40"/>
      <c r="C131" s="125"/>
      <c r="D131" s="125"/>
      <c r="E131" s="68"/>
      <c r="F131" s="68"/>
      <c r="G131" s="68"/>
      <c r="H131" s="124"/>
      <c r="I131" s="68"/>
      <c r="J131" s="68"/>
      <c r="K131" s="68"/>
      <c r="L131" s="124">
        <f t="shared" si="99"/>
        <v>0</v>
      </c>
      <c r="M131" s="138">
        <f t="shared" si="102"/>
        <v>0</v>
      </c>
      <c r="N131" s="42"/>
      <c r="O131" s="66">
        <f t="shared" si="91"/>
        <v>0</v>
      </c>
      <c r="P131" s="33">
        <f t="shared" si="92"/>
        <v>0</v>
      </c>
      <c r="Q131" s="44" t="e">
        <f t="shared" si="100"/>
        <v>#VALUE!</v>
      </c>
      <c r="R131" s="45">
        <f t="shared" si="5"/>
        <v>0</v>
      </c>
      <c r="S131" s="45">
        <f t="shared" si="6"/>
        <v>0</v>
      </c>
      <c r="T131" s="46" t="e">
        <f t="shared" si="93"/>
        <v>#VALUE!</v>
      </c>
      <c r="U131" s="47" t="e">
        <f t="shared" si="101"/>
        <v>#VALUE!</v>
      </c>
      <c r="V131" s="48">
        <f t="shared" si="94"/>
        <v>0</v>
      </c>
      <c r="W131" s="48">
        <f t="shared" si="95"/>
        <v>0</v>
      </c>
      <c r="X131" s="49" t="e">
        <f t="shared" si="96"/>
        <v>#VALUE!</v>
      </c>
    </row>
    <row r="132" spans="1:24" x14ac:dyDescent="0.35">
      <c r="A132" s="71"/>
      <c r="B132" s="40"/>
      <c r="C132" s="125"/>
      <c r="D132" s="125"/>
      <c r="E132" s="68"/>
      <c r="F132" s="68"/>
      <c r="G132" s="68"/>
      <c r="H132" s="124"/>
      <c r="I132" s="68"/>
      <c r="J132" s="68"/>
      <c r="K132" s="68"/>
      <c r="L132" s="124">
        <f t="shared" si="99"/>
        <v>0</v>
      </c>
      <c r="M132" s="138">
        <f t="shared" si="102"/>
        <v>0</v>
      </c>
      <c r="N132" s="42"/>
      <c r="O132" s="66">
        <f t="shared" si="91"/>
        <v>0</v>
      </c>
      <c r="P132" s="33">
        <f t="shared" si="92"/>
        <v>0</v>
      </c>
      <c r="Q132" s="44" t="e">
        <f t="shared" si="100"/>
        <v>#VALUE!</v>
      </c>
      <c r="R132" s="45">
        <f t="shared" si="5"/>
        <v>0</v>
      </c>
      <c r="S132" s="45">
        <f t="shared" si="6"/>
        <v>0</v>
      </c>
      <c r="T132" s="46" t="e">
        <f t="shared" si="93"/>
        <v>#VALUE!</v>
      </c>
      <c r="U132" s="47" t="e">
        <f t="shared" si="101"/>
        <v>#VALUE!</v>
      </c>
      <c r="V132" s="48">
        <f t="shared" si="94"/>
        <v>0</v>
      </c>
      <c r="W132" s="48">
        <f t="shared" si="95"/>
        <v>0</v>
      </c>
      <c r="X132" s="49" t="e">
        <f t="shared" si="96"/>
        <v>#VALUE!</v>
      </c>
    </row>
    <row r="133" spans="1:24" x14ac:dyDescent="0.35">
      <c r="A133" s="71"/>
      <c r="B133" s="40"/>
      <c r="C133" s="125"/>
      <c r="D133" s="125"/>
      <c r="E133" s="68"/>
      <c r="F133" s="68"/>
      <c r="G133" s="68"/>
      <c r="H133" s="124"/>
      <c r="I133" s="68"/>
      <c r="J133" s="68"/>
      <c r="K133" s="68"/>
      <c r="L133" s="124">
        <f t="shared" si="99"/>
        <v>0</v>
      </c>
      <c r="M133" s="138">
        <f t="shared" si="102"/>
        <v>0</v>
      </c>
      <c r="N133" s="42"/>
      <c r="O133" s="66">
        <f t="shared" si="91"/>
        <v>0</v>
      </c>
      <c r="P133" s="33">
        <f t="shared" si="92"/>
        <v>0</v>
      </c>
      <c r="Q133" s="44" t="e">
        <f t="shared" si="100"/>
        <v>#VALUE!</v>
      </c>
      <c r="R133" s="45">
        <f t="shared" si="5"/>
        <v>0</v>
      </c>
      <c r="S133" s="45">
        <f t="shared" si="6"/>
        <v>0</v>
      </c>
      <c r="T133" s="46" t="e">
        <f t="shared" si="93"/>
        <v>#VALUE!</v>
      </c>
      <c r="U133" s="47" t="e">
        <f t="shared" si="101"/>
        <v>#VALUE!</v>
      </c>
      <c r="V133" s="48">
        <f t="shared" si="94"/>
        <v>0</v>
      </c>
      <c r="W133" s="48">
        <f t="shared" si="95"/>
        <v>0</v>
      </c>
      <c r="X133" s="49" t="e">
        <f t="shared" si="96"/>
        <v>#VALUE!</v>
      </c>
    </row>
    <row r="134" spans="1:24" x14ac:dyDescent="0.35">
      <c r="A134" s="71"/>
      <c r="B134" s="40"/>
      <c r="C134" s="125"/>
      <c r="D134" s="125"/>
      <c r="E134" s="68"/>
      <c r="F134" s="68"/>
      <c r="G134" s="68"/>
      <c r="H134" s="124"/>
      <c r="I134" s="68"/>
      <c r="J134" s="68"/>
      <c r="K134" s="68"/>
      <c r="L134" s="124">
        <f t="shared" si="99"/>
        <v>0</v>
      </c>
      <c r="M134" s="138">
        <f t="shared" si="102"/>
        <v>0</v>
      </c>
      <c r="N134" s="42"/>
      <c r="O134" s="66">
        <f t="shared" si="91"/>
        <v>0</v>
      </c>
      <c r="P134" s="33">
        <f t="shared" si="92"/>
        <v>0</v>
      </c>
      <c r="Q134" s="44" t="e">
        <f t="shared" si="100"/>
        <v>#VALUE!</v>
      </c>
      <c r="R134" s="45">
        <f t="shared" si="5"/>
        <v>0</v>
      </c>
      <c r="S134" s="45">
        <f t="shared" si="6"/>
        <v>0</v>
      </c>
      <c r="T134" s="46" t="e">
        <f t="shared" si="93"/>
        <v>#VALUE!</v>
      </c>
      <c r="U134" s="47" t="e">
        <f t="shared" si="101"/>
        <v>#VALUE!</v>
      </c>
      <c r="V134" s="48">
        <f t="shared" si="94"/>
        <v>0</v>
      </c>
      <c r="W134" s="48">
        <f t="shared" si="95"/>
        <v>0</v>
      </c>
      <c r="X134" s="49" t="e">
        <f t="shared" si="96"/>
        <v>#VALUE!</v>
      </c>
    </row>
    <row r="135" spans="1:24" x14ac:dyDescent="0.35">
      <c r="A135" s="71"/>
      <c r="B135" s="152" t="s">
        <v>11</v>
      </c>
      <c r="C135" s="152"/>
      <c r="D135" s="135"/>
      <c r="E135" s="140">
        <f>SUM(E6:E63)</f>
        <v>0</v>
      </c>
      <c r="F135" s="140">
        <f>SUM(F6:F63)</f>
        <v>1261</v>
      </c>
      <c r="G135" s="140">
        <f>SUM(G6:G63)</f>
        <v>990</v>
      </c>
      <c r="H135" s="140">
        <f>SUM(H6:H63)</f>
        <v>2571</v>
      </c>
      <c r="I135" s="140">
        <f>SUM(I6:I63)</f>
        <v>2155</v>
      </c>
      <c r="J135" s="140">
        <f>SUM(J6:J63)</f>
        <v>2637</v>
      </c>
      <c r="K135" s="140">
        <f>SUM(K6:K63)</f>
        <v>3160</v>
      </c>
      <c r="L135" s="124">
        <f t="shared" ref="L135" si="103">SUM(E135:K135)/40</f>
        <v>319.35000000000002</v>
      </c>
      <c r="M135" s="138">
        <f t="shared" si="102"/>
        <v>0</v>
      </c>
      <c r="N135" s="42"/>
      <c r="O135" s="66">
        <f t="shared" ref="O135:O139" si="104">SUM(F135:H135)/20</f>
        <v>241.1</v>
      </c>
      <c r="P135" s="33">
        <f t="shared" ref="P135:P139" si="105">SUM(I135:K135)/20</f>
        <v>397.6</v>
      </c>
      <c r="Q135" s="44" t="e">
        <f t="shared" si="100"/>
        <v>#VALUE!</v>
      </c>
      <c r="R135" s="45">
        <f t="shared" si="5"/>
        <v>0</v>
      </c>
      <c r="S135" s="45">
        <f t="shared" si="6"/>
        <v>0</v>
      </c>
      <c r="T135" s="46" t="e">
        <f t="shared" si="15"/>
        <v>#VALUE!</v>
      </c>
      <c r="U135" s="47" t="e">
        <f t="shared" si="101"/>
        <v>#VALUE!</v>
      </c>
      <c r="V135" s="48">
        <f t="shared" ref="V135:V139" si="106">SUM(F135:H135)*$V$3</f>
        <v>0</v>
      </c>
      <c r="W135" s="48">
        <f t="shared" ref="W135:W139" si="107">SUM(I135:K135)*$W$3</f>
        <v>0</v>
      </c>
      <c r="X135" s="49" t="e">
        <f t="shared" si="34"/>
        <v>#VALUE!</v>
      </c>
    </row>
    <row r="136" spans="1:24" x14ac:dyDescent="0.35">
      <c r="A136" s="71"/>
      <c r="B136" s="99">
        <v>0</v>
      </c>
      <c r="C136" s="50" t="s">
        <v>67</v>
      </c>
      <c r="D136" s="119"/>
      <c r="E136" s="100"/>
      <c r="F136" s="101"/>
      <c r="G136" s="101"/>
      <c r="H136" s="102"/>
      <c r="I136" s="101"/>
      <c r="J136" s="101"/>
      <c r="K136" s="102"/>
      <c r="L136" s="103">
        <f>SUM(E136:K136)</f>
        <v>0</v>
      </c>
      <c r="M136" s="32"/>
      <c r="N136" s="42"/>
      <c r="O136" s="66"/>
      <c r="P136" s="33"/>
      <c r="Q136" s="44"/>
      <c r="R136" s="45"/>
      <c r="S136" s="45"/>
      <c r="T136" s="46"/>
      <c r="U136" s="47"/>
      <c r="V136" s="48"/>
      <c r="W136" s="48"/>
      <c r="X136" s="49"/>
    </row>
    <row r="137" spans="1:24" x14ac:dyDescent="0.35">
      <c r="A137" s="71"/>
      <c r="B137" s="40">
        <v>1</v>
      </c>
      <c r="C137" s="50" t="s">
        <v>31</v>
      </c>
      <c r="D137" s="119"/>
      <c r="E137" s="67"/>
      <c r="F137" s="43"/>
      <c r="G137" s="68"/>
      <c r="H137" s="42"/>
      <c r="I137" s="43"/>
      <c r="J137" s="68"/>
      <c r="K137" s="69"/>
      <c r="L137" s="41">
        <f>SUM(E137:K137)/40</f>
        <v>0</v>
      </c>
      <c r="M137" s="32">
        <f>SUMPRODUCT($E$4:$K$4,$E$6:$K$6)</f>
        <v>0</v>
      </c>
      <c r="N137" s="42">
        <f>SUMPRODUCT($E$3:$K$3,$E$6:$K$6)/1000</f>
        <v>3.5513000000000003</v>
      </c>
      <c r="O137" s="66">
        <f t="shared" si="104"/>
        <v>0</v>
      </c>
      <c r="P137" s="33">
        <f t="shared" si="105"/>
        <v>0</v>
      </c>
      <c r="Q137" s="44" t="e">
        <f>SUMPRODUCT($E$4:$E$4,$E$6:$E$6)*$Q$3</f>
        <v>#VALUE!</v>
      </c>
      <c r="R137" s="45">
        <f t="shared" si="5"/>
        <v>0</v>
      </c>
      <c r="S137" s="45">
        <f t="shared" si="6"/>
        <v>0</v>
      </c>
      <c r="T137" s="46" t="e">
        <f t="shared" si="15"/>
        <v>#VALUE!</v>
      </c>
      <c r="U137" s="47" t="e">
        <f>SUM(E137:E137)*$U$3</f>
        <v>#VALUE!</v>
      </c>
      <c r="V137" s="48">
        <f t="shared" si="106"/>
        <v>0</v>
      </c>
      <c r="W137" s="48">
        <f t="shared" si="107"/>
        <v>0</v>
      </c>
      <c r="X137" s="49" t="e">
        <f t="shared" si="16"/>
        <v>#VALUE!</v>
      </c>
    </row>
    <row r="138" spans="1:24" x14ac:dyDescent="0.35">
      <c r="B138" s="40">
        <v>2</v>
      </c>
      <c r="C138" s="50" t="s">
        <v>24</v>
      </c>
      <c r="D138" s="119"/>
      <c r="E138" s="67"/>
      <c r="F138" s="43"/>
      <c r="G138" s="68"/>
      <c r="H138" s="42"/>
      <c r="I138" s="43"/>
      <c r="J138" s="68"/>
      <c r="K138" s="69"/>
      <c r="L138" s="41">
        <f>SUM(E138:K138)/40</f>
        <v>0</v>
      </c>
      <c r="M138" s="32">
        <f>SUMPRODUCT($E$4:$K$4,$E$6:$K$6)</f>
        <v>0</v>
      </c>
      <c r="N138" s="42">
        <f>SUMPRODUCT($E$3:$K$3,$E$6:$K$6)/1000</f>
        <v>3.5513000000000003</v>
      </c>
      <c r="O138" s="66">
        <f t="shared" si="104"/>
        <v>0</v>
      </c>
      <c r="P138" s="33">
        <f t="shared" si="105"/>
        <v>0</v>
      </c>
      <c r="Q138" s="44" t="e">
        <f>SUMPRODUCT($E$4:$E$4,$E$6:$E$6)*$Q$3</f>
        <v>#VALUE!</v>
      </c>
      <c r="R138" s="45">
        <f t="shared" si="5"/>
        <v>0</v>
      </c>
      <c r="S138" s="45">
        <f t="shared" si="6"/>
        <v>0</v>
      </c>
      <c r="T138" s="46" t="e">
        <f t="shared" si="15"/>
        <v>#VALUE!</v>
      </c>
      <c r="U138" s="47" t="e">
        <f>SUM(E138:E138)*$U$3</f>
        <v>#VALUE!</v>
      </c>
      <c r="V138" s="48">
        <f t="shared" si="106"/>
        <v>0</v>
      </c>
      <c r="W138" s="48">
        <f t="shared" si="107"/>
        <v>0</v>
      </c>
      <c r="X138" s="49" t="e">
        <f t="shared" si="16"/>
        <v>#VALUE!</v>
      </c>
    </row>
    <row r="139" spans="1:24" ht="15" thickBot="1" x14ac:dyDescent="0.4">
      <c r="B139" s="164" t="s">
        <v>68</v>
      </c>
      <c r="C139" s="165"/>
      <c r="D139" s="128"/>
      <c r="E139" s="76">
        <f>SUM(E137:E138)</f>
        <v>0</v>
      </c>
      <c r="F139" s="76">
        <f t="shared" ref="F139:K139" si="108">SUM(F137:F138)</f>
        <v>0</v>
      </c>
      <c r="G139" s="76">
        <f t="shared" si="108"/>
        <v>0</v>
      </c>
      <c r="H139" s="76">
        <f t="shared" si="108"/>
        <v>0</v>
      </c>
      <c r="I139" s="76">
        <f t="shared" si="108"/>
        <v>0</v>
      </c>
      <c r="J139" s="76">
        <f t="shared" si="108"/>
        <v>0</v>
      </c>
      <c r="K139" s="76">
        <f t="shared" si="108"/>
        <v>0</v>
      </c>
      <c r="L139" s="104">
        <f>SUM(L136:L138)</f>
        <v>0</v>
      </c>
      <c r="M139" s="52">
        <f>SUMPRODUCT($E$4:$K$4,$E$6:$K$6)</f>
        <v>0</v>
      </c>
      <c r="N139" s="51">
        <f>SUMPRODUCT($E$3:$K$3,$E$6:$K$6)/1000</f>
        <v>3.5513000000000003</v>
      </c>
      <c r="O139" s="66">
        <f t="shared" si="104"/>
        <v>0</v>
      </c>
      <c r="P139" s="33">
        <f t="shared" si="105"/>
        <v>0</v>
      </c>
      <c r="Q139" s="44" t="e">
        <f>SUMPRODUCT($E$4:$E$4,$E$6:$E$6)*$Q$3</f>
        <v>#VALUE!</v>
      </c>
      <c r="R139" s="45">
        <f t="shared" si="5"/>
        <v>0</v>
      </c>
      <c r="S139" s="45">
        <f t="shared" si="6"/>
        <v>0</v>
      </c>
      <c r="T139" s="46" t="e">
        <f t="shared" si="15"/>
        <v>#VALUE!</v>
      </c>
      <c r="U139" s="47" t="e">
        <f>SUM(E139:E139)*$U$3</f>
        <v>#VALUE!</v>
      </c>
      <c r="V139" s="48">
        <f t="shared" si="106"/>
        <v>0</v>
      </c>
      <c r="W139" s="48">
        <f t="shared" si="107"/>
        <v>0</v>
      </c>
      <c r="X139" s="49" t="e">
        <f t="shared" si="16"/>
        <v>#VALUE!</v>
      </c>
    </row>
    <row r="140" spans="1:24" ht="15" thickBot="1" x14ac:dyDescent="0.4">
      <c r="B140" s="153" t="s">
        <v>11</v>
      </c>
      <c r="C140" s="154"/>
      <c r="D140" s="129"/>
      <c r="E140" s="77">
        <f>SUM(E135,E139)</f>
        <v>0</v>
      </c>
      <c r="F140" s="77">
        <f t="shared" ref="F140:K140" si="109">SUM(F135,F139)</f>
        <v>1261</v>
      </c>
      <c r="G140" s="77">
        <f t="shared" si="109"/>
        <v>990</v>
      </c>
      <c r="H140" s="77">
        <f t="shared" si="109"/>
        <v>2571</v>
      </c>
      <c r="I140" s="77">
        <f t="shared" si="109"/>
        <v>2155</v>
      </c>
      <c r="J140" s="77">
        <f t="shared" si="109"/>
        <v>2637</v>
      </c>
      <c r="K140" s="77">
        <f t="shared" si="109"/>
        <v>3160</v>
      </c>
      <c r="L140" s="53">
        <f>SUM(E140:K140)/40</f>
        <v>319.35000000000002</v>
      </c>
      <c r="M140" s="56">
        <f>SUM(M5:M139)</f>
        <v>784</v>
      </c>
      <c r="N140" s="54">
        <f t="shared" ref="N140:X140" si="110">SUM(N5:N139)</f>
        <v>10.6539</v>
      </c>
      <c r="O140" s="55">
        <f t="shared" si="110"/>
        <v>485.7</v>
      </c>
      <c r="P140" s="57">
        <f t="shared" si="110"/>
        <v>797.2</v>
      </c>
      <c r="Q140" s="58" t="e">
        <f t="shared" si="110"/>
        <v>#VALUE!</v>
      </c>
      <c r="R140" s="59">
        <f t="shared" si="110"/>
        <v>0</v>
      </c>
      <c r="S140" s="59">
        <f t="shared" si="110"/>
        <v>0</v>
      </c>
      <c r="T140" s="60" t="e">
        <f t="shared" si="110"/>
        <v>#VALUE!</v>
      </c>
      <c r="U140" s="61" t="e">
        <f t="shared" si="110"/>
        <v>#VALUE!</v>
      </c>
      <c r="V140" s="62">
        <f t="shared" si="110"/>
        <v>0</v>
      </c>
      <c r="W140" s="62">
        <f t="shared" si="110"/>
        <v>0</v>
      </c>
      <c r="X140" s="63" t="e">
        <f t="shared" si="110"/>
        <v>#VALUE!</v>
      </c>
    </row>
  </sheetData>
  <mergeCells count="11">
    <mergeCell ref="B140:C140"/>
    <mergeCell ref="L2:N2"/>
    <mergeCell ref="O2:P2"/>
    <mergeCell ref="L3:N3"/>
    <mergeCell ref="A2:A4"/>
    <mergeCell ref="B139:C139"/>
    <mergeCell ref="B1:E1"/>
    <mergeCell ref="B2:B4"/>
    <mergeCell ref="Q3:T3"/>
    <mergeCell ref="U3:X3"/>
    <mergeCell ref="B135:C135"/>
  </mergeCells>
  <conditionalFormatting sqref="C48:D62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Z29"/>
  <sheetViews>
    <sheetView tabSelected="1" zoomScale="115" zoomScaleNormal="115" workbookViewId="0">
      <selection activeCell="H8" sqref="H8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5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hidden="1" customWidth="1"/>
    <col min="16" max="16" width="15.6328125" hidden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68" t="s">
        <v>88</v>
      </c>
      <c r="D3" s="169"/>
      <c r="E3" s="169"/>
      <c r="F3" s="169"/>
      <c r="G3" s="170"/>
      <c r="H3" s="172" t="s">
        <v>60</v>
      </c>
      <c r="I3" s="173"/>
      <c r="K3" s="174" t="s">
        <v>64</v>
      </c>
      <c r="L3" s="174"/>
      <c r="M3" s="174"/>
      <c r="N3" s="174"/>
      <c r="O3" s="174"/>
      <c r="P3" s="174"/>
    </row>
    <row r="4" spans="3:26" ht="29.5" customHeight="1" x14ac:dyDescent="0.55000000000000004">
      <c r="C4" s="91"/>
      <c r="D4" s="73" t="s">
        <v>44</v>
      </c>
      <c r="E4" s="73" t="s">
        <v>45</v>
      </c>
      <c r="F4" s="73" t="s">
        <v>56</v>
      </c>
      <c r="G4" s="92" t="s">
        <v>46</v>
      </c>
      <c r="H4" s="85" t="s">
        <v>60</v>
      </c>
      <c r="I4" s="86" t="s">
        <v>61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65</v>
      </c>
      <c r="P4" s="123" t="s">
        <v>86</v>
      </c>
    </row>
    <row r="5" spans="3:26" ht="32" customHeight="1" x14ac:dyDescent="0.55000000000000004">
      <c r="C5" s="93" t="s">
        <v>47</v>
      </c>
      <c r="D5" s="80">
        <v>159</v>
      </c>
      <c r="E5" s="72">
        <v>232</v>
      </c>
      <c r="F5" s="72">
        <v>90</v>
      </c>
      <c r="G5" s="94">
        <f>SUM(D5:F5)</f>
        <v>481</v>
      </c>
      <c r="H5" s="87">
        <v>10000</v>
      </c>
      <c r="I5" s="88">
        <f>G5-H5</f>
        <v>-9519</v>
      </c>
      <c r="K5" s="132" t="s">
        <v>1</v>
      </c>
      <c r="L5" s="7">
        <v>70</v>
      </c>
      <c r="M5" s="5">
        <v>12766</v>
      </c>
      <c r="N5" s="6">
        <f t="shared" ref="N5:N11" si="0">M5/40</f>
        <v>319.14999999999998</v>
      </c>
      <c r="O5" s="74"/>
      <c r="P5" s="133"/>
      <c r="Q5">
        <v>267.20999999999998</v>
      </c>
      <c r="R5" s="141">
        <f>N5-Q5</f>
        <v>51.94</v>
      </c>
    </row>
    <row r="6" spans="3:26" ht="32" customHeight="1" thickBot="1" x14ac:dyDescent="0.6">
      <c r="C6" s="95" t="s">
        <v>48</v>
      </c>
      <c r="D6" s="96">
        <f>D5*40</f>
        <v>6360</v>
      </c>
      <c r="E6" s="96">
        <f t="shared" ref="E6:F6" si="1">E5*40</f>
        <v>9280</v>
      </c>
      <c r="F6" s="96">
        <f t="shared" si="1"/>
        <v>3600</v>
      </c>
      <c r="G6" s="97">
        <f>SUM(D6:F6)</f>
        <v>19240</v>
      </c>
      <c r="H6" s="89">
        <f>H5*40</f>
        <v>400000</v>
      </c>
      <c r="I6" s="90">
        <f>G6-H6</f>
        <v>-380760</v>
      </c>
      <c r="K6" s="132" t="s">
        <v>2</v>
      </c>
      <c r="L6" s="7">
        <v>70</v>
      </c>
      <c r="M6" s="5">
        <v>13501</v>
      </c>
      <c r="N6" s="6">
        <f t="shared" si="0"/>
        <v>337.52499999999998</v>
      </c>
      <c r="O6" s="74"/>
      <c r="P6" s="133"/>
      <c r="Q6">
        <v>174.27</v>
      </c>
      <c r="R6" s="141">
        <f t="shared" ref="R6:R10" si="2">N6-Q6</f>
        <v>163.25499999999997</v>
      </c>
      <c r="S6" s="116"/>
      <c r="T6" s="116"/>
      <c r="U6" s="122">
        <v>46180</v>
      </c>
      <c r="V6" s="122">
        <v>46180</v>
      </c>
      <c r="W6" s="122">
        <v>46333</v>
      </c>
      <c r="X6" s="122">
        <v>46210</v>
      </c>
      <c r="Y6" s="122">
        <v>46210</v>
      </c>
    </row>
    <row r="7" spans="3:26" ht="32" customHeight="1" x14ac:dyDescent="0.55000000000000004">
      <c r="C7" s="78"/>
      <c r="K7" s="132" t="s">
        <v>3</v>
      </c>
      <c r="L7" s="7">
        <v>70</v>
      </c>
      <c r="M7" s="5">
        <v>12038</v>
      </c>
      <c r="N7" s="6">
        <f t="shared" si="0"/>
        <v>300.95</v>
      </c>
      <c r="O7" s="74"/>
      <c r="P7" s="133"/>
      <c r="Q7">
        <v>76.239999999999995</v>
      </c>
      <c r="R7" s="141">
        <f t="shared" si="2"/>
        <v>224.70999999999998</v>
      </c>
      <c r="S7" s="121" t="s">
        <v>85</v>
      </c>
      <c r="T7" s="121" t="s">
        <v>84</v>
      </c>
      <c r="U7" s="70" t="s">
        <v>78</v>
      </c>
      <c r="V7" s="121" t="s">
        <v>82</v>
      </c>
      <c r="W7" s="121" t="s">
        <v>81</v>
      </c>
      <c r="X7" s="121" t="s">
        <v>81</v>
      </c>
      <c r="Y7" s="121" t="s">
        <v>81</v>
      </c>
      <c r="Z7" s="121" t="s">
        <v>83</v>
      </c>
    </row>
    <row r="8" spans="3:26" ht="23.5" x14ac:dyDescent="0.55000000000000004">
      <c r="C8" s="75" t="s">
        <v>49</v>
      </c>
      <c r="K8" s="132" t="s">
        <v>4</v>
      </c>
      <c r="L8" s="7">
        <v>120</v>
      </c>
      <c r="M8" s="5">
        <v>9642</v>
      </c>
      <c r="N8" s="6">
        <f t="shared" si="0"/>
        <v>241.05</v>
      </c>
      <c r="O8" s="74">
        <v>50</v>
      </c>
      <c r="P8" s="133"/>
      <c r="Q8">
        <v>84.3</v>
      </c>
      <c r="R8" s="141">
        <f t="shared" si="2"/>
        <v>156.75</v>
      </c>
      <c r="S8" s="72">
        <v>120</v>
      </c>
      <c r="T8" s="72" t="s">
        <v>77</v>
      </c>
      <c r="U8" s="120">
        <v>50</v>
      </c>
      <c r="V8" s="72">
        <v>3</v>
      </c>
      <c r="W8" s="72">
        <v>1</v>
      </c>
      <c r="X8" s="72">
        <v>20</v>
      </c>
      <c r="Y8" s="72"/>
      <c r="Z8" s="72">
        <f>SUM(U8:Y8)</f>
        <v>74</v>
      </c>
    </row>
    <row r="9" spans="3:26" ht="23.5" x14ac:dyDescent="0.55000000000000004">
      <c r="C9" s="75" t="s">
        <v>50</v>
      </c>
      <c r="D9" s="98">
        <f>D8-D5</f>
        <v>-159</v>
      </c>
      <c r="E9" s="98">
        <f>E8-E5</f>
        <v>-232</v>
      </c>
      <c r="K9" s="132" t="s">
        <v>5</v>
      </c>
      <c r="L9" s="7">
        <v>120</v>
      </c>
      <c r="M9" s="5">
        <v>10707</v>
      </c>
      <c r="N9" s="6">
        <f t="shared" si="0"/>
        <v>267.67500000000001</v>
      </c>
      <c r="O9" s="74">
        <v>23</v>
      </c>
      <c r="P9" s="133"/>
      <c r="Q9">
        <v>109.17</v>
      </c>
      <c r="R9" s="141">
        <f t="shared" si="2"/>
        <v>158.505</v>
      </c>
      <c r="S9" s="72">
        <v>120</v>
      </c>
      <c r="T9" s="72" t="s">
        <v>22</v>
      </c>
      <c r="U9" s="120">
        <v>50</v>
      </c>
      <c r="V9" s="72">
        <v>3</v>
      </c>
      <c r="W9" s="72">
        <v>1</v>
      </c>
      <c r="X9" s="72">
        <v>25</v>
      </c>
      <c r="Y9" s="72">
        <v>1</v>
      </c>
      <c r="Z9" s="72">
        <f t="shared" ref="Z9:Z13" si="3">SUM(U9:Y9)</f>
        <v>80</v>
      </c>
    </row>
    <row r="10" spans="3:26" ht="23.5" x14ac:dyDescent="0.55000000000000004">
      <c r="K10" s="132" t="s">
        <v>6</v>
      </c>
      <c r="L10" s="7">
        <v>120</v>
      </c>
      <c r="M10" s="5">
        <v>10700</v>
      </c>
      <c r="N10" s="6">
        <f t="shared" si="0"/>
        <v>267.5</v>
      </c>
      <c r="O10" s="74"/>
      <c r="P10" s="133"/>
      <c r="Q10">
        <v>198.35</v>
      </c>
      <c r="R10" s="141">
        <f t="shared" si="2"/>
        <v>69.150000000000006</v>
      </c>
      <c r="S10" s="72">
        <v>120</v>
      </c>
      <c r="T10" s="72" t="s">
        <v>79</v>
      </c>
      <c r="U10" s="120"/>
      <c r="V10" s="72">
        <v>3</v>
      </c>
      <c r="W10" s="72">
        <v>1</v>
      </c>
      <c r="X10" s="72">
        <v>20</v>
      </c>
      <c r="Y10" s="72"/>
      <c r="Z10" s="72">
        <f t="shared" si="3"/>
        <v>24</v>
      </c>
    </row>
    <row r="11" spans="3:26" ht="23.5" x14ac:dyDescent="0.55000000000000004">
      <c r="C11" s="171" t="s">
        <v>57</v>
      </c>
      <c r="D11" s="171"/>
      <c r="F11" s="171" t="s">
        <v>66</v>
      </c>
      <c r="G11" s="171"/>
      <c r="K11" s="132" t="s">
        <v>7</v>
      </c>
      <c r="L11" s="7">
        <v>60</v>
      </c>
      <c r="M11" s="5">
        <v>8</v>
      </c>
      <c r="N11" s="6">
        <f t="shared" si="0"/>
        <v>0.2</v>
      </c>
      <c r="O11" s="74">
        <v>125</v>
      </c>
      <c r="P11" s="133">
        <v>4</v>
      </c>
      <c r="S11" s="72">
        <v>70</v>
      </c>
      <c r="T11" s="72" t="s">
        <v>77</v>
      </c>
      <c r="U11" s="120"/>
      <c r="V11" s="72"/>
      <c r="W11" s="72"/>
      <c r="X11" s="72">
        <v>6</v>
      </c>
      <c r="Y11" s="72">
        <v>1</v>
      </c>
      <c r="Z11" s="72">
        <f t="shared" si="3"/>
        <v>7</v>
      </c>
    </row>
    <row r="12" spans="3:26" ht="23.5" x14ac:dyDescent="0.55000000000000004">
      <c r="C12" s="81" t="s">
        <v>47</v>
      </c>
      <c r="D12" s="79">
        <v>4200</v>
      </c>
      <c r="F12" s="81" t="s">
        <v>47</v>
      </c>
      <c r="G12" s="83">
        <f>D12+G5</f>
        <v>4681</v>
      </c>
      <c r="K12" s="132" t="s">
        <v>11</v>
      </c>
      <c r="L12" s="74"/>
      <c r="M12" s="8">
        <f>SUM(M5:M11)</f>
        <v>69362</v>
      </c>
      <c r="N12" s="9">
        <f>SUM(N5:N11)</f>
        <v>1734.05</v>
      </c>
      <c r="O12" s="9">
        <f>SUM(O5:O11)</f>
        <v>198</v>
      </c>
      <c r="P12" s="133"/>
      <c r="S12" s="72">
        <v>70</v>
      </c>
      <c r="T12" s="72" t="s">
        <v>80</v>
      </c>
      <c r="U12" s="120"/>
      <c r="V12" s="72"/>
      <c r="W12" s="72"/>
      <c r="X12" s="72">
        <v>6</v>
      </c>
      <c r="Y12" s="72">
        <v>1</v>
      </c>
      <c r="Z12" s="72">
        <f t="shared" si="3"/>
        <v>7</v>
      </c>
    </row>
    <row r="13" spans="3:26" ht="18.5" x14ac:dyDescent="0.35">
      <c r="C13" s="82" t="s">
        <v>48</v>
      </c>
      <c r="D13" s="83">
        <f>D12*40</f>
        <v>168000</v>
      </c>
      <c r="F13" s="82" t="s">
        <v>48</v>
      </c>
      <c r="G13" s="83">
        <f>G12*40</f>
        <v>187240</v>
      </c>
      <c r="S13" s="166" t="s">
        <v>83</v>
      </c>
      <c r="T13" s="166"/>
      <c r="U13" s="120">
        <f>SUM(U8:U12)</f>
        <v>100</v>
      </c>
      <c r="V13" s="72">
        <f t="shared" ref="V13:Y13" si="4">SUM(V8:V12)</f>
        <v>9</v>
      </c>
      <c r="W13" s="72">
        <f t="shared" si="4"/>
        <v>3</v>
      </c>
      <c r="X13" s="72">
        <f t="shared" si="4"/>
        <v>77</v>
      </c>
      <c r="Y13" s="72">
        <f t="shared" si="4"/>
        <v>3</v>
      </c>
      <c r="Z13" s="5">
        <f t="shared" si="3"/>
        <v>192</v>
      </c>
    </row>
    <row r="16" spans="3:26" ht="24" thickBot="1" x14ac:dyDescent="0.6">
      <c r="K16" s="109" t="s">
        <v>72</v>
      </c>
      <c r="L16" s="109" t="s">
        <v>8</v>
      </c>
      <c r="M16" s="109" t="s">
        <v>59</v>
      </c>
      <c r="N16" s="109" t="s">
        <v>71</v>
      </c>
      <c r="O16" s="109" t="s">
        <v>73</v>
      </c>
    </row>
    <row r="17" spans="4:19" ht="23.5" x14ac:dyDescent="0.55000000000000004">
      <c r="K17" s="105" t="s">
        <v>1</v>
      </c>
      <c r="L17" s="107">
        <v>70</v>
      </c>
      <c r="M17" s="106"/>
      <c r="N17" s="113"/>
      <c r="O17" s="114">
        <f>N17-M5</f>
        <v>-12766</v>
      </c>
      <c r="R17">
        <v>51.94</v>
      </c>
      <c r="S17" t="s">
        <v>136</v>
      </c>
    </row>
    <row r="18" spans="4:19" ht="23.5" x14ac:dyDescent="0.55000000000000004">
      <c r="K18" s="1" t="s">
        <v>2</v>
      </c>
      <c r="L18" s="108">
        <v>70</v>
      </c>
      <c r="M18" s="5"/>
      <c r="N18" s="5"/>
      <c r="O18" s="114">
        <f>N18-M6</f>
        <v>-13501</v>
      </c>
      <c r="R18">
        <v>163.25499999999997</v>
      </c>
      <c r="S18" t="s">
        <v>140</v>
      </c>
    </row>
    <row r="19" spans="4:19" ht="23.5" x14ac:dyDescent="0.55000000000000004">
      <c r="F19" t="s">
        <v>87</v>
      </c>
      <c r="K19" s="1" t="s">
        <v>3</v>
      </c>
      <c r="L19" s="108">
        <v>70</v>
      </c>
      <c r="M19" s="5"/>
      <c r="N19" s="5"/>
      <c r="O19" s="114">
        <f t="shared" ref="O19:O23" si="5">N19-M7</f>
        <v>-12038</v>
      </c>
      <c r="R19">
        <v>224.70999999999998</v>
      </c>
      <c r="S19" t="s">
        <v>138</v>
      </c>
    </row>
    <row r="20" spans="4:19" ht="24" thickBot="1" x14ac:dyDescent="0.6">
      <c r="D20" s="167" t="s">
        <v>64</v>
      </c>
      <c r="E20" s="167"/>
      <c r="F20" s="167"/>
      <c r="G20" s="167"/>
      <c r="H20" s="167"/>
      <c r="K20" s="1" t="s">
        <v>4</v>
      </c>
      <c r="L20" s="108">
        <v>120</v>
      </c>
      <c r="M20" s="5"/>
      <c r="N20" s="5"/>
      <c r="O20" s="114">
        <f t="shared" si="5"/>
        <v>-9642</v>
      </c>
      <c r="R20">
        <v>156.75</v>
      </c>
      <c r="S20" t="s">
        <v>135</v>
      </c>
    </row>
    <row r="21" spans="4:19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65</v>
      </c>
      <c r="K21" s="1" t="s">
        <v>5</v>
      </c>
      <c r="L21" s="108">
        <v>120</v>
      </c>
      <c r="M21" s="5"/>
      <c r="N21" s="5"/>
      <c r="O21" s="114">
        <f t="shared" si="5"/>
        <v>-10707</v>
      </c>
      <c r="R21">
        <v>158.505</v>
      </c>
      <c r="S21" t="s">
        <v>139</v>
      </c>
    </row>
    <row r="22" spans="4:19" ht="23.5" x14ac:dyDescent="0.55000000000000004">
      <c r="D22" s="1" t="s">
        <v>1</v>
      </c>
      <c r="E22" s="7">
        <v>70</v>
      </c>
      <c r="F22" s="5"/>
      <c r="G22" s="6">
        <f t="shared" ref="G22:G28" si="6">F22/40</f>
        <v>0</v>
      </c>
      <c r="H22" s="74"/>
      <c r="K22" s="1" t="s">
        <v>6</v>
      </c>
      <c r="L22" s="108">
        <v>120</v>
      </c>
      <c r="M22" s="5"/>
      <c r="N22" s="5"/>
      <c r="O22" s="114">
        <f t="shared" si="5"/>
        <v>-10700</v>
      </c>
      <c r="R22">
        <v>69.150000000000006</v>
      </c>
      <c r="S22" t="s">
        <v>137</v>
      </c>
    </row>
    <row r="23" spans="4:19" ht="23.5" x14ac:dyDescent="0.55000000000000004">
      <c r="D23" s="1" t="s">
        <v>2</v>
      </c>
      <c r="E23" s="7">
        <v>70</v>
      </c>
      <c r="F23" s="5"/>
      <c r="G23" s="6">
        <f t="shared" si="6"/>
        <v>0</v>
      </c>
      <c r="H23" s="74"/>
      <c r="K23" s="1" t="s">
        <v>7</v>
      </c>
      <c r="L23" s="108">
        <v>60</v>
      </c>
      <c r="M23" s="5"/>
      <c r="N23" s="5"/>
      <c r="O23" s="114">
        <f t="shared" si="5"/>
        <v>-8</v>
      </c>
    </row>
    <row r="24" spans="4:19" ht="24" thickBot="1" x14ac:dyDescent="0.6">
      <c r="D24" s="1" t="s">
        <v>3</v>
      </c>
      <c r="E24" s="7">
        <v>70</v>
      </c>
      <c r="F24" s="5"/>
      <c r="G24" s="6">
        <f t="shared" si="6"/>
        <v>0</v>
      </c>
      <c r="H24" s="74"/>
      <c r="K24" s="110" t="s">
        <v>69</v>
      </c>
      <c r="L24" s="111"/>
      <c r="M24" s="112">
        <f>SUM(M17:M23)</f>
        <v>0</v>
      </c>
      <c r="N24" s="112">
        <f>SUM(N17:N23)</f>
        <v>0</v>
      </c>
      <c r="O24" s="109">
        <f>SUM(O17:O23)</f>
        <v>-69362</v>
      </c>
    </row>
    <row r="25" spans="4:19" ht="24" thickBot="1" x14ac:dyDescent="0.6">
      <c r="D25" s="1" t="s">
        <v>4</v>
      </c>
      <c r="E25" s="7">
        <v>120</v>
      </c>
      <c r="F25" s="5"/>
      <c r="G25" s="6">
        <f t="shared" si="6"/>
        <v>0</v>
      </c>
      <c r="H25" s="74"/>
      <c r="K25" s="110" t="s">
        <v>70</v>
      </c>
      <c r="L25" s="111"/>
      <c r="M25" s="112">
        <f>M24/40</f>
        <v>0</v>
      </c>
      <c r="N25" s="112">
        <f>N24/40</f>
        <v>0</v>
      </c>
      <c r="O25" s="109">
        <f>O24/40</f>
        <v>-1734.05</v>
      </c>
    </row>
    <row r="26" spans="4:19" ht="23.5" x14ac:dyDescent="0.55000000000000004">
      <c r="D26" s="1" t="s">
        <v>5</v>
      </c>
      <c r="E26" s="7">
        <v>120</v>
      </c>
      <c r="F26" s="5"/>
      <c r="G26" s="6">
        <f t="shared" si="6"/>
        <v>0</v>
      </c>
      <c r="H26" s="74"/>
    </row>
    <row r="27" spans="4:19" ht="23.5" x14ac:dyDescent="0.55000000000000004">
      <c r="D27" s="1" t="s">
        <v>6</v>
      </c>
      <c r="E27" s="7">
        <v>120</v>
      </c>
      <c r="F27" s="5"/>
      <c r="G27" s="6">
        <f t="shared" si="6"/>
        <v>0</v>
      </c>
      <c r="H27" s="74"/>
    </row>
    <row r="28" spans="4:19" ht="23.5" x14ac:dyDescent="0.55000000000000004">
      <c r="D28" s="1" t="s">
        <v>7</v>
      </c>
      <c r="E28" s="7">
        <v>60</v>
      </c>
      <c r="F28" s="5"/>
      <c r="G28" s="6">
        <f t="shared" si="6"/>
        <v>0</v>
      </c>
      <c r="H28" s="74"/>
    </row>
    <row r="29" spans="4:19" ht="23.5" x14ac:dyDescent="0.55000000000000004">
      <c r="D29" s="1" t="s">
        <v>11</v>
      </c>
      <c r="E29" s="2"/>
      <c r="F29" s="8">
        <f>SUM(F22:F28)</f>
        <v>0</v>
      </c>
      <c r="G29" s="9">
        <f>SUM(G22:G28)</f>
        <v>0</v>
      </c>
      <c r="H29" s="9">
        <f>SUM(H22:H28)</f>
        <v>0</v>
      </c>
    </row>
  </sheetData>
  <mergeCells count="7">
    <mergeCell ref="S13:T13"/>
    <mergeCell ref="D20:H20"/>
    <mergeCell ref="C3:G3"/>
    <mergeCell ref="C11:D11"/>
    <mergeCell ref="H3:I3"/>
    <mergeCell ref="F11:G11"/>
    <mergeCell ref="K3:P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LMT</vt:lpstr>
      <vt:lpstr>S-P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2026-10-07T06:26:25Z</dcterms:modified>
</cp:coreProperties>
</file>