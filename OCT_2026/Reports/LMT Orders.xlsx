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DC810AC4-8CE7-4614-A379-810F4A2EA79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<sst xmlns="http://schemas.openxmlformats.org/spreadsheetml/2006/main" count="140" uniqueCount="94">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</sst>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0" fontId="6" fillId="3" borderId="56" xfId="0" applyFont="1" applyFill="1" applyBorder="1" applyAlignment="1">
      <alignment horizontal="left"/>
    </xf>
    <xf numFmtId="0" fontId="5" fillId="3" borderId="32" xfId="0" applyFont="1" applyFill="1" applyBorder="1"/>
    <xf numFmtId="0" fontId="5" fillId="3" borderId="32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abSelected="1"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zoomScaleNormal="100" workbookViewId="0">
      <selection activeCell="C5" sqref="C5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46296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/>
      <c r="B5" s="127">
        <v>1</v>
      </c>
      <c r="C5" s="140"/>
      <c r="D5" s="140"/>
      <c r="E5" s="129"/>
      <c r="F5" s="129"/>
      <c r="G5" s="128"/>
      <c r="H5" s="32"/>
      <c r="I5" s="129"/>
      <c r="J5" s="128"/>
      <c r="K5" s="130"/>
      <c r="L5" s="31">
        <f t="shared" ref="L5:L36" si="0">SUM(E5:K5)/40</f>
        <v>0</v>
      </c>
      <c r="M5" s="33"/>
      <c r="N5" s="32"/>
      <c r="O5" s="67">
        <f>SUM(F5:H5)/20</f>
        <v>0</v>
      </c>
      <c r="P5" s="34">
        <f>SUM(I5:K5)/20</f>
        <v>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/>
      <c r="B6" s="41">
        <v>2</v>
      </c>
      <c r="C6" s="140"/>
      <c r="D6" s="140"/>
      <c r="E6" s="44"/>
      <c r="F6" s="44"/>
      <c r="G6" s="69"/>
      <c r="H6" s="43"/>
      <c r="I6" s="44"/>
      <c r="J6" s="69"/>
      <c r="K6" s="70"/>
      <c r="L6" s="42">
        <f t="shared" si="0"/>
        <v>0</v>
      </c>
      <c r="M6" s="33"/>
      <c r="N6" s="43"/>
      <c r="O6" s="67">
        <f t="shared" ref="O6" si="3">SUM(F6:H6)/20</f>
        <v>0</v>
      </c>
      <c r="P6" s="34">
        <f t="shared" ref="P6" si="4">SUM(I6:K6)/20</f>
        <v>0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/>
      <c r="B7" s="41">
        <v>3</v>
      </c>
      <c r="C7" s="140"/>
      <c r="D7" s="140"/>
      <c r="E7" s="44"/>
      <c r="F7" s="44"/>
      <c r="G7" s="69"/>
      <c r="H7" s="43"/>
      <c r="I7" s="44"/>
      <c r="J7" s="69"/>
      <c r="K7" s="70"/>
      <c r="L7" s="42">
        <f t="shared" si="0"/>
        <v>0</v>
      </c>
      <c r="M7" s="33"/>
      <c r="N7" s="43"/>
      <c r="O7" s="67">
        <f t="shared" ref="O7:O15" si="11">SUM(F7:H7)/20</f>
        <v>0</v>
      </c>
      <c r="P7" s="34">
        <f t="shared" ref="P7:P15" si="12">SUM(I7:K7)/20</f>
        <v>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/>
      <c r="B8" s="41">
        <v>4</v>
      </c>
      <c r="C8" s="140"/>
      <c r="D8" s="140"/>
      <c r="E8" s="44"/>
      <c r="F8" s="44"/>
      <c r="G8" s="69"/>
      <c r="H8" s="43"/>
      <c r="I8" s="44"/>
      <c r="J8" s="69"/>
      <c r="K8" s="70"/>
      <c r="L8" s="42">
        <f t="shared" si="0"/>
        <v>0</v>
      </c>
      <c r="M8" s="33"/>
      <c r="N8" s="43"/>
      <c r="O8" s="67">
        <f t="shared" si="11"/>
        <v>0</v>
      </c>
      <c r="P8" s="34">
        <f t="shared" si="12"/>
        <v>0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/>
      <c r="B9" s="41">
        <v>5</v>
      </c>
      <c r="C9" s="140"/>
      <c r="D9" s="140"/>
      <c r="E9" s="44"/>
      <c r="F9" s="44"/>
      <c r="G9" s="69"/>
      <c r="H9" s="43"/>
      <c r="I9" s="44"/>
      <c r="J9" s="69"/>
      <c r="K9" s="70"/>
      <c r="L9" s="42">
        <f t="shared" si="0"/>
        <v>0</v>
      </c>
      <c r="M9" s="33"/>
      <c r="N9" s="43"/>
      <c r="O9" s="67">
        <f t="shared" si="11"/>
        <v>0</v>
      </c>
      <c r="P9" s="34">
        <f t="shared" si="12"/>
        <v>0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/>
      <c r="B10" s="41">
        <v>6</v>
      </c>
      <c r="C10" s="140"/>
      <c r="D10" s="140"/>
      <c r="E10" s="44"/>
      <c r="F10" s="44"/>
      <c r="G10" s="69"/>
      <c r="H10" s="43"/>
      <c r="I10" s="44"/>
      <c r="J10" s="69"/>
      <c r="K10" s="70"/>
      <c r="L10" s="42">
        <f t="shared" si="0"/>
        <v>0</v>
      </c>
      <c r="M10" s="33"/>
      <c r="N10" s="43"/>
      <c r="O10" s="67">
        <f t="shared" si="11"/>
        <v>0</v>
      </c>
      <c r="P10" s="34">
        <f t="shared" si="12"/>
        <v>0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/>
      <c r="B11" s="41">
        <v>7</v>
      </c>
      <c r="C11" s="140"/>
      <c r="D11" s="140"/>
      <c r="E11" s="44"/>
      <c r="F11" s="44"/>
      <c r="G11" s="69"/>
      <c r="H11" s="43"/>
      <c r="I11" s="44"/>
      <c r="J11" s="69"/>
      <c r="K11" s="70"/>
      <c r="L11" s="42">
        <f t="shared" si="0"/>
        <v>0</v>
      </c>
      <c r="M11" s="33"/>
      <c r="N11" s="43"/>
      <c r="O11" s="67">
        <f t="shared" si="11"/>
        <v>0</v>
      </c>
      <c r="P11" s="34">
        <f t="shared" si="12"/>
        <v>0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/>
      <c r="B12" s="41">
        <v>8</v>
      </c>
      <c r="C12" s="140"/>
      <c r="D12" s="140"/>
      <c r="E12" s="44"/>
      <c r="F12" s="44"/>
      <c r="G12" s="69"/>
      <c r="H12" s="43"/>
      <c r="I12" s="44"/>
      <c r="J12" s="69"/>
      <c r="K12" s="70"/>
      <c r="L12" s="42">
        <f t="shared" si="0"/>
        <v>0</v>
      </c>
      <c r="M12" s="33"/>
      <c r="N12" s="43"/>
      <c r="O12" s="67">
        <f t="shared" si="11"/>
        <v>0</v>
      </c>
      <c r="P12" s="34">
        <f t="shared" si="12"/>
        <v>0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/>
      <c r="B13" s="41">
        <v>9</v>
      </c>
      <c r="C13" s="140"/>
      <c r="D13" s="140"/>
      <c r="E13" s="44"/>
      <c r="F13" s="44"/>
      <c r="G13" s="69"/>
      <c r="H13" s="43"/>
      <c r="I13" s="44"/>
      <c r="J13" s="69"/>
      <c r="K13" s="70"/>
      <c r="L13" s="42">
        <f t="shared" si="0"/>
        <v>0</v>
      </c>
      <c r="M13" s="33"/>
      <c r="N13" s="43"/>
      <c r="O13" s="67">
        <f t="shared" si="11"/>
        <v>0</v>
      </c>
      <c r="P13" s="34">
        <f t="shared" si="12"/>
        <v>0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5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6">SUM(U13:W13)</f>
        <v>#VALUE!</v>
      </c>
    </row>
    <row r="14" spans="1:24" x14ac:dyDescent="0.35">
      <c r="A14" s="72"/>
      <c r="B14" s="41">
        <v>10</v>
      </c>
      <c r="C14" s="140"/>
      <c r="D14" s="140"/>
      <c r="E14" s="44"/>
      <c r="F14" s="44"/>
      <c r="G14" s="69"/>
      <c r="H14" s="43"/>
      <c r="I14" s="44"/>
      <c r="J14" s="69"/>
      <c r="K14" s="70"/>
      <c r="L14" s="42">
        <f t="shared" si="0"/>
        <v>0</v>
      </c>
      <c r="M14" s="33"/>
      <c r="N14" s="43"/>
      <c r="O14" s="67">
        <f t="shared" si="11"/>
        <v>0</v>
      </c>
      <c r="P14" s="34">
        <f t="shared" si="12"/>
        <v>0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5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6"/>
        <v>#VALUE!</v>
      </c>
    </row>
    <row r="15" spans="1:24" x14ac:dyDescent="0.35">
      <c r="A15" s="72"/>
      <c r="B15" s="41">
        <v>11</v>
      </c>
      <c r="C15" s="140"/>
      <c r="D15" s="140"/>
      <c r="E15" s="44"/>
      <c r="F15" s="44"/>
      <c r="G15" s="69"/>
      <c r="H15" s="43"/>
      <c r="I15" s="44"/>
      <c r="J15" s="69"/>
      <c r="K15" s="70"/>
      <c r="L15" s="42">
        <f t="shared" si="0"/>
        <v>0</v>
      </c>
      <c r="M15" s="33"/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5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6"/>
        <v>#VALUE!</v>
      </c>
    </row>
    <row r="16" spans="1:24" x14ac:dyDescent="0.35">
      <c r="A16" s="72"/>
      <c r="B16" s="41">
        <v>12</v>
      </c>
      <c r="C16" s="140"/>
      <c r="D16" s="140"/>
      <c r="E16" s="44"/>
      <c r="F16" s="44"/>
      <c r="G16" s="69"/>
      <c r="H16" s="43"/>
      <c r="I16" s="44"/>
      <c r="J16" s="69"/>
      <c r="K16" s="70"/>
      <c r="L16" s="42">
        <f t="shared" si="0"/>
        <v>0</v>
      </c>
      <c r="M16" s="33"/>
      <c r="N16" s="43"/>
      <c r="O16" s="67">
        <f t="shared" ref="O16:O17" si="17">SUM(F16:H16)/20</f>
        <v>0</v>
      </c>
      <c r="P16" s="34">
        <f t="shared" ref="P16:P17" si="18">SUM(I16:K16)/20</f>
        <v>0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19">SUM(Q16:S16)</f>
        <v>#VALUE!</v>
      </c>
      <c r="U16" s="48" t="e">
        <f t="shared" si="2"/>
        <v>#VALUE!</v>
      </c>
      <c r="V16" s="49">
        <f t="shared" ref="V16:V17" si="20">SUM(F16:H16)*$V$3</f>
        <v>0</v>
      </c>
      <c r="W16" s="49">
        <f t="shared" ref="W16:W17" si="21">SUM(I16:K16)*$W$3</f>
        <v>0</v>
      </c>
      <c r="X16" s="50" t="e">
        <f t="shared" ref="X16:X17" si="22">SUM(U16:W16)</f>
        <v>#VALUE!</v>
      </c>
    </row>
    <row r="17" spans="1:24" x14ac:dyDescent="0.35">
      <c r="A17" s="72"/>
      <c r="B17" s="41">
        <v>13</v>
      </c>
      <c r="C17" s="140"/>
      <c r="D17" s="140"/>
      <c r="E17" s="44"/>
      <c r="F17" s="44"/>
      <c r="G17" s="69"/>
      <c r="H17" s="43"/>
      <c r="I17" s="44"/>
      <c r="J17" s="69"/>
      <c r="K17" s="70"/>
      <c r="L17" s="42">
        <f t="shared" si="0"/>
        <v>0</v>
      </c>
      <c r="M17" s="33"/>
      <c r="N17" s="43"/>
      <c r="O17" s="67">
        <f t="shared" si="17"/>
        <v>0</v>
      </c>
      <c r="P17" s="34">
        <f t="shared" si="18"/>
        <v>0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19"/>
        <v>#VALUE!</v>
      </c>
      <c r="U17" s="48" t="e">
        <f t="shared" si="2"/>
        <v>#VALUE!</v>
      </c>
      <c r="V17" s="49">
        <f t="shared" si="20"/>
        <v>0</v>
      </c>
      <c r="W17" s="49">
        <f t="shared" si="21"/>
        <v>0</v>
      </c>
      <c r="X17" s="50" t="e">
        <f t="shared" si="22"/>
        <v>#VALUE!</v>
      </c>
    </row>
    <row r="18" spans="1:24" x14ac:dyDescent="0.35">
      <c r="A18" s="72"/>
      <c r="B18" s="41">
        <v>14</v>
      </c>
      <c r="C18" s="140"/>
      <c r="D18" s="140"/>
      <c r="E18" s="44"/>
      <c r="F18" s="44"/>
      <c r="G18" s="69"/>
      <c r="H18" s="43"/>
      <c r="I18" s="44"/>
      <c r="J18" s="69"/>
      <c r="K18" s="70"/>
      <c r="L18" s="42">
        <f t="shared" si="0"/>
        <v>0</v>
      </c>
      <c r="M18" s="33"/>
      <c r="N18" s="43"/>
      <c r="O18" s="67">
        <f t="shared" ref="O18:O20" si="23">SUM(F18:H18)/20</f>
        <v>0</v>
      </c>
      <c r="P18" s="34">
        <f t="shared" ref="P18:P20" si="24">SUM(I18:K18)/20</f>
        <v>0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5">SUM(Q18:S18)</f>
        <v>#VALUE!</v>
      </c>
      <c r="U18" s="48" t="e">
        <f t="shared" si="2"/>
        <v>#VALUE!</v>
      </c>
      <c r="V18" s="49">
        <f t="shared" ref="V18:V20" si="26">SUM(F18:H18)*$V$3</f>
        <v>0</v>
      </c>
      <c r="W18" s="49">
        <f t="shared" ref="W18:W20" si="27">SUM(I18:K18)*$W$3</f>
        <v>0</v>
      </c>
      <c r="X18" s="50" t="e">
        <f t="shared" ref="X18:X20" si="28">SUM(U18:W18)</f>
        <v>#VALUE!</v>
      </c>
    </row>
    <row r="19" spans="1:24" x14ac:dyDescent="0.35">
      <c r="A19" s="72"/>
      <c r="B19" s="41">
        <v>15</v>
      </c>
      <c r="C19" s="140"/>
      <c r="D19" s="140"/>
      <c r="E19" s="44"/>
      <c r="F19" s="44"/>
      <c r="G19" s="69"/>
      <c r="H19" s="43"/>
      <c r="I19" s="44"/>
      <c r="J19" s="69"/>
      <c r="K19" s="70"/>
      <c r="L19" s="42">
        <f t="shared" si="0"/>
        <v>0</v>
      </c>
      <c r="M19" s="33"/>
      <c r="N19" s="43"/>
      <c r="O19" s="67">
        <f t="shared" si="23"/>
        <v>0</v>
      </c>
      <c r="P19" s="34">
        <f t="shared" si="24"/>
        <v>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5"/>
        <v>#VALUE!</v>
      </c>
      <c r="U19" s="48" t="e">
        <f t="shared" si="2"/>
        <v>#VALUE!</v>
      </c>
      <c r="V19" s="49">
        <f t="shared" si="26"/>
        <v>0</v>
      </c>
      <c r="W19" s="49">
        <f t="shared" si="27"/>
        <v>0</v>
      </c>
      <c r="X19" s="50" t="e">
        <f t="shared" si="28"/>
        <v>#VALUE!</v>
      </c>
    </row>
    <row r="20" spans="1:24" x14ac:dyDescent="0.35">
      <c r="A20" s="72"/>
      <c r="B20" s="41">
        <v>16</v>
      </c>
      <c r="C20" s="140"/>
      <c r="D20" s="140"/>
      <c r="E20" s="44"/>
      <c r="F20" s="44"/>
      <c r="G20" s="69"/>
      <c r="H20" s="43"/>
      <c r="I20" s="44"/>
      <c r="J20" s="69"/>
      <c r="K20" s="70"/>
      <c r="L20" s="42">
        <f t="shared" si="0"/>
        <v>0</v>
      </c>
      <c r="M20" s="33"/>
      <c r="N20" s="43"/>
      <c r="O20" s="67">
        <f t="shared" si="23"/>
        <v>0</v>
      </c>
      <c r="P20" s="34">
        <f t="shared" si="24"/>
        <v>0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5"/>
        <v>#VALUE!</v>
      </c>
      <c r="U20" s="48" t="e">
        <f t="shared" si="2"/>
        <v>#VALUE!</v>
      </c>
      <c r="V20" s="49">
        <f t="shared" si="26"/>
        <v>0</v>
      </c>
      <c r="W20" s="49">
        <f t="shared" si="27"/>
        <v>0</v>
      </c>
      <c r="X20" s="50" t="e">
        <f t="shared" si="28"/>
        <v>#VALUE!</v>
      </c>
    </row>
    <row r="21" spans="1:24" x14ac:dyDescent="0.35">
      <c r="A21" s="72"/>
      <c r="B21" s="41">
        <v>17</v>
      </c>
      <c r="C21" s="140"/>
      <c r="D21" s="140"/>
      <c r="E21" s="44"/>
      <c r="F21" s="44"/>
      <c r="G21" s="69"/>
      <c r="H21" s="43"/>
      <c r="I21" s="44"/>
      <c r="J21" s="69"/>
      <c r="K21" s="70"/>
      <c r="L21" s="42">
        <f t="shared" si="0"/>
        <v>0</v>
      </c>
      <c r="M21" s="33"/>
      <c r="N21" s="43"/>
      <c r="O21" s="67">
        <f t="shared" ref="O21:O23" si="29">SUM(F21:H21)/20</f>
        <v>0</v>
      </c>
      <c r="P21" s="34">
        <f t="shared" ref="P21:P23" si="30">SUM(I21:K21)/20</f>
        <v>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1">SUM(Q21:S21)</f>
        <v>#VALUE!</v>
      </c>
      <c r="U21" s="48" t="e">
        <f t="shared" si="2"/>
        <v>#VALUE!</v>
      </c>
      <c r="V21" s="49">
        <f t="shared" ref="V21:V23" si="32">SUM(F21:H21)*$V$3</f>
        <v>0</v>
      </c>
      <c r="W21" s="49">
        <f t="shared" ref="W21:W23" si="33">SUM(I21:K21)*$W$3</f>
        <v>0</v>
      </c>
      <c r="X21" s="50" t="e">
        <f t="shared" ref="X21:X133" si="34">SUM(U21:W21)</f>
        <v>#VALUE!</v>
      </c>
    </row>
    <row r="22" spans="1:24" x14ac:dyDescent="0.35">
      <c r="A22" s="72"/>
      <c r="B22" s="41">
        <v>18</v>
      </c>
      <c r="C22" s="140"/>
      <c r="D22" s="140"/>
      <c r="E22" s="44"/>
      <c r="F22" s="44"/>
      <c r="G22" s="69"/>
      <c r="H22" s="43"/>
      <c r="I22" s="44"/>
      <c r="J22" s="69"/>
      <c r="K22" s="70"/>
      <c r="L22" s="42">
        <f t="shared" si="0"/>
        <v>0</v>
      </c>
      <c r="M22" s="33"/>
      <c r="N22" s="43"/>
      <c r="O22" s="67">
        <f t="shared" si="29"/>
        <v>0</v>
      </c>
      <c r="P22" s="34">
        <f t="shared" si="30"/>
        <v>0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1"/>
        <v>#VALUE!</v>
      </c>
      <c r="U22" s="48" t="e">
        <f t="shared" si="2"/>
        <v>#VALUE!</v>
      </c>
      <c r="V22" s="49">
        <f t="shared" si="32"/>
        <v>0</v>
      </c>
      <c r="W22" s="49">
        <f t="shared" si="33"/>
        <v>0</v>
      </c>
      <c r="X22" s="50" t="e">
        <f t="shared" si="34"/>
        <v>#VALUE!</v>
      </c>
    </row>
    <row r="23" spans="1:24" x14ac:dyDescent="0.35">
      <c r="A23" s="72"/>
      <c r="B23" s="41">
        <v>19</v>
      </c>
      <c r="C23" s="140"/>
      <c r="D23" s="140"/>
      <c r="E23" s="44"/>
      <c r="F23" s="44"/>
      <c r="G23" s="69"/>
      <c r="H23" s="43"/>
      <c r="I23" s="44"/>
      <c r="J23" s="69"/>
      <c r="K23" s="70"/>
      <c r="L23" s="42">
        <f t="shared" si="0"/>
        <v>0</v>
      </c>
      <c r="M23" s="33"/>
      <c r="N23" s="43"/>
      <c r="O23" s="67">
        <f t="shared" si="29"/>
        <v>0</v>
      </c>
      <c r="P23" s="34">
        <f t="shared" si="30"/>
        <v>0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5">SUM(Q23:S23)</f>
        <v>#VALUE!</v>
      </c>
      <c r="U23" s="48" t="e">
        <f t="shared" si="2"/>
        <v>#VALUE!</v>
      </c>
      <c r="V23" s="49">
        <f t="shared" si="32"/>
        <v>0</v>
      </c>
      <c r="W23" s="49">
        <f t="shared" si="33"/>
        <v>0</v>
      </c>
      <c r="X23" s="50" t="e">
        <f t="shared" si="34"/>
        <v>#VALUE!</v>
      </c>
    </row>
    <row r="24" spans="1:24" x14ac:dyDescent="0.35">
      <c r="A24" s="72"/>
      <c r="B24" s="41">
        <v>20</v>
      </c>
      <c r="C24" s="140"/>
      <c r="D24" s="140"/>
      <c r="E24" s="44"/>
      <c r="F24" s="44"/>
      <c r="G24" s="69"/>
      <c r="H24" s="43"/>
      <c r="I24" s="44"/>
      <c r="J24" s="69"/>
      <c r="K24" s="70"/>
      <c r="L24" s="42">
        <f t="shared" si="0"/>
        <v>0</v>
      </c>
      <c r="M24" s="33"/>
      <c r="N24" s="43"/>
      <c r="O24" s="67">
        <f t="shared" ref="O24:O27" si="36">SUM(F24:H24)/20</f>
        <v>0</v>
      </c>
      <c r="P24" s="34">
        <f t="shared" ref="P24:P27" si="37">SUM(I24:K24)/20</f>
        <v>0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5"/>
        <v>#VALUE!</v>
      </c>
      <c r="U24" s="48" t="e">
        <f t="shared" si="2"/>
        <v>#VALUE!</v>
      </c>
      <c r="V24" s="49">
        <f t="shared" ref="V24:V27" si="38">SUM(F24:H24)*$V$3</f>
        <v>0</v>
      </c>
      <c r="W24" s="49">
        <f t="shared" ref="W24:W27" si="39">SUM(I24:K24)*$W$3</f>
        <v>0</v>
      </c>
      <c r="X24" s="50" t="e">
        <f t="shared" si="34"/>
        <v>#VALUE!</v>
      </c>
    </row>
    <row r="25" spans="1:24" x14ac:dyDescent="0.35">
      <c r="A25" s="72"/>
      <c r="B25" s="41">
        <v>21</v>
      </c>
      <c r="C25" s="140"/>
      <c r="D25" s="140"/>
      <c r="E25" s="44"/>
      <c r="F25" s="44"/>
      <c r="G25" s="69"/>
      <c r="H25" s="43"/>
      <c r="I25" s="44"/>
      <c r="J25" s="69"/>
      <c r="K25" s="70"/>
      <c r="L25" s="42">
        <f t="shared" si="0"/>
        <v>0</v>
      </c>
      <c r="M25" s="33"/>
      <c r="N25" s="43"/>
      <c r="O25" s="67">
        <f t="shared" si="36"/>
        <v>0</v>
      </c>
      <c r="P25" s="34">
        <f t="shared" si="37"/>
        <v>0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5"/>
        <v>#VALUE!</v>
      </c>
      <c r="U25" s="48" t="e">
        <f t="shared" si="2"/>
        <v>#VALUE!</v>
      </c>
      <c r="V25" s="49">
        <f t="shared" si="38"/>
        <v>0</v>
      </c>
      <c r="W25" s="49">
        <f t="shared" si="39"/>
        <v>0</v>
      </c>
      <c r="X25" s="50" t="e">
        <f t="shared" si="34"/>
        <v>#VALUE!</v>
      </c>
    </row>
    <row r="26" spans="1:24" x14ac:dyDescent="0.35">
      <c r="A26" s="72"/>
      <c r="B26" s="41">
        <v>22</v>
      </c>
      <c r="C26" s="140"/>
      <c r="D26" s="140"/>
      <c r="E26" s="44"/>
      <c r="F26" s="44"/>
      <c r="G26" s="69"/>
      <c r="H26" s="43"/>
      <c r="I26" s="44"/>
      <c r="J26" s="69"/>
      <c r="K26" s="70"/>
      <c r="L26" s="42">
        <f t="shared" si="0"/>
        <v>0</v>
      </c>
      <c r="M26" s="33"/>
      <c r="N26" s="43"/>
      <c r="O26" s="67">
        <f t="shared" si="36"/>
        <v>0</v>
      </c>
      <c r="P26" s="34">
        <f t="shared" si="37"/>
        <v>0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5"/>
        <v>#VALUE!</v>
      </c>
      <c r="U26" s="48" t="e">
        <f t="shared" si="2"/>
        <v>#VALUE!</v>
      </c>
      <c r="V26" s="49">
        <f t="shared" si="38"/>
        <v>0</v>
      </c>
      <c r="W26" s="49">
        <f t="shared" si="39"/>
        <v>0</v>
      </c>
      <c r="X26" s="50" t="e">
        <f t="shared" si="34"/>
        <v>#VALUE!</v>
      </c>
    </row>
    <row r="27" spans="1:24" x14ac:dyDescent="0.35">
      <c r="A27" s="72"/>
      <c r="B27" s="41">
        <v>23</v>
      </c>
      <c r="C27" s="140"/>
      <c r="D27" s="140"/>
      <c r="E27" s="44"/>
      <c r="F27" s="44"/>
      <c r="G27" s="69"/>
      <c r="H27" s="43"/>
      <c r="I27" s="44"/>
      <c r="J27" s="69"/>
      <c r="K27" s="70"/>
      <c r="L27" s="42">
        <f t="shared" si="0"/>
        <v>0</v>
      </c>
      <c r="M27" s="33"/>
      <c r="N27" s="43"/>
      <c r="O27" s="67">
        <f t="shared" si="36"/>
        <v>0</v>
      </c>
      <c r="P27" s="34">
        <f t="shared" si="37"/>
        <v>0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5"/>
        <v>#VALUE!</v>
      </c>
      <c r="U27" s="48" t="e">
        <f t="shared" si="2"/>
        <v>#VALUE!</v>
      </c>
      <c r="V27" s="49">
        <f t="shared" si="38"/>
        <v>0</v>
      </c>
      <c r="W27" s="49">
        <f t="shared" si="39"/>
        <v>0</v>
      </c>
      <c r="X27" s="50" t="e">
        <f t="shared" si="34"/>
        <v>#VALUE!</v>
      </c>
    </row>
    <row r="28" spans="1:24" x14ac:dyDescent="0.35">
      <c r="A28" s="72"/>
      <c r="B28" s="41">
        <v>24</v>
      </c>
      <c r="C28" s="140"/>
      <c r="D28" s="140"/>
      <c r="E28" s="44"/>
      <c r="F28" s="44"/>
      <c r="G28" s="69"/>
      <c r="H28" s="43"/>
      <c r="I28" s="44"/>
      <c r="J28" s="69"/>
      <c r="K28" s="70"/>
      <c r="L28" s="42">
        <f t="shared" si="0"/>
        <v>0</v>
      </c>
      <c r="M28" s="33"/>
      <c r="N28" s="43"/>
      <c r="O28" s="67">
        <f t="shared" ref="O28:O61" si="40">SUM(F28:H28)/20</f>
        <v>0</v>
      </c>
      <c r="P28" s="34">
        <f t="shared" ref="P28:P61" si="41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2">SUM(Q28:S28)</f>
        <v>#VALUE!</v>
      </c>
      <c r="U28" s="48" t="e">
        <f t="shared" si="2"/>
        <v>#VALUE!</v>
      </c>
      <c r="V28" s="49">
        <f t="shared" ref="V28:V61" si="43">SUM(F28:H28)*$V$3</f>
        <v>0</v>
      </c>
      <c r="W28" s="49">
        <f t="shared" ref="W28:W61" si="44">SUM(I28:K28)*$W$3</f>
        <v>0</v>
      </c>
      <c r="X28" s="50" t="e">
        <f t="shared" ref="X28:X61" si="45">SUM(U28:W28)</f>
        <v>#VALUE!</v>
      </c>
    </row>
    <row r="29" spans="1:24" x14ac:dyDescent="0.35">
      <c r="A29" s="72"/>
      <c r="B29" s="41">
        <v>25</v>
      </c>
      <c r="C29" s="140"/>
      <c r="D29" s="140"/>
      <c r="E29" s="44"/>
      <c r="F29" s="44"/>
      <c r="G29" s="69"/>
      <c r="H29" s="43"/>
      <c r="I29" s="44"/>
      <c r="J29" s="69"/>
      <c r="K29" s="70"/>
      <c r="L29" s="42">
        <f t="shared" si="0"/>
        <v>0</v>
      </c>
      <c r="M29" s="33"/>
      <c r="N29" s="43"/>
      <c r="O29" s="67">
        <f t="shared" ref="O29" si="46">SUM(F29:H29)/20</f>
        <v>0</v>
      </c>
      <c r="P29" s="34">
        <f t="shared" ref="P29" si="47">SUM(I29:K29)/20</f>
        <v>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8">SUM(Q29:S29)</f>
        <v>#VALUE!</v>
      </c>
      <c r="U29" s="48" t="e">
        <f t="shared" si="2"/>
        <v>#VALUE!</v>
      </c>
      <c r="V29" s="49">
        <f t="shared" ref="V29" si="49">SUM(F29:H29)*$V$3</f>
        <v>0</v>
      </c>
      <c r="W29" s="49">
        <f t="shared" ref="W29" si="50">SUM(I29:K29)*$W$3</f>
        <v>0</v>
      </c>
      <c r="X29" s="50" t="e">
        <f t="shared" ref="X29" si="51">SUM(U29:W29)</f>
        <v>#VALUE!</v>
      </c>
    </row>
    <row r="30" spans="1:24" x14ac:dyDescent="0.35">
      <c r="A30" s="72"/>
      <c r="B30" s="41">
        <v>26</v>
      </c>
      <c r="C30" s="140"/>
      <c r="D30" s="140"/>
      <c r="E30" s="44"/>
      <c r="F30" s="44"/>
      <c r="G30" s="69"/>
      <c r="H30" s="43"/>
      <c r="I30" s="44"/>
      <c r="J30" s="69"/>
      <c r="K30" s="70"/>
      <c r="L30" s="42">
        <f t="shared" si="0"/>
        <v>0</v>
      </c>
      <c r="M30" s="33"/>
      <c r="N30" s="43"/>
      <c r="O30" s="67">
        <f t="shared" si="40"/>
        <v>0</v>
      </c>
      <c r="P30" s="34">
        <f t="shared" si="41"/>
        <v>0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2"/>
        <v>#VALUE!</v>
      </c>
      <c r="U30" s="48" t="e">
        <f t="shared" si="2"/>
        <v>#VALUE!</v>
      </c>
      <c r="V30" s="49">
        <f t="shared" si="43"/>
        <v>0</v>
      </c>
      <c r="W30" s="49">
        <f t="shared" si="44"/>
        <v>0</v>
      </c>
      <c r="X30" s="50" t="e">
        <f t="shared" si="45"/>
        <v>#VALUE!</v>
      </c>
    </row>
    <row r="31" spans="1:24" x14ac:dyDescent="0.35">
      <c r="A31" s="72"/>
      <c r="B31" s="41">
        <v>27</v>
      </c>
      <c r="C31" s="140"/>
      <c r="D31" s="140"/>
      <c r="E31" s="44"/>
      <c r="F31" s="44"/>
      <c r="G31" s="69"/>
      <c r="H31" s="43"/>
      <c r="I31" s="44"/>
      <c r="J31" s="69"/>
      <c r="K31" s="70"/>
      <c r="L31" s="42">
        <f t="shared" si="0"/>
        <v>0</v>
      </c>
      <c r="M31" s="33"/>
      <c r="N31" s="43"/>
      <c r="O31" s="67">
        <f t="shared" si="40"/>
        <v>0</v>
      </c>
      <c r="P31" s="34">
        <f t="shared" si="41"/>
        <v>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2"/>
        <v>#VALUE!</v>
      </c>
      <c r="U31" s="48" t="e">
        <f t="shared" si="2"/>
        <v>#VALUE!</v>
      </c>
      <c r="V31" s="49">
        <f t="shared" si="43"/>
        <v>0</v>
      </c>
      <c r="W31" s="49">
        <f t="shared" si="44"/>
        <v>0</v>
      </c>
      <c r="X31" s="50" t="e">
        <f t="shared" si="45"/>
        <v>#VALUE!</v>
      </c>
    </row>
    <row r="32" spans="1:24" x14ac:dyDescent="0.35">
      <c r="A32" s="72"/>
      <c r="B32" s="41">
        <v>28</v>
      </c>
      <c r="C32" s="140"/>
      <c r="D32" s="140"/>
      <c r="E32" s="44"/>
      <c r="F32" s="44"/>
      <c r="G32" s="69"/>
      <c r="H32" s="43"/>
      <c r="I32" s="44"/>
      <c r="J32" s="69"/>
      <c r="K32" s="70"/>
      <c r="L32" s="42">
        <f t="shared" si="0"/>
        <v>0</v>
      </c>
      <c r="M32" s="33"/>
      <c r="N32" s="43"/>
      <c r="O32" s="67">
        <f t="shared" si="40"/>
        <v>0</v>
      </c>
      <c r="P32" s="34">
        <f t="shared" si="41"/>
        <v>0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2"/>
        <v>#VALUE!</v>
      </c>
      <c r="U32" s="48" t="e">
        <f t="shared" si="2"/>
        <v>#VALUE!</v>
      </c>
      <c r="V32" s="49">
        <f t="shared" si="43"/>
        <v>0</v>
      </c>
      <c r="W32" s="49">
        <f t="shared" si="44"/>
        <v>0</v>
      </c>
      <c r="X32" s="50" t="e">
        <f t="shared" si="45"/>
        <v>#VALUE!</v>
      </c>
    </row>
    <row r="33" spans="1:24" x14ac:dyDescent="0.35">
      <c r="A33" s="72"/>
      <c r="B33" s="41">
        <v>29</v>
      </c>
      <c r="C33" s="140"/>
      <c r="D33" s="140"/>
      <c r="E33" s="44"/>
      <c r="F33" s="44"/>
      <c r="G33" s="69"/>
      <c r="H33" s="43"/>
      <c r="I33" s="44"/>
      <c r="J33" s="69"/>
      <c r="K33" s="70"/>
      <c r="L33" s="42">
        <f t="shared" si="0"/>
        <v>0</v>
      </c>
      <c r="M33" s="33"/>
      <c r="N33" s="43"/>
      <c r="O33" s="67">
        <f t="shared" si="40"/>
        <v>0</v>
      </c>
      <c r="P33" s="34">
        <f t="shared" si="41"/>
        <v>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2"/>
        <v>#VALUE!</v>
      </c>
      <c r="U33" s="48" t="e">
        <f t="shared" si="2"/>
        <v>#VALUE!</v>
      </c>
      <c r="V33" s="49">
        <f t="shared" si="43"/>
        <v>0</v>
      </c>
      <c r="W33" s="49">
        <f t="shared" si="44"/>
        <v>0</v>
      </c>
      <c r="X33" s="50" t="e">
        <f t="shared" si="45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/>
      <c r="N34" s="43">
        <f t="shared" ref="N34:N65" si="52">SUMPRODUCT($E$3:$K$3,$E$6:$K$6)/1000</f>
        <v>0</v>
      </c>
      <c r="O34" s="67">
        <f t="shared" ref="O34:O47" si="53">SUM(F34:H34)/20</f>
        <v>0</v>
      </c>
      <c r="P34" s="34">
        <f t="shared" ref="P34:P47" si="54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5">SUM(Q34:S34)</f>
        <v>#VALUE!</v>
      </c>
      <c r="U34" s="48" t="e">
        <f t="shared" si="2"/>
        <v>#VALUE!</v>
      </c>
      <c r="V34" s="49">
        <f t="shared" ref="V34:V47" si="56">SUM(F34:H34)*$V$3</f>
        <v>0</v>
      </c>
      <c r="W34" s="49">
        <f t="shared" ref="W34:W47" si="57">SUM(I34:K34)*$W$3</f>
        <v>0</v>
      </c>
      <c r="X34" s="50" t="e">
        <f t="shared" ref="X34:X46" si="58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/>
      <c r="N35" s="43">
        <f t="shared" si="52"/>
        <v>0</v>
      </c>
      <c r="O35" s="67">
        <f t="shared" ref="O35" si="59">SUM(F35:H35)/20</f>
        <v>0</v>
      </c>
      <c r="P35" s="34">
        <f t="shared" ref="P35" si="60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1">SUM(Q35:S35)</f>
        <v>#VALUE!</v>
      </c>
      <c r="U35" s="48" t="e">
        <f t="shared" si="2"/>
        <v>#VALUE!</v>
      </c>
      <c r="V35" s="49">
        <f t="shared" ref="V35" si="62">SUM(F35:H35)*$V$3</f>
        <v>0</v>
      </c>
      <c r="W35" s="49">
        <f t="shared" ref="W35" si="63">SUM(I35:K35)*$W$3</f>
        <v>0</v>
      </c>
      <c r="X35" s="50" t="e">
        <f t="shared" ref="X35" si="64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/>
      <c r="N36" s="43">
        <f t="shared" si="52"/>
        <v>0</v>
      </c>
      <c r="O36" s="67">
        <f t="shared" si="53"/>
        <v>0</v>
      </c>
      <c r="P36" s="34">
        <f t="shared" si="54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5"/>
        <v>#VALUE!</v>
      </c>
      <c r="U36" s="48" t="e">
        <f t="shared" si="2"/>
        <v>#VALUE!</v>
      </c>
      <c r="V36" s="49">
        <f t="shared" si="56"/>
        <v>0</v>
      </c>
      <c r="W36" s="49">
        <f t="shared" si="57"/>
        <v>0</v>
      </c>
      <c r="X36" s="50" t="e">
        <f t="shared" si="58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5">SUM(E37:K37)/40</f>
        <v>0</v>
      </c>
      <c r="M37" s="33"/>
      <c r="N37" s="43">
        <f t="shared" si="52"/>
        <v>0</v>
      </c>
      <c r="O37" s="67">
        <f t="shared" si="53"/>
        <v>0</v>
      </c>
      <c r="P37" s="34">
        <f t="shared" si="54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5"/>
        <v>#VALUE!</v>
      </c>
      <c r="U37" s="48" t="e">
        <f t="shared" si="2"/>
        <v>#VALUE!</v>
      </c>
      <c r="V37" s="49">
        <f t="shared" si="56"/>
        <v>0</v>
      </c>
      <c r="W37" s="49">
        <f t="shared" si="57"/>
        <v>0</v>
      </c>
      <c r="X37" s="50" t="e">
        <f t="shared" si="58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5"/>
        <v>0</v>
      </c>
      <c r="M38" s="33"/>
      <c r="N38" s="43">
        <f t="shared" si="52"/>
        <v>0</v>
      </c>
      <c r="O38" s="67">
        <f t="shared" si="53"/>
        <v>0</v>
      </c>
      <c r="P38" s="34">
        <f t="shared" si="54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5"/>
        <v>#VALUE!</v>
      </c>
      <c r="U38" s="48" t="e">
        <f t="shared" si="2"/>
        <v>#VALUE!</v>
      </c>
      <c r="V38" s="49">
        <f t="shared" si="56"/>
        <v>0</v>
      </c>
      <c r="W38" s="49">
        <f t="shared" si="57"/>
        <v>0</v>
      </c>
      <c r="X38" s="50" t="e">
        <f t="shared" si="58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5"/>
        <v>0</v>
      </c>
      <c r="M39" s="33"/>
      <c r="N39" s="43">
        <f t="shared" si="52"/>
        <v>0</v>
      </c>
      <c r="O39" s="67">
        <f t="shared" si="53"/>
        <v>0</v>
      </c>
      <c r="P39" s="34">
        <f t="shared" si="54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5"/>
        <v>#VALUE!</v>
      </c>
      <c r="U39" s="48" t="e">
        <f t="shared" si="2"/>
        <v>#VALUE!</v>
      </c>
      <c r="V39" s="49">
        <f t="shared" si="56"/>
        <v>0</v>
      </c>
      <c r="W39" s="49">
        <f t="shared" si="57"/>
        <v>0</v>
      </c>
      <c r="X39" s="50" t="e">
        <f t="shared" si="58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5"/>
        <v>0</v>
      </c>
      <c r="M40" s="33"/>
      <c r="N40" s="43">
        <f t="shared" si="52"/>
        <v>0</v>
      </c>
      <c r="O40" s="67">
        <f t="shared" si="53"/>
        <v>0</v>
      </c>
      <c r="P40" s="34">
        <f t="shared" si="54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5"/>
        <v>#VALUE!</v>
      </c>
      <c r="U40" s="48" t="e">
        <f t="shared" si="2"/>
        <v>#VALUE!</v>
      </c>
      <c r="V40" s="49">
        <f t="shared" si="56"/>
        <v>0</v>
      </c>
      <c r="W40" s="49">
        <f t="shared" si="57"/>
        <v>0</v>
      </c>
      <c r="X40" s="50" t="e">
        <f t="shared" si="58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5"/>
        <v>0</v>
      </c>
      <c r="M41" s="33"/>
      <c r="N41" s="43">
        <f t="shared" si="52"/>
        <v>0</v>
      </c>
      <c r="O41" s="67">
        <f t="shared" si="53"/>
        <v>0</v>
      </c>
      <c r="P41" s="34">
        <f t="shared" si="54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5"/>
        <v>#VALUE!</v>
      </c>
      <c r="U41" s="48" t="e">
        <f t="shared" si="2"/>
        <v>#VALUE!</v>
      </c>
      <c r="V41" s="49">
        <f t="shared" si="56"/>
        <v>0</v>
      </c>
      <c r="W41" s="49">
        <f t="shared" si="57"/>
        <v>0</v>
      </c>
      <c r="X41" s="50" t="e">
        <f t="shared" si="58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5"/>
        <v>0</v>
      </c>
      <c r="M42" s="33"/>
      <c r="N42" s="43">
        <f t="shared" si="52"/>
        <v>0</v>
      </c>
      <c r="O42" s="67">
        <f t="shared" si="53"/>
        <v>0</v>
      </c>
      <c r="P42" s="34">
        <f t="shared" si="54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5"/>
        <v>#VALUE!</v>
      </c>
      <c r="U42" s="48" t="e">
        <f t="shared" si="2"/>
        <v>#VALUE!</v>
      </c>
      <c r="V42" s="49">
        <f t="shared" si="56"/>
        <v>0</v>
      </c>
      <c r="W42" s="49">
        <f t="shared" si="57"/>
        <v>0</v>
      </c>
      <c r="X42" s="50" t="e">
        <f t="shared" si="58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5"/>
        <v>0</v>
      </c>
      <c r="M43" s="33"/>
      <c r="N43" s="43">
        <f t="shared" si="52"/>
        <v>0</v>
      </c>
      <c r="O43" s="67">
        <f t="shared" si="53"/>
        <v>0</v>
      </c>
      <c r="P43" s="34">
        <f t="shared" si="54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5"/>
        <v>#VALUE!</v>
      </c>
      <c r="U43" s="48" t="e">
        <f t="shared" si="2"/>
        <v>#VALUE!</v>
      </c>
      <c r="V43" s="49">
        <f t="shared" si="56"/>
        <v>0</v>
      </c>
      <c r="W43" s="49">
        <f t="shared" si="57"/>
        <v>0</v>
      </c>
      <c r="X43" s="50" t="e">
        <f t="shared" si="58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5"/>
        <v>0</v>
      </c>
      <c r="M44" s="33"/>
      <c r="N44" s="43">
        <f t="shared" si="52"/>
        <v>0</v>
      </c>
      <c r="O44" s="67">
        <f t="shared" si="53"/>
        <v>0</v>
      </c>
      <c r="P44" s="34">
        <f t="shared" si="54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5"/>
        <v>#VALUE!</v>
      </c>
      <c r="U44" s="48" t="e">
        <f t="shared" si="2"/>
        <v>#VALUE!</v>
      </c>
      <c r="V44" s="49">
        <f t="shared" si="56"/>
        <v>0</v>
      </c>
      <c r="W44" s="49">
        <f t="shared" si="57"/>
        <v>0</v>
      </c>
      <c r="X44" s="50" t="e">
        <f t="shared" si="58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5"/>
        <v>0</v>
      </c>
      <c r="M45" s="33"/>
      <c r="N45" s="43">
        <f t="shared" si="52"/>
        <v>0</v>
      </c>
      <c r="O45" s="67">
        <f t="shared" si="53"/>
        <v>0</v>
      </c>
      <c r="P45" s="34">
        <f t="shared" si="54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5"/>
        <v>#VALUE!</v>
      </c>
      <c r="U45" s="48" t="e">
        <f t="shared" si="2"/>
        <v>#VALUE!</v>
      </c>
      <c r="V45" s="49">
        <f t="shared" si="56"/>
        <v>0</v>
      </c>
      <c r="W45" s="49">
        <f t="shared" si="57"/>
        <v>0</v>
      </c>
      <c r="X45" s="50" t="e">
        <f t="shared" si="58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5"/>
        <v>0</v>
      </c>
      <c r="M46" s="33"/>
      <c r="N46" s="43">
        <f t="shared" si="52"/>
        <v>0</v>
      </c>
      <c r="O46" s="67">
        <f t="shared" si="53"/>
        <v>0</v>
      </c>
      <c r="P46" s="34">
        <f t="shared" si="54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5"/>
        <v>#VALUE!</v>
      </c>
      <c r="U46" s="48" t="e">
        <f t="shared" si="2"/>
        <v>#VALUE!</v>
      </c>
      <c r="V46" s="49">
        <f t="shared" si="56"/>
        <v>0</v>
      </c>
      <c r="W46" s="49">
        <f t="shared" si="57"/>
        <v>0</v>
      </c>
      <c r="X46" s="50" t="e">
        <f t="shared" si="58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5"/>
        <v>0</v>
      </c>
      <c r="M47" s="33"/>
      <c r="N47" s="43">
        <f t="shared" si="52"/>
        <v>0</v>
      </c>
      <c r="O47" s="67">
        <f t="shared" si="53"/>
        <v>0</v>
      </c>
      <c r="P47" s="34">
        <f t="shared" si="54"/>
        <v>0</v>
      </c>
      <c r="Q47" s="45"/>
      <c r="R47" s="46"/>
      <c r="S47" s="46"/>
      <c r="T47" s="47"/>
      <c r="U47" s="48"/>
      <c r="V47" s="49">
        <f t="shared" si="56"/>
        <v>0</v>
      </c>
      <c r="W47" s="49">
        <f t="shared" si="57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5"/>
        <v>0</v>
      </c>
      <c r="M48" s="33"/>
      <c r="N48" s="43">
        <f t="shared" si="52"/>
        <v>0</v>
      </c>
      <c r="O48" s="67">
        <f t="shared" ref="O48:O60" si="66">SUM(F48:H48)/20</f>
        <v>0</v>
      </c>
      <c r="P48" s="34">
        <f t="shared" ref="P48:P60" si="67">SUM(I48:K48)/20</f>
        <v>0</v>
      </c>
      <c r="Q48" s="45"/>
      <c r="R48" s="46"/>
      <c r="S48" s="46"/>
      <c r="T48" s="47"/>
      <c r="U48" s="48"/>
      <c r="V48" s="49">
        <f t="shared" ref="V48:V60" si="68">SUM(F48:H48)*$V$3</f>
        <v>0</v>
      </c>
      <c r="W48" s="49">
        <f t="shared" ref="W48:W60" si="69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5"/>
        <v>0</v>
      </c>
      <c r="M49" s="33"/>
      <c r="N49" s="43">
        <f t="shared" si="52"/>
        <v>0</v>
      </c>
      <c r="O49" s="67">
        <f t="shared" si="66"/>
        <v>0</v>
      </c>
      <c r="P49" s="34">
        <f t="shared" si="67"/>
        <v>0</v>
      </c>
      <c r="Q49" s="45"/>
      <c r="R49" s="46"/>
      <c r="S49" s="46"/>
      <c r="T49" s="47"/>
      <c r="U49" s="48"/>
      <c r="V49" s="49">
        <f t="shared" si="68"/>
        <v>0</v>
      </c>
      <c r="W49" s="49">
        <f t="shared" si="69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5"/>
        <v>0</v>
      </c>
      <c r="M50" s="33"/>
      <c r="N50" s="43">
        <f t="shared" si="52"/>
        <v>0</v>
      </c>
      <c r="O50" s="67">
        <f t="shared" si="66"/>
        <v>0</v>
      </c>
      <c r="P50" s="34">
        <f t="shared" si="67"/>
        <v>0</v>
      </c>
      <c r="Q50" s="45"/>
      <c r="R50" s="46"/>
      <c r="S50" s="46"/>
      <c r="T50" s="47"/>
      <c r="U50" s="48"/>
      <c r="V50" s="49">
        <f t="shared" si="68"/>
        <v>0</v>
      </c>
      <c r="W50" s="49">
        <f t="shared" si="69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5"/>
        <v>0</v>
      </c>
      <c r="M51" s="33"/>
      <c r="N51" s="43">
        <f t="shared" si="52"/>
        <v>0</v>
      </c>
      <c r="O51" s="67">
        <f t="shared" si="66"/>
        <v>0</v>
      </c>
      <c r="P51" s="34">
        <f t="shared" si="67"/>
        <v>0</v>
      </c>
      <c r="Q51" s="45"/>
      <c r="R51" s="46"/>
      <c r="S51" s="46"/>
      <c r="T51" s="47"/>
      <c r="U51" s="48"/>
      <c r="V51" s="49">
        <f t="shared" si="68"/>
        <v>0</v>
      </c>
      <c r="W51" s="49">
        <f t="shared" si="69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5"/>
        <v>0</v>
      </c>
      <c r="M52" s="33"/>
      <c r="N52" s="43">
        <f t="shared" si="52"/>
        <v>0</v>
      </c>
      <c r="O52" s="67">
        <f t="shared" si="66"/>
        <v>0</v>
      </c>
      <c r="P52" s="34">
        <f t="shared" si="67"/>
        <v>0</v>
      </c>
      <c r="Q52" s="45"/>
      <c r="R52" s="46"/>
      <c r="S52" s="46"/>
      <c r="T52" s="47"/>
      <c r="U52" s="48"/>
      <c r="V52" s="49">
        <f t="shared" si="68"/>
        <v>0</v>
      </c>
      <c r="W52" s="49">
        <f t="shared" si="69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5"/>
        <v>0</v>
      </c>
      <c r="M53" s="33"/>
      <c r="N53" s="43">
        <f t="shared" si="52"/>
        <v>0</v>
      </c>
      <c r="O53" s="67">
        <f t="shared" si="66"/>
        <v>0</v>
      </c>
      <c r="P53" s="34">
        <f t="shared" si="67"/>
        <v>0</v>
      </c>
      <c r="Q53" s="45"/>
      <c r="R53" s="46"/>
      <c r="S53" s="46"/>
      <c r="T53" s="47"/>
      <c r="U53" s="48"/>
      <c r="V53" s="49">
        <f t="shared" si="68"/>
        <v>0</v>
      </c>
      <c r="W53" s="49">
        <f t="shared" si="69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5"/>
        <v>0</v>
      </c>
      <c r="M54" s="33"/>
      <c r="N54" s="43">
        <f t="shared" si="52"/>
        <v>0</v>
      </c>
      <c r="O54" s="67">
        <f t="shared" si="66"/>
        <v>0</v>
      </c>
      <c r="P54" s="34">
        <f t="shared" si="67"/>
        <v>0</v>
      </c>
      <c r="Q54" s="45"/>
      <c r="R54" s="46"/>
      <c r="S54" s="46"/>
      <c r="T54" s="47"/>
      <c r="U54" s="48"/>
      <c r="V54" s="49">
        <f t="shared" si="68"/>
        <v>0</v>
      </c>
      <c r="W54" s="49">
        <f t="shared" si="69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5"/>
        <v>0</v>
      </c>
      <c r="M55" s="33"/>
      <c r="N55" s="43">
        <f t="shared" si="52"/>
        <v>0</v>
      </c>
      <c r="O55" s="67">
        <f t="shared" si="66"/>
        <v>0</v>
      </c>
      <c r="P55" s="34">
        <f t="shared" si="67"/>
        <v>0</v>
      </c>
      <c r="Q55" s="45"/>
      <c r="R55" s="46"/>
      <c r="S55" s="46"/>
      <c r="T55" s="47"/>
      <c r="U55" s="48"/>
      <c r="V55" s="49">
        <f t="shared" si="68"/>
        <v>0</v>
      </c>
      <c r="W55" s="49">
        <f t="shared" si="69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5"/>
        <v>0</v>
      </c>
      <c r="M56" s="33"/>
      <c r="N56" s="43">
        <f t="shared" si="52"/>
        <v>0</v>
      </c>
      <c r="O56" s="67">
        <f t="shared" si="66"/>
        <v>0</v>
      </c>
      <c r="P56" s="34">
        <f t="shared" si="67"/>
        <v>0</v>
      </c>
      <c r="Q56" s="45"/>
      <c r="R56" s="46"/>
      <c r="S56" s="46"/>
      <c r="T56" s="47"/>
      <c r="U56" s="48"/>
      <c r="V56" s="49">
        <f t="shared" si="68"/>
        <v>0</v>
      </c>
      <c r="W56" s="49">
        <f t="shared" si="69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5"/>
        <v>0</v>
      </c>
      <c r="M57" s="33"/>
      <c r="N57" s="43">
        <f t="shared" si="52"/>
        <v>0</v>
      </c>
      <c r="O57" s="67">
        <f t="shared" si="66"/>
        <v>0</v>
      </c>
      <c r="P57" s="34">
        <f t="shared" si="67"/>
        <v>0</v>
      </c>
      <c r="Q57" s="45"/>
      <c r="R57" s="46"/>
      <c r="S57" s="46"/>
      <c r="T57" s="47"/>
      <c r="U57" s="48"/>
      <c r="V57" s="49">
        <f t="shared" si="68"/>
        <v>0</v>
      </c>
      <c r="W57" s="49">
        <f t="shared" si="69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5"/>
        <v>0</v>
      </c>
      <c r="M58" s="33"/>
      <c r="N58" s="43">
        <f t="shared" si="52"/>
        <v>0</v>
      </c>
      <c r="O58" s="67">
        <f t="shared" si="66"/>
        <v>0</v>
      </c>
      <c r="P58" s="34">
        <f t="shared" si="67"/>
        <v>0</v>
      </c>
      <c r="Q58" s="45"/>
      <c r="R58" s="46"/>
      <c r="S58" s="46"/>
      <c r="T58" s="47"/>
      <c r="U58" s="48"/>
      <c r="V58" s="49">
        <f t="shared" si="68"/>
        <v>0</v>
      </c>
      <c r="W58" s="49">
        <f t="shared" si="69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5"/>
        <v>0</v>
      </c>
      <c r="M59" s="33"/>
      <c r="N59" s="43">
        <f t="shared" si="52"/>
        <v>0</v>
      </c>
      <c r="O59" s="67">
        <f t="shared" si="66"/>
        <v>0</v>
      </c>
      <c r="P59" s="34">
        <f t="shared" si="67"/>
        <v>0</v>
      </c>
      <c r="Q59" s="45"/>
      <c r="R59" s="46"/>
      <c r="S59" s="46"/>
      <c r="T59" s="47"/>
      <c r="U59" s="48"/>
      <c r="V59" s="49">
        <f t="shared" si="68"/>
        <v>0</v>
      </c>
      <c r="W59" s="49">
        <f t="shared" si="69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5"/>
        <v>0</v>
      </c>
      <c r="M60" s="33"/>
      <c r="N60" s="43">
        <f t="shared" si="52"/>
        <v>0</v>
      </c>
      <c r="O60" s="67">
        <f t="shared" si="66"/>
        <v>0</v>
      </c>
      <c r="P60" s="34">
        <f t="shared" si="67"/>
        <v>0</v>
      </c>
      <c r="Q60" s="45"/>
      <c r="R60" s="46"/>
      <c r="S60" s="46"/>
      <c r="T60" s="47"/>
      <c r="U60" s="48"/>
      <c r="V60" s="49">
        <f t="shared" si="68"/>
        <v>0</v>
      </c>
      <c r="W60" s="49">
        <f t="shared" si="69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5"/>
        <v>0</v>
      </c>
      <c r="M61" s="33"/>
      <c r="N61" s="43">
        <f t="shared" si="52"/>
        <v>0</v>
      </c>
      <c r="O61" s="67">
        <f t="shared" si="40"/>
        <v>0</v>
      </c>
      <c r="P61" s="34">
        <f t="shared" si="41"/>
        <v>0</v>
      </c>
      <c r="Q61" s="45" t="e">
        <f t="shared" ref="Q61:Q92" si="70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2"/>
        <v>#VALUE!</v>
      </c>
      <c r="U61" s="48" t="e">
        <f t="shared" ref="U61:U92" si="71">SUM(E61:E61)*$U$3</f>
        <v>#VALUE!</v>
      </c>
      <c r="V61" s="49">
        <f t="shared" si="43"/>
        <v>0</v>
      </c>
      <c r="W61" s="49">
        <f t="shared" si="44"/>
        <v>0</v>
      </c>
      <c r="X61" s="50" t="e">
        <f t="shared" si="45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5"/>
        <v>0</v>
      </c>
      <c r="M62" s="33"/>
      <c r="N62" s="43">
        <f t="shared" si="52"/>
        <v>0</v>
      </c>
      <c r="O62" s="67">
        <f t="shared" ref="O62:O79" si="72">SUM(F62:H62)/20</f>
        <v>0</v>
      </c>
      <c r="P62" s="34">
        <f t="shared" ref="P62:P79" si="73">SUM(I62:K62)/20</f>
        <v>0</v>
      </c>
      <c r="Q62" s="45" t="e">
        <f t="shared" si="70"/>
        <v>#VALUE!</v>
      </c>
      <c r="R62" s="46">
        <f t="shared" si="5"/>
        <v>0</v>
      </c>
      <c r="S62" s="46">
        <f t="shared" si="6"/>
        <v>0</v>
      </c>
      <c r="T62" s="47" t="e">
        <f t="shared" ref="T62:T79" si="74">SUM(Q62:S62)</f>
        <v>#VALUE!</v>
      </c>
      <c r="U62" s="48" t="e">
        <f t="shared" si="71"/>
        <v>#VALUE!</v>
      </c>
      <c r="V62" s="49">
        <f t="shared" ref="V62:V79" si="75">SUM(F62:H62)*$V$3</f>
        <v>0</v>
      </c>
      <c r="W62" s="49">
        <f t="shared" ref="W62:W79" si="76">SUM(I62:K62)*$W$3</f>
        <v>0</v>
      </c>
      <c r="X62" s="50" t="e">
        <f t="shared" ref="X62:X79" si="77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5"/>
        <v>0</v>
      </c>
      <c r="M63" s="33"/>
      <c r="N63" s="43">
        <f t="shared" si="52"/>
        <v>0</v>
      </c>
      <c r="O63" s="67">
        <f t="shared" si="72"/>
        <v>0</v>
      </c>
      <c r="P63" s="34">
        <f t="shared" si="73"/>
        <v>0</v>
      </c>
      <c r="Q63" s="45" t="e">
        <f t="shared" si="70"/>
        <v>#VALUE!</v>
      </c>
      <c r="R63" s="46">
        <f t="shared" si="5"/>
        <v>0</v>
      </c>
      <c r="S63" s="46">
        <f t="shared" si="6"/>
        <v>0</v>
      </c>
      <c r="T63" s="47" t="e">
        <f t="shared" si="74"/>
        <v>#VALUE!</v>
      </c>
      <c r="U63" s="48" t="e">
        <f t="shared" si="71"/>
        <v>#VALUE!</v>
      </c>
      <c r="V63" s="49">
        <f t="shared" si="75"/>
        <v>0</v>
      </c>
      <c r="W63" s="49">
        <f t="shared" si="76"/>
        <v>0</v>
      </c>
      <c r="X63" s="50" t="e">
        <f t="shared" si="77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5"/>
        <v>0</v>
      </c>
      <c r="M64" s="33"/>
      <c r="N64" s="43">
        <f t="shared" si="52"/>
        <v>0</v>
      </c>
      <c r="O64" s="67">
        <f t="shared" si="72"/>
        <v>0</v>
      </c>
      <c r="P64" s="34">
        <f t="shared" si="73"/>
        <v>0</v>
      </c>
      <c r="Q64" s="45" t="e">
        <f t="shared" si="70"/>
        <v>#VALUE!</v>
      </c>
      <c r="R64" s="46">
        <f t="shared" si="5"/>
        <v>0</v>
      </c>
      <c r="S64" s="46">
        <f t="shared" si="6"/>
        <v>0</v>
      </c>
      <c r="T64" s="47" t="e">
        <f t="shared" si="74"/>
        <v>#VALUE!</v>
      </c>
      <c r="U64" s="48" t="e">
        <f t="shared" si="71"/>
        <v>#VALUE!</v>
      </c>
      <c r="V64" s="49">
        <f t="shared" si="75"/>
        <v>0</v>
      </c>
      <c r="W64" s="49">
        <f t="shared" si="76"/>
        <v>0</v>
      </c>
      <c r="X64" s="50" t="e">
        <f t="shared" si="77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5"/>
        <v>0</v>
      </c>
      <c r="M65" s="33"/>
      <c r="N65" s="43">
        <f t="shared" si="52"/>
        <v>0</v>
      </c>
      <c r="O65" s="67">
        <f t="shared" si="72"/>
        <v>0</v>
      </c>
      <c r="P65" s="34">
        <f t="shared" si="73"/>
        <v>0</v>
      </c>
      <c r="Q65" s="45" t="e">
        <f t="shared" si="70"/>
        <v>#VALUE!</v>
      </c>
      <c r="R65" s="46">
        <f t="shared" si="5"/>
        <v>0</v>
      </c>
      <c r="S65" s="46">
        <f t="shared" si="6"/>
        <v>0</v>
      </c>
      <c r="T65" s="47" t="e">
        <f t="shared" si="74"/>
        <v>#VALUE!</v>
      </c>
      <c r="U65" s="48" t="e">
        <f t="shared" si="71"/>
        <v>#VALUE!</v>
      </c>
      <c r="V65" s="49">
        <f t="shared" si="75"/>
        <v>0</v>
      </c>
      <c r="W65" s="49">
        <f t="shared" si="76"/>
        <v>0</v>
      </c>
      <c r="X65" s="50" t="e">
        <f t="shared" si="77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5"/>
        <v>0</v>
      </c>
      <c r="M66" s="33"/>
      <c r="N66" s="43">
        <f t="shared" ref="N66:N97" si="78">SUMPRODUCT($E$3:$K$3,$E$6:$K$6)/1000</f>
        <v>0</v>
      </c>
      <c r="O66" s="67">
        <f t="shared" si="72"/>
        <v>0</v>
      </c>
      <c r="P66" s="34">
        <f t="shared" si="73"/>
        <v>0</v>
      </c>
      <c r="Q66" s="45" t="e">
        <f t="shared" si="70"/>
        <v>#VALUE!</v>
      </c>
      <c r="R66" s="46">
        <f t="shared" si="5"/>
        <v>0</v>
      </c>
      <c r="S66" s="46">
        <f t="shared" si="6"/>
        <v>0</v>
      </c>
      <c r="T66" s="47" t="e">
        <f t="shared" si="74"/>
        <v>#VALUE!</v>
      </c>
      <c r="U66" s="48" t="e">
        <f t="shared" si="71"/>
        <v>#VALUE!</v>
      </c>
      <c r="V66" s="49">
        <f t="shared" si="75"/>
        <v>0</v>
      </c>
      <c r="W66" s="49">
        <f t="shared" si="76"/>
        <v>0</v>
      </c>
      <c r="X66" s="50" t="e">
        <f t="shared" si="77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5"/>
        <v>0</v>
      </c>
      <c r="M67" s="33"/>
      <c r="N67" s="43">
        <f t="shared" si="78"/>
        <v>0</v>
      </c>
      <c r="O67" s="67">
        <f t="shared" si="72"/>
        <v>0</v>
      </c>
      <c r="P67" s="34">
        <f t="shared" si="73"/>
        <v>0</v>
      </c>
      <c r="Q67" s="45" t="e">
        <f t="shared" si="70"/>
        <v>#VALUE!</v>
      </c>
      <c r="R67" s="46">
        <f t="shared" si="5"/>
        <v>0</v>
      </c>
      <c r="S67" s="46">
        <f t="shared" si="6"/>
        <v>0</v>
      </c>
      <c r="T67" s="47" t="e">
        <f t="shared" si="74"/>
        <v>#VALUE!</v>
      </c>
      <c r="U67" s="48" t="e">
        <f t="shared" si="71"/>
        <v>#VALUE!</v>
      </c>
      <c r="V67" s="49">
        <f t="shared" si="75"/>
        <v>0</v>
      </c>
      <c r="W67" s="49">
        <f t="shared" si="76"/>
        <v>0</v>
      </c>
      <c r="X67" s="50" t="e">
        <f t="shared" si="77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5"/>
        <v>0</v>
      </c>
      <c r="M68" s="33"/>
      <c r="N68" s="43">
        <f t="shared" si="78"/>
        <v>0</v>
      </c>
      <c r="O68" s="67">
        <f t="shared" si="72"/>
        <v>0</v>
      </c>
      <c r="P68" s="34">
        <f t="shared" si="73"/>
        <v>0</v>
      </c>
      <c r="Q68" s="45" t="e">
        <f t="shared" si="70"/>
        <v>#VALUE!</v>
      </c>
      <c r="R68" s="46">
        <f t="shared" si="5"/>
        <v>0</v>
      </c>
      <c r="S68" s="46">
        <f t="shared" si="6"/>
        <v>0</v>
      </c>
      <c r="T68" s="47" t="e">
        <f t="shared" si="74"/>
        <v>#VALUE!</v>
      </c>
      <c r="U68" s="48" t="e">
        <f t="shared" si="71"/>
        <v>#VALUE!</v>
      </c>
      <c r="V68" s="49">
        <f t="shared" si="75"/>
        <v>0</v>
      </c>
      <c r="W68" s="49">
        <f t="shared" si="76"/>
        <v>0</v>
      </c>
      <c r="X68" s="50" t="e">
        <f t="shared" si="77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79">SUM(E69:K69)/40</f>
        <v>0</v>
      </c>
      <c r="M69" s="33"/>
      <c r="N69" s="43">
        <f t="shared" si="78"/>
        <v>0</v>
      </c>
      <c r="O69" s="67">
        <f t="shared" si="72"/>
        <v>0</v>
      </c>
      <c r="P69" s="34">
        <f t="shared" si="73"/>
        <v>0</v>
      </c>
      <c r="Q69" s="45" t="e">
        <f t="shared" si="70"/>
        <v>#VALUE!</v>
      </c>
      <c r="R69" s="46">
        <f t="shared" si="5"/>
        <v>0</v>
      </c>
      <c r="S69" s="46">
        <f t="shared" si="6"/>
        <v>0</v>
      </c>
      <c r="T69" s="47" t="e">
        <f t="shared" si="74"/>
        <v>#VALUE!</v>
      </c>
      <c r="U69" s="48" t="e">
        <f t="shared" si="71"/>
        <v>#VALUE!</v>
      </c>
      <c r="V69" s="49">
        <f t="shared" si="75"/>
        <v>0</v>
      </c>
      <c r="W69" s="49">
        <f t="shared" si="76"/>
        <v>0</v>
      </c>
      <c r="X69" s="50" t="e">
        <f t="shared" si="77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79"/>
        <v>0</v>
      </c>
      <c r="M70" s="33"/>
      <c r="N70" s="43">
        <f t="shared" si="78"/>
        <v>0</v>
      </c>
      <c r="O70" s="67">
        <f t="shared" si="72"/>
        <v>0</v>
      </c>
      <c r="P70" s="34">
        <f t="shared" si="73"/>
        <v>0</v>
      </c>
      <c r="Q70" s="45" t="e">
        <f t="shared" si="70"/>
        <v>#VALUE!</v>
      </c>
      <c r="R70" s="46">
        <f t="shared" si="5"/>
        <v>0</v>
      </c>
      <c r="S70" s="46">
        <f t="shared" si="6"/>
        <v>0</v>
      </c>
      <c r="T70" s="47" t="e">
        <f t="shared" si="74"/>
        <v>#VALUE!</v>
      </c>
      <c r="U70" s="48" t="e">
        <f t="shared" si="71"/>
        <v>#VALUE!</v>
      </c>
      <c r="V70" s="49">
        <f t="shared" si="75"/>
        <v>0</v>
      </c>
      <c r="W70" s="49">
        <f t="shared" si="76"/>
        <v>0</v>
      </c>
      <c r="X70" s="50" t="e">
        <f t="shared" si="77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79"/>
        <v>0</v>
      </c>
      <c r="M71" s="33"/>
      <c r="N71" s="43">
        <f t="shared" si="78"/>
        <v>0</v>
      </c>
      <c r="O71" s="67">
        <f t="shared" si="72"/>
        <v>0</v>
      </c>
      <c r="P71" s="34">
        <f t="shared" si="73"/>
        <v>0</v>
      </c>
      <c r="Q71" s="45" t="e">
        <f t="shared" si="70"/>
        <v>#VALUE!</v>
      </c>
      <c r="R71" s="46">
        <f t="shared" si="5"/>
        <v>0</v>
      </c>
      <c r="S71" s="46">
        <f t="shared" si="6"/>
        <v>0</v>
      </c>
      <c r="T71" s="47" t="e">
        <f t="shared" si="74"/>
        <v>#VALUE!</v>
      </c>
      <c r="U71" s="48" t="e">
        <f t="shared" si="71"/>
        <v>#VALUE!</v>
      </c>
      <c r="V71" s="49">
        <f t="shared" si="75"/>
        <v>0</v>
      </c>
      <c r="W71" s="49">
        <f t="shared" si="76"/>
        <v>0</v>
      </c>
      <c r="X71" s="50" t="e">
        <f t="shared" si="77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79"/>
        <v>0</v>
      </c>
      <c r="M72" s="33"/>
      <c r="N72" s="43">
        <f t="shared" si="78"/>
        <v>0</v>
      </c>
      <c r="O72" s="67">
        <f t="shared" si="72"/>
        <v>0</v>
      </c>
      <c r="P72" s="34">
        <f t="shared" si="73"/>
        <v>0</v>
      </c>
      <c r="Q72" s="45" t="e">
        <f t="shared" si="70"/>
        <v>#VALUE!</v>
      </c>
      <c r="R72" s="46">
        <f t="shared" si="5"/>
        <v>0</v>
      </c>
      <c r="S72" s="46">
        <f t="shared" si="6"/>
        <v>0</v>
      </c>
      <c r="T72" s="47" t="e">
        <f t="shared" si="74"/>
        <v>#VALUE!</v>
      </c>
      <c r="U72" s="48" t="e">
        <f t="shared" si="71"/>
        <v>#VALUE!</v>
      </c>
      <c r="V72" s="49">
        <f t="shared" si="75"/>
        <v>0</v>
      </c>
      <c r="W72" s="49">
        <f t="shared" si="76"/>
        <v>0</v>
      </c>
      <c r="X72" s="50" t="e">
        <f t="shared" si="77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79"/>
        <v>0</v>
      </c>
      <c r="M73" s="33"/>
      <c r="N73" s="43">
        <f t="shared" si="78"/>
        <v>0</v>
      </c>
      <c r="O73" s="67">
        <f t="shared" si="72"/>
        <v>0</v>
      </c>
      <c r="P73" s="34">
        <f t="shared" si="73"/>
        <v>0</v>
      </c>
      <c r="Q73" s="45" t="e">
        <f t="shared" si="70"/>
        <v>#VALUE!</v>
      </c>
      <c r="R73" s="46">
        <f t="shared" si="5"/>
        <v>0</v>
      </c>
      <c r="S73" s="46">
        <f t="shared" si="6"/>
        <v>0</v>
      </c>
      <c r="T73" s="47" t="e">
        <f t="shared" si="74"/>
        <v>#VALUE!</v>
      </c>
      <c r="U73" s="48" t="e">
        <f t="shared" si="71"/>
        <v>#VALUE!</v>
      </c>
      <c r="V73" s="49">
        <f t="shared" si="75"/>
        <v>0</v>
      </c>
      <c r="W73" s="49">
        <f t="shared" si="76"/>
        <v>0</v>
      </c>
      <c r="X73" s="50" t="e">
        <f t="shared" si="77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79"/>
        <v>0</v>
      </c>
      <c r="M74" s="33"/>
      <c r="N74" s="43">
        <f t="shared" si="78"/>
        <v>0</v>
      </c>
      <c r="O74" s="67">
        <f t="shared" si="72"/>
        <v>0</v>
      </c>
      <c r="P74" s="34">
        <f t="shared" si="73"/>
        <v>0</v>
      </c>
      <c r="Q74" s="45" t="e">
        <f t="shared" si="70"/>
        <v>#VALUE!</v>
      </c>
      <c r="R74" s="46">
        <f t="shared" si="5"/>
        <v>0</v>
      </c>
      <c r="S74" s="46">
        <f t="shared" si="6"/>
        <v>0</v>
      </c>
      <c r="T74" s="47" t="e">
        <f t="shared" si="74"/>
        <v>#VALUE!</v>
      </c>
      <c r="U74" s="48" t="e">
        <f t="shared" si="71"/>
        <v>#VALUE!</v>
      </c>
      <c r="V74" s="49">
        <f t="shared" si="75"/>
        <v>0</v>
      </c>
      <c r="W74" s="49">
        <f t="shared" si="76"/>
        <v>0</v>
      </c>
      <c r="X74" s="50" t="e">
        <f t="shared" si="77"/>
        <v>#VALUE!</v>
      </c>
    </row>
    <row r="75" spans="1:24" x14ac:dyDescent="0.35">
      <c r="A75" s="72"/>
      <c r="B75" s="41">
        <v>71</v>
      </c>
      <c r="C75" s="132"/>
      <c r="D75" s="132"/>
      <c r="E75" s="69"/>
      <c r="F75" s="69"/>
      <c r="G75" s="69"/>
      <c r="H75" s="131"/>
      <c r="I75" s="69"/>
      <c r="J75" s="69"/>
      <c r="K75" s="69"/>
      <c r="L75" s="122">
        <f t="shared" si="79"/>
        <v>0</v>
      </c>
      <c r="M75" s="33"/>
      <c r="N75" s="43">
        <f t="shared" si="78"/>
        <v>0</v>
      </c>
      <c r="O75" s="67">
        <f t="shared" si="72"/>
        <v>0</v>
      </c>
      <c r="P75" s="34">
        <f t="shared" si="73"/>
        <v>0</v>
      </c>
      <c r="Q75" s="45" t="e">
        <f t="shared" si="70"/>
        <v>#VALUE!</v>
      </c>
      <c r="R75" s="46">
        <f t="shared" si="5"/>
        <v>0</v>
      </c>
      <c r="S75" s="46">
        <f t="shared" si="6"/>
        <v>0</v>
      </c>
      <c r="T75" s="47" t="e">
        <f t="shared" si="74"/>
        <v>#VALUE!</v>
      </c>
      <c r="U75" s="48" t="e">
        <f t="shared" si="71"/>
        <v>#VALUE!</v>
      </c>
      <c r="V75" s="49">
        <f t="shared" si="75"/>
        <v>0</v>
      </c>
      <c r="W75" s="49">
        <f t="shared" si="76"/>
        <v>0</v>
      </c>
      <c r="X75" s="50" t="e">
        <f t="shared" si="77"/>
        <v>#VALUE!</v>
      </c>
    </row>
    <row r="76" spans="1:24" x14ac:dyDescent="0.35">
      <c r="A76" s="72"/>
      <c r="B76" s="41">
        <v>72</v>
      </c>
      <c r="C76" s="132"/>
      <c r="D76" s="132"/>
      <c r="E76" s="69"/>
      <c r="F76" s="69"/>
      <c r="G76" s="69"/>
      <c r="H76" s="131"/>
      <c r="I76" s="69"/>
      <c r="J76" s="69"/>
      <c r="K76" s="69"/>
      <c r="L76" s="122">
        <f t="shared" si="79"/>
        <v>0</v>
      </c>
      <c r="M76" s="33"/>
      <c r="N76" s="43">
        <f t="shared" si="78"/>
        <v>0</v>
      </c>
      <c r="O76" s="67">
        <f t="shared" si="72"/>
        <v>0</v>
      </c>
      <c r="P76" s="34">
        <f t="shared" si="73"/>
        <v>0</v>
      </c>
      <c r="Q76" s="45" t="e">
        <f t="shared" si="70"/>
        <v>#VALUE!</v>
      </c>
      <c r="R76" s="46">
        <f t="shared" si="5"/>
        <v>0</v>
      </c>
      <c r="S76" s="46">
        <f t="shared" si="6"/>
        <v>0</v>
      </c>
      <c r="T76" s="47" t="e">
        <f t="shared" si="74"/>
        <v>#VALUE!</v>
      </c>
      <c r="U76" s="48" t="e">
        <f t="shared" si="71"/>
        <v>#VALUE!</v>
      </c>
      <c r="V76" s="49">
        <f t="shared" si="75"/>
        <v>0</v>
      </c>
      <c r="W76" s="49">
        <f t="shared" si="76"/>
        <v>0</v>
      </c>
      <c r="X76" s="50" t="e">
        <f t="shared" si="77"/>
        <v>#VALUE!</v>
      </c>
    </row>
    <row r="77" spans="1:24" x14ac:dyDescent="0.35">
      <c r="A77" s="72"/>
      <c r="B77" s="41">
        <v>73</v>
      </c>
      <c r="C77" s="132"/>
      <c r="D77" s="132"/>
      <c r="E77" s="69"/>
      <c r="F77" s="69"/>
      <c r="G77" s="69"/>
      <c r="H77" s="131"/>
      <c r="I77" s="69"/>
      <c r="J77" s="69"/>
      <c r="K77" s="69"/>
      <c r="L77" s="122">
        <f t="shared" si="79"/>
        <v>0</v>
      </c>
      <c r="M77" s="33"/>
      <c r="N77" s="43">
        <f t="shared" si="78"/>
        <v>0</v>
      </c>
      <c r="O77" s="67">
        <f t="shared" si="72"/>
        <v>0</v>
      </c>
      <c r="P77" s="34">
        <f t="shared" si="73"/>
        <v>0</v>
      </c>
      <c r="Q77" s="45" t="e">
        <f t="shared" si="70"/>
        <v>#VALUE!</v>
      </c>
      <c r="R77" s="46">
        <f t="shared" si="5"/>
        <v>0</v>
      </c>
      <c r="S77" s="46">
        <f t="shared" si="6"/>
        <v>0</v>
      </c>
      <c r="T77" s="47" t="e">
        <f t="shared" si="74"/>
        <v>#VALUE!</v>
      </c>
      <c r="U77" s="48" t="e">
        <f t="shared" si="71"/>
        <v>#VALUE!</v>
      </c>
      <c r="V77" s="49">
        <f t="shared" si="75"/>
        <v>0</v>
      </c>
      <c r="W77" s="49">
        <f t="shared" si="76"/>
        <v>0</v>
      </c>
      <c r="X77" s="50" t="e">
        <f t="shared" si="77"/>
        <v>#VALUE!</v>
      </c>
    </row>
    <row r="78" spans="1:24" x14ac:dyDescent="0.35">
      <c r="A78" s="72"/>
      <c r="B78" s="41">
        <v>74</v>
      </c>
      <c r="C78" s="132"/>
      <c r="D78" s="132"/>
      <c r="E78" s="69"/>
      <c r="F78" s="69"/>
      <c r="G78" s="69"/>
      <c r="H78" s="131"/>
      <c r="I78" s="69"/>
      <c r="J78" s="69"/>
      <c r="K78" s="69"/>
      <c r="L78" s="122">
        <f t="shared" si="79"/>
        <v>0</v>
      </c>
      <c r="M78" s="33"/>
      <c r="N78" s="43">
        <f t="shared" si="78"/>
        <v>0</v>
      </c>
      <c r="O78" s="67">
        <f t="shared" si="72"/>
        <v>0</v>
      </c>
      <c r="P78" s="34">
        <f t="shared" si="73"/>
        <v>0</v>
      </c>
      <c r="Q78" s="45" t="e">
        <f t="shared" si="70"/>
        <v>#VALUE!</v>
      </c>
      <c r="R78" s="46">
        <f t="shared" si="5"/>
        <v>0</v>
      </c>
      <c r="S78" s="46">
        <f t="shared" si="6"/>
        <v>0</v>
      </c>
      <c r="T78" s="47" t="e">
        <f t="shared" si="74"/>
        <v>#VALUE!</v>
      </c>
      <c r="U78" s="48" t="e">
        <f t="shared" si="71"/>
        <v>#VALUE!</v>
      </c>
      <c r="V78" s="49">
        <f t="shared" si="75"/>
        <v>0</v>
      </c>
      <c r="W78" s="49">
        <f t="shared" si="76"/>
        <v>0</v>
      </c>
      <c r="X78" s="50" t="e">
        <f t="shared" si="77"/>
        <v>#VALUE!</v>
      </c>
    </row>
    <row r="79" spans="1:24" x14ac:dyDescent="0.35">
      <c r="A79" s="72"/>
      <c r="B79" s="41">
        <v>75</v>
      </c>
      <c r="C79" s="132"/>
      <c r="D79" s="132"/>
      <c r="E79" s="69"/>
      <c r="F79" s="69"/>
      <c r="G79" s="69"/>
      <c r="H79" s="131"/>
      <c r="I79" s="69"/>
      <c r="J79" s="69"/>
      <c r="K79" s="69"/>
      <c r="L79" s="122">
        <f t="shared" si="79"/>
        <v>0</v>
      </c>
      <c r="M79" s="33"/>
      <c r="N79" s="43">
        <f t="shared" si="78"/>
        <v>0</v>
      </c>
      <c r="O79" s="67">
        <f t="shared" si="72"/>
        <v>0</v>
      </c>
      <c r="P79" s="34">
        <f t="shared" si="73"/>
        <v>0</v>
      </c>
      <c r="Q79" s="45" t="e">
        <f t="shared" si="70"/>
        <v>#VALUE!</v>
      </c>
      <c r="R79" s="46">
        <f t="shared" si="5"/>
        <v>0</v>
      </c>
      <c r="S79" s="46">
        <f t="shared" si="6"/>
        <v>0</v>
      </c>
      <c r="T79" s="47" t="e">
        <f t="shared" si="74"/>
        <v>#VALUE!</v>
      </c>
      <c r="U79" s="48" t="e">
        <f t="shared" si="71"/>
        <v>#VALUE!</v>
      </c>
      <c r="V79" s="49">
        <f t="shared" si="75"/>
        <v>0</v>
      </c>
      <c r="W79" s="49">
        <f t="shared" si="76"/>
        <v>0</v>
      </c>
      <c r="X79" s="50" t="e">
        <f t="shared" si="77"/>
        <v>#VALUE!</v>
      </c>
    </row>
    <row r="80" spans="1:24" x14ac:dyDescent="0.35">
      <c r="A80" s="72"/>
      <c r="B80" s="41">
        <v>76</v>
      </c>
      <c r="C80" s="132"/>
      <c r="D80" s="132"/>
      <c r="E80" s="69"/>
      <c r="F80" s="69"/>
      <c r="G80" s="69"/>
      <c r="H80" s="131"/>
      <c r="I80" s="69"/>
      <c r="J80" s="69"/>
      <c r="K80" s="69"/>
      <c r="L80" s="122">
        <f t="shared" si="79"/>
        <v>0</v>
      </c>
      <c r="M80" s="33"/>
      <c r="N80" s="43">
        <f t="shared" si="78"/>
        <v>0</v>
      </c>
      <c r="O80" s="67">
        <f t="shared" ref="O80:O84" si="80">SUM(F80:H80)/20</f>
        <v>0</v>
      </c>
      <c r="P80" s="34">
        <f t="shared" ref="P80:P84" si="81">SUM(I80:K80)/20</f>
        <v>0</v>
      </c>
      <c r="Q80" s="45" t="e">
        <f t="shared" si="70"/>
        <v>#VALUE!</v>
      </c>
      <c r="R80" s="46">
        <f t="shared" si="5"/>
        <v>0</v>
      </c>
      <c r="S80" s="46">
        <f t="shared" si="6"/>
        <v>0</v>
      </c>
      <c r="T80" s="47" t="e">
        <f t="shared" ref="T80:T84" si="82">SUM(Q80:S80)</f>
        <v>#VALUE!</v>
      </c>
      <c r="U80" s="48" t="e">
        <f t="shared" si="71"/>
        <v>#VALUE!</v>
      </c>
      <c r="V80" s="49">
        <f t="shared" ref="V80:V84" si="83">SUM(F80:H80)*$V$3</f>
        <v>0</v>
      </c>
      <c r="W80" s="49">
        <f t="shared" ref="W80:W84" si="84">SUM(I80:K80)*$W$3</f>
        <v>0</v>
      </c>
      <c r="X80" s="50" t="e">
        <f t="shared" ref="X80:X84" si="85">SUM(U80:W80)</f>
        <v>#VALUE!</v>
      </c>
    </row>
    <row r="81" spans="1:24" x14ac:dyDescent="0.35">
      <c r="A81" s="72"/>
      <c r="B81" s="41">
        <v>77</v>
      </c>
      <c r="C81" s="132"/>
      <c r="D81" s="132"/>
      <c r="E81" s="69"/>
      <c r="F81" s="69"/>
      <c r="G81" s="69"/>
      <c r="H81" s="131"/>
      <c r="I81" s="69"/>
      <c r="J81" s="69"/>
      <c r="K81" s="69"/>
      <c r="L81" s="122">
        <f t="shared" si="79"/>
        <v>0</v>
      </c>
      <c r="M81" s="33"/>
      <c r="N81" s="43">
        <f t="shared" si="78"/>
        <v>0</v>
      </c>
      <c r="O81" s="67">
        <f t="shared" si="80"/>
        <v>0</v>
      </c>
      <c r="P81" s="34">
        <f t="shared" si="81"/>
        <v>0</v>
      </c>
      <c r="Q81" s="45" t="e">
        <f t="shared" si="70"/>
        <v>#VALUE!</v>
      </c>
      <c r="R81" s="46">
        <f t="shared" si="5"/>
        <v>0</v>
      </c>
      <c r="S81" s="46">
        <f t="shared" si="6"/>
        <v>0</v>
      </c>
      <c r="T81" s="47" t="e">
        <f t="shared" si="82"/>
        <v>#VALUE!</v>
      </c>
      <c r="U81" s="48" t="e">
        <f t="shared" si="71"/>
        <v>#VALUE!</v>
      </c>
      <c r="V81" s="49">
        <f t="shared" si="83"/>
        <v>0</v>
      </c>
      <c r="W81" s="49">
        <f t="shared" si="84"/>
        <v>0</v>
      </c>
      <c r="X81" s="50" t="e">
        <f t="shared" si="85"/>
        <v>#VALUE!</v>
      </c>
    </row>
    <row r="82" spans="1:24" x14ac:dyDescent="0.35">
      <c r="A82" s="72"/>
      <c r="B82" s="41">
        <v>78</v>
      </c>
      <c r="C82" s="132"/>
      <c r="D82" s="132"/>
      <c r="E82" s="69"/>
      <c r="F82" s="69"/>
      <c r="G82" s="69"/>
      <c r="H82" s="131"/>
      <c r="I82" s="69"/>
      <c r="J82" s="69"/>
      <c r="K82" s="69"/>
      <c r="L82" s="122">
        <f t="shared" si="79"/>
        <v>0</v>
      </c>
      <c r="M82" s="33"/>
      <c r="N82" s="43">
        <f t="shared" si="78"/>
        <v>0</v>
      </c>
      <c r="O82" s="67">
        <f t="shared" si="80"/>
        <v>0</v>
      </c>
      <c r="P82" s="34">
        <f t="shared" si="81"/>
        <v>0</v>
      </c>
      <c r="Q82" s="45" t="e">
        <f t="shared" si="70"/>
        <v>#VALUE!</v>
      </c>
      <c r="R82" s="46">
        <f t="shared" si="5"/>
        <v>0</v>
      </c>
      <c r="S82" s="46">
        <f t="shared" si="6"/>
        <v>0</v>
      </c>
      <c r="T82" s="47" t="e">
        <f t="shared" si="82"/>
        <v>#VALUE!</v>
      </c>
      <c r="U82" s="48" t="e">
        <f t="shared" si="71"/>
        <v>#VALUE!</v>
      </c>
      <c r="V82" s="49">
        <f t="shared" si="83"/>
        <v>0</v>
      </c>
      <c r="W82" s="49">
        <f t="shared" si="84"/>
        <v>0</v>
      </c>
      <c r="X82" s="50" t="e">
        <f t="shared" si="85"/>
        <v>#VALUE!</v>
      </c>
    </row>
    <row r="83" spans="1:24" x14ac:dyDescent="0.35">
      <c r="A83" s="72"/>
      <c r="B83" s="41">
        <v>79</v>
      </c>
      <c r="C83" s="132"/>
      <c r="D83" s="132"/>
      <c r="E83" s="69"/>
      <c r="F83" s="69"/>
      <c r="G83" s="69"/>
      <c r="H83" s="131"/>
      <c r="I83" s="69"/>
      <c r="J83" s="69"/>
      <c r="K83" s="69"/>
      <c r="L83" s="122">
        <f t="shared" si="79"/>
        <v>0</v>
      </c>
      <c r="M83" s="33"/>
      <c r="N83" s="43">
        <f t="shared" si="78"/>
        <v>0</v>
      </c>
      <c r="O83" s="67">
        <f t="shared" si="80"/>
        <v>0</v>
      </c>
      <c r="P83" s="34">
        <f t="shared" si="81"/>
        <v>0</v>
      </c>
      <c r="Q83" s="45" t="e">
        <f t="shared" si="70"/>
        <v>#VALUE!</v>
      </c>
      <c r="R83" s="46">
        <f t="shared" si="5"/>
        <v>0</v>
      </c>
      <c r="S83" s="46">
        <f t="shared" si="6"/>
        <v>0</v>
      </c>
      <c r="T83" s="47" t="e">
        <f t="shared" si="82"/>
        <v>#VALUE!</v>
      </c>
      <c r="U83" s="48" t="e">
        <f t="shared" si="71"/>
        <v>#VALUE!</v>
      </c>
      <c r="V83" s="49">
        <f t="shared" si="83"/>
        <v>0</v>
      </c>
      <c r="W83" s="49">
        <f t="shared" si="84"/>
        <v>0</v>
      </c>
      <c r="X83" s="50" t="e">
        <f t="shared" si="85"/>
        <v>#VALUE!</v>
      </c>
    </row>
    <row r="84" spans="1:24" x14ac:dyDescent="0.35">
      <c r="A84" s="72"/>
      <c r="B84" s="41">
        <v>80</v>
      </c>
      <c r="C84" s="132"/>
      <c r="D84" s="132"/>
      <c r="E84" s="69"/>
      <c r="F84" s="69"/>
      <c r="G84" s="69"/>
      <c r="H84" s="131"/>
      <c r="I84" s="69"/>
      <c r="J84" s="69"/>
      <c r="K84" s="69"/>
      <c r="L84" s="122">
        <f t="shared" si="79"/>
        <v>0</v>
      </c>
      <c r="M84" s="33"/>
      <c r="N84" s="43">
        <f t="shared" si="78"/>
        <v>0</v>
      </c>
      <c r="O84" s="67">
        <f t="shared" si="80"/>
        <v>0</v>
      </c>
      <c r="P84" s="34">
        <f t="shared" si="81"/>
        <v>0</v>
      </c>
      <c r="Q84" s="45" t="e">
        <f t="shared" si="70"/>
        <v>#VALUE!</v>
      </c>
      <c r="R84" s="46">
        <f t="shared" si="5"/>
        <v>0</v>
      </c>
      <c r="S84" s="46">
        <f t="shared" si="6"/>
        <v>0</v>
      </c>
      <c r="T84" s="47" t="e">
        <f t="shared" si="82"/>
        <v>#VALUE!</v>
      </c>
      <c r="U84" s="48" t="e">
        <f t="shared" si="71"/>
        <v>#VALUE!</v>
      </c>
      <c r="V84" s="49">
        <f t="shared" si="83"/>
        <v>0</v>
      </c>
      <c r="W84" s="49">
        <f t="shared" si="84"/>
        <v>0</v>
      </c>
      <c r="X84" s="50" t="e">
        <f t="shared" si="85"/>
        <v>#VALUE!</v>
      </c>
    </row>
    <row r="85" spans="1:24" x14ac:dyDescent="0.35">
      <c r="A85" s="72"/>
      <c r="B85" s="41">
        <v>81</v>
      </c>
      <c r="C85" s="132"/>
      <c r="D85" s="132"/>
      <c r="E85" s="69"/>
      <c r="F85" s="69"/>
      <c r="G85" s="69"/>
      <c r="H85" s="131"/>
      <c r="I85" s="69"/>
      <c r="J85" s="69"/>
      <c r="K85" s="69"/>
      <c r="L85" s="122">
        <f t="shared" si="79"/>
        <v>0</v>
      </c>
      <c r="M85" s="33"/>
      <c r="N85" s="43">
        <f t="shared" si="78"/>
        <v>0</v>
      </c>
      <c r="O85" s="67">
        <f t="shared" ref="O85:O132" si="86">SUM(F85:H85)/20</f>
        <v>0</v>
      </c>
      <c r="P85" s="34">
        <f t="shared" ref="P85:P132" si="87">SUM(I85:K85)/20</f>
        <v>0</v>
      </c>
      <c r="Q85" s="45" t="e">
        <f t="shared" si="70"/>
        <v>#VALUE!</v>
      </c>
      <c r="R85" s="46">
        <f t="shared" si="5"/>
        <v>0</v>
      </c>
      <c r="S85" s="46">
        <f t="shared" si="6"/>
        <v>0</v>
      </c>
      <c r="T85" s="47" t="e">
        <f t="shared" ref="T85:T132" si="88">SUM(Q85:S85)</f>
        <v>#VALUE!</v>
      </c>
      <c r="U85" s="48" t="e">
        <f t="shared" si="71"/>
        <v>#VALUE!</v>
      </c>
      <c r="V85" s="49">
        <f t="shared" ref="V85:V132" si="89">SUM(F85:H85)*$V$3</f>
        <v>0</v>
      </c>
      <c r="W85" s="49">
        <f t="shared" ref="W85:W132" si="90">SUM(I85:K85)*$W$3</f>
        <v>0</v>
      </c>
      <c r="X85" s="50" t="e">
        <f t="shared" ref="X85:X132" si="91">SUM(U85:W85)</f>
        <v>#VALUE!</v>
      </c>
    </row>
    <row r="86" spans="1:24" x14ac:dyDescent="0.35">
      <c r="A86" s="72"/>
      <c r="B86" s="41">
        <v>82</v>
      </c>
      <c r="C86" s="132"/>
      <c r="D86" s="132"/>
      <c r="E86" s="69"/>
      <c r="F86" s="69"/>
      <c r="G86" s="69"/>
      <c r="H86" s="131"/>
      <c r="I86" s="69"/>
      <c r="J86" s="69"/>
      <c r="K86" s="69"/>
      <c r="L86" s="122">
        <f t="shared" si="79"/>
        <v>0</v>
      </c>
      <c r="M86" s="33"/>
      <c r="N86" s="43">
        <f t="shared" si="78"/>
        <v>0</v>
      </c>
      <c r="O86" s="67">
        <f t="shared" si="86"/>
        <v>0</v>
      </c>
      <c r="P86" s="34">
        <f t="shared" si="87"/>
        <v>0</v>
      </c>
      <c r="Q86" s="45" t="e">
        <f t="shared" si="70"/>
        <v>#VALUE!</v>
      </c>
      <c r="R86" s="46">
        <f t="shared" si="5"/>
        <v>0</v>
      </c>
      <c r="S86" s="46">
        <f t="shared" si="6"/>
        <v>0</v>
      </c>
      <c r="T86" s="47" t="e">
        <f t="shared" si="88"/>
        <v>#VALUE!</v>
      </c>
      <c r="U86" s="48" t="e">
        <f t="shared" si="71"/>
        <v>#VALUE!</v>
      </c>
      <c r="V86" s="49">
        <f t="shared" si="89"/>
        <v>0</v>
      </c>
      <c r="W86" s="49">
        <f t="shared" si="90"/>
        <v>0</v>
      </c>
      <c r="X86" s="50" t="e">
        <f t="shared" si="91"/>
        <v>#VALUE!</v>
      </c>
    </row>
    <row r="87" spans="1:24" x14ac:dyDescent="0.35">
      <c r="A87" s="72"/>
      <c r="B87" s="41">
        <v>83</v>
      </c>
      <c r="C87" s="132"/>
      <c r="D87" s="132"/>
      <c r="E87" s="69"/>
      <c r="F87" s="69"/>
      <c r="G87" s="69"/>
      <c r="H87" s="131"/>
      <c r="I87" s="69"/>
      <c r="J87" s="69"/>
      <c r="K87" s="69"/>
      <c r="L87" s="122">
        <f t="shared" si="79"/>
        <v>0</v>
      </c>
      <c r="M87" s="33"/>
      <c r="N87" s="43">
        <f t="shared" si="78"/>
        <v>0</v>
      </c>
      <c r="O87" s="67">
        <f t="shared" si="86"/>
        <v>0</v>
      </c>
      <c r="P87" s="34">
        <f t="shared" si="87"/>
        <v>0</v>
      </c>
      <c r="Q87" s="45" t="e">
        <f t="shared" si="70"/>
        <v>#VALUE!</v>
      </c>
      <c r="R87" s="46">
        <f t="shared" si="5"/>
        <v>0</v>
      </c>
      <c r="S87" s="46">
        <f t="shared" si="6"/>
        <v>0</v>
      </c>
      <c r="T87" s="47" t="e">
        <f t="shared" si="88"/>
        <v>#VALUE!</v>
      </c>
      <c r="U87" s="48" t="e">
        <f t="shared" si="71"/>
        <v>#VALUE!</v>
      </c>
      <c r="V87" s="49">
        <f t="shared" si="89"/>
        <v>0</v>
      </c>
      <c r="W87" s="49">
        <f t="shared" si="90"/>
        <v>0</v>
      </c>
      <c r="X87" s="50" t="e">
        <f t="shared" si="91"/>
        <v>#VALUE!</v>
      </c>
    </row>
    <row r="88" spans="1:24" x14ac:dyDescent="0.35">
      <c r="A88" s="72"/>
      <c r="B88" s="41">
        <v>84</v>
      </c>
      <c r="C88" s="132"/>
      <c r="D88" s="132"/>
      <c r="E88" s="69"/>
      <c r="F88" s="69"/>
      <c r="G88" s="69"/>
      <c r="H88" s="131"/>
      <c r="I88" s="69"/>
      <c r="J88" s="69"/>
      <c r="K88" s="69"/>
      <c r="L88" s="122">
        <f t="shared" si="79"/>
        <v>0</v>
      </c>
      <c r="M88" s="33"/>
      <c r="N88" s="43">
        <f t="shared" si="78"/>
        <v>0</v>
      </c>
      <c r="O88" s="67">
        <f t="shared" si="86"/>
        <v>0</v>
      </c>
      <c r="P88" s="34">
        <f t="shared" si="87"/>
        <v>0</v>
      </c>
      <c r="Q88" s="45" t="e">
        <f t="shared" si="70"/>
        <v>#VALUE!</v>
      </c>
      <c r="R88" s="46">
        <f t="shared" si="5"/>
        <v>0</v>
      </c>
      <c r="S88" s="46">
        <f t="shared" si="6"/>
        <v>0</v>
      </c>
      <c r="T88" s="47" t="e">
        <f t="shared" si="88"/>
        <v>#VALUE!</v>
      </c>
      <c r="U88" s="48" t="e">
        <f t="shared" si="71"/>
        <v>#VALUE!</v>
      </c>
      <c r="V88" s="49">
        <f t="shared" si="89"/>
        <v>0</v>
      </c>
      <c r="W88" s="49">
        <f t="shared" si="90"/>
        <v>0</v>
      </c>
      <c r="X88" s="50" t="e">
        <f t="shared" si="91"/>
        <v>#VALUE!</v>
      </c>
    </row>
    <row r="89" spans="1:24" x14ac:dyDescent="0.35">
      <c r="A89" s="72"/>
      <c r="B89" s="41">
        <v>85</v>
      </c>
      <c r="C89" s="132"/>
      <c r="D89" s="132"/>
      <c r="E89" s="69"/>
      <c r="F89" s="69"/>
      <c r="G89" s="69"/>
      <c r="H89" s="131"/>
      <c r="I89" s="69"/>
      <c r="J89" s="69"/>
      <c r="K89" s="69"/>
      <c r="L89" s="122">
        <f t="shared" si="79"/>
        <v>0</v>
      </c>
      <c r="M89" s="33"/>
      <c r="N89" s="43">
        <f t="shared" si="78"/>
        <v>0</v>
      </c>
      <c r="O89" s="67">
        <f t="shared" si="86"/>
        <v>0</v>
      </c>
      <c r="P89" s="34">
        <f t="shared" si="87"/>
        <v>0</v>
      </c>
      <c r="Q89" s="45" t="e">
        <f t="shared" si="70"/>
        <v>#VALUE!</v>
      </c>
      <c r="R89" s="46">
        <f t="shared" si="5"/>
        <v>0</v>
      </c>
      <c r="S89" s="46">
        <f t="shared" si="6"/>
        <v>0</v>
      </c>
      <c r="T89" s="47" t="e">
        <f t="shared" si="88"/>
        <v>#VALUE!</v>
      </c>
      <c r="U89" s="48" t="e">
        <f t="shared" si="71"/>
        <v>#VALUE!</v>
      </c>
      <c r="V89" s="49">
        <f t="shared" si="89"/>
        <v>0</v>
      </c>
      <c r="W89" s="49">
        <f t="shared" si="90"/>
        <v>0</v>
      </c>
      <c r="X89" s="50" t="e">
        <f t="shared" si="91"/>
        <v>#VALUE!</v>
      </c>
    </row>
    <row r="90" spans="1:24" x14ac:dyDescent="0.35">
      <c r="A90" s="72"/>
      <c r="B90" s="41">
        <v>86</v>
      </c>
      <c r="C90" s="132"/>
      <c r="D90" s="132"/>
      <c r="E90" s="69"/>
      <c r="F90" s="69"/>
      <c r="G90" s="69"/>
      <c r="H90" s="131"/>
      <c r="I90" s="69"/>
      <c r="J90" s="69"/>
      <c r="K90" s="69"/>
      <c r="L90" s="122">
        <f t="shared" si="79"/>
        <v>0</v>
      </c>
      <c r="M90" s="145"/>
      <c r="N90" s="43">
        <f t="shared" si="78"/>
        <v>0</v>
      </c>
      <c r="O90" s="67">
        <f t="shared" si="86"/>
        <v>0</v>
      </c>
      <c r="P90" s="34">
        <f t="shared" si="87"/>
        <v>0</v>
      </c>
      <c r="Q90" s="45" t="e">
        <f t="shared" si="70"/>
        <v>#VALUE!</v>
      </c>
      <c r="R90" s="46">
        <f t="shared" si="5"/>
        <v>0</v>
      </c>
      <c r="S90" s="46">
        <f t="shared" si="6"/>
        <v>0</v>
      </c>
      <c r="T90" s="47" t="e">
        <f t="shared" si="88"/>
        <v>#VALUE!</v>
      </c>
      <c r="U90" s="48" t="e">
        <f t="shared" si="71"/>
        <v>#VALUE!</v>
      </c>
      <c r="V90" s="49">
        <f t="shared" si="89"/>
        <v>0</v>
      </c>
      <c r="W90" s="49">
        <f t="shared" si="90"/>
        <v>0</v>
      </c>
      <c r="X90" s="50" t="e">
        <f t="shared" si="91"/>
        <v>#VALUE!</v>
      </c>
    </row>
    <row r="91" spans="1:24" x14ac:dyDescent="0.35">
      <c r="A91" s="72"/>
      <c r="B91" s="41">
        <v>87</v>
      </c>
      <c r="C91" s="132"/>
      <c r="D91" s="132"/>
      <c r="E91" s="69"/>
      <c r="F91" s="69"/>
      <c r="G91" s="69"/>
      <c r="H91" s="131"/>
      <c r="I91" s="69"/>
      <c r="J91" s="69"/>
      <c r="K91" s="69"/>
      <c r="L91" s="122">
        <f t="shared" si="79"/>
        <v>0</v>
      </c>
      <c r="M91" s="145"/>
      <c r="N91" s="43">
        <f t="shared" si="78"/>
        <v>0</v>
      </c>
      <c r="O91" s="67">
        <f t="shared" si="86"/>
        <v>0</v>
      </c>
      <c r="P91" s="34">
        <f t="shared" si="87"/>
        <v>0</v>
      </c>
      <c r="Q91" s="45" t="e">
        <f t="shared" si="70"/>
        <v>#VALUE!</v>
      </c>
      <c r="R91" s="46">
        <f t="shared" si="5"/>
        <v>0</v>
      </c>
      <c r="S91" s="46">
        <f t="shared" si="6"/>
        <v>0</v>
      </c>
      <c r="T91" s="47" t="e">
        <f t="shared" si="88"/>
        <v>#VALUE!</v>
      </c>
      <c r="U91" s="48" t="e">
        <f t="shared" si="71"/>
        <v>#VALUE!</v>
      </c>
      <c r="V91" s="49">
        <f t="shared" si="89"/>
        <v>0</v>
      </c>
      <c r="W91" s="49">
        <f t="shared" si="90"/>
        <v>0</v>
      </c>
      <c r="X91" s="50" t="e">
        <f t="shared" si="91"/>
        <v>#VALUE!</v>
      </c>
    </row>
    <row r="92" spans="1:24" x14ac:dyDescent="0.35">
      <c r="A92" s="72"/>
      <c r="B92" s="41">
        <v>88</v>
      </c>
      <c r="C92" s="132"/>
      <c r="D92" s="132"/>
      <c r="E92" s="69"/>
      <c r="F92" s="69"/>
      <c r="G92" s="69"/>
      <c r="H92" s="131"/>
      <c r="I92" s="69"/>
      <c r="J92" s="69"/>
      <c r="K92" s="69"/>
      <c r="L92" s="122">
        <f t="shared" si="79"/>
        <v>0</v>
      </c>
      <c r="M92" s="145"/>
      <c r="N92" s="43">
        <f t="shared" si="78"/>
        <v>0</v>
      </c>
      <c r="O92" s="67">
        <f t="shared" si="86"/>
        <v>0</v>
      </c>
      <c r="P92" s="34">
        <f t="shared" si="87"/>
        <v>0</v>
      </c>
      <c r="Q92" s="45" t="e">
        <f t="shared" si="70"/>
        <v>#VALUE!</v>
      </c>
      <c r="R92" s="46">
        <f t="shared" si="5"/>
        <v>0</v>
      </c>
      <c r="S92" s="46">
        <f t="shared" si="6"/>
        <v>0</v>
      </c>
      <c r="T92" s="47" t="e">
        <f t="shared" si="88"/>
        <v>#VALUE!</v>
      </c>
      <c r="U92" s="48" t="e">
        <f t="shared" si="71"/>
        <v>#VALUE!</v>
      </c>
      <c r="V92" s="49">
        <f t="shared" si="89"/>
        <v>0</v>
      </c>
      <c r="W92" s="49">
        <f t="shared" si="90"/>
        <v>0</v>
      </c>
      <c r="X92" s="50" t="e">
        <f t="shared" si="91"/>
        <v>#VALUE!</v>
      </c>
    </row>
    <row r="93" spans="1:24" x14ac:dyDescent="0.35">
      <c r="A93" s="72"/>
      <c r="B93" s="41">
        <v>89</v>
      </c>
      <c r="C93" s="132"/>
      <c r="D93" s="132"/>
      <c r="E93" s="69"/>
      <c r="F93" s="69"/>
      <c r="G93" s="69"/>
      <c r="H93" s="131"/>
      <c r="I93" s="69"/>
      <c r="J93" s="69"/>
      <c r="K93" s="69"/>
      <c r="L93" s="122">
        <f t="shared" si="79"/>
        <v>0</v>
      </c>
      <c r="M93" s="145"/>
      <c r="N93" s="43">
        <f t="shared" si="78"/>
        <v>0</v>
      </c>
      <c r="O93" s="67">
        <f t="shared" si="86"/>
        <v>0</v>
      </c>
      <c r="P93" s="34">
        <f t="shared" si="87"/>
        <v>0</v>
      </c>
      <c r="Q93" s="45" t="e">
        <f t="shared" ref="Q93:Q124" si="92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88"/>
        <v>#VALUE!</v>
      </c>
      <c r="U93" s="48" t="e">
        <f t="shared" ref="U93:U124" si="93">SUM(E93:E93)*$U$3</f>
        <v>#VALUE!</v>
      </c>
      <c r="V93" s="49">
        <f t="shared" si="89"/>
        <v>0</v>
      </c>
      <c r="W93" s="49">
        <f t="shared" si="90"/>
        <v>0</v>
      </c>
      <c r="X93" s="50" t="e">
        <f t="shared" si="91"/>
        <v>#VALUE!</v>
      </c>
    </row>
    <row r="94" spans="1:24" x14ac:dyDescent="0.35">
      <c r="A94" s="72"/>
      <c r="B94" s="41">
        <v>90</v>
      </c>
      <c r="C94" s="132"/>
      <c r="D94" s="132"/>
      <c r="E94" s="69"/>
      <c r="F94" s="69"/>
      <c r="G94" s="69"/>
      <c r="H94" s="131"/>
      <c r="I94" s="69"/>
      <c r="J94" s="69"/>
      <c r="K94" s="69"/>
      <c r="L94" s="122">
        <f t="shared" si="79"/>
        <v>0</v>
      </c>
      <c r="M94" s="33"/>
      <c r="N94" s="43">
        <f t="shared" si="78"/>
        <v>0</v>
      </c>
      <c r="O94" s="67">
        <f t="shared" si="86"/>
        <v>0</v>
      </c>
      <c r="P94" s="34">
        <f t="shared" si="87"/>
        <v>0</v>
      </c>
      <c r="Q94" s="45" t="e">
        <f t="shared" si="92"/>
        <v>#VALUE!</v>
      </c>
      <c r="R94" s="46">
        <f t="shared" si="5"/>
        <v>0</v>
      </c>
      <c r="S94" s="46">
        <f t="shared" si="6"/>
        <v>0</v>
      </c>
      <c r="T94" s="47" t="e">
        <f t="shared" si="88"/>
        <v>#VALUE!</v>
      </c>
      <c r="U94" s="48" t="e">
        <f t="shared" si="93"/>
        <v>#VALUE!</v>
      </c>
      <c r="V94" s="49">
        <f t="shared" si="89"/>
        <v>0</v>
      </c>
      <c r="W94" s="49">
        <f t="shared" si="90"/>
        <v>0</v>
      </c>
      <c r="X94" s="50" t="e">
        <f t="shared" si="91"/>
        <v>#VALUE!</v>
      </c>
    </row>
    <row r="95" spans="1:24" x14ac:dyDescent="0.35">
      <c r="A95" s="72"/>
      <c r="B95" s="41">
        <v>91</v>
      </c>
      <c r="C95" s="132"/>
      <c r="D95" s="132"/>
      <c r="E95" s="69"/>
      <c r="F95" s="69"/>
      <c r="G95" s="69"/>
      <c r="H95" s="131"/>
      <c r="I95" s="69"/>
      <c r="J95" s="69"/>
      <c r="K95" s="69"/>
      <c r="L95" s="122">
        <f t="shared" si="79"/>
        <v>0</v>
      </c>
      <c r="M95" s="33"/>
      <c r="N95" s="43">
        <f t="shared" si="78"/>
        <v>0</v>
      </c>
      <c r="O95" s="67">
        <f t="shared" si="86"/>
        <v>0</v>
      </c>
      <c r="P95" s="34">
        <f t="shared" si="87"/>
        <v>0</v>
      </c>
      <c r="Q95" s="45" t="e">
        <f t="shared" si="92"/>
        <v>#VALUE!</v>
      </c>
      <c r="R95" s="46">
        <f t="shared" si="5"/>
        <v>0</v>
      </c>
      <c r="S95" s="46">
        <f t="shared" si="6"/>
        <v>0</v>
      </c>
      <c r="T95" s="47" t="e">
        <f t="shared" si="88"/>
        <v>#VALUE!</v>
      </c>
      <c r="U95" s="48" t="e">
        <f t="shared" si="93"/>
        <v>#VALUE!</v>
      </c>
      <c r="V95" s="49">
        <f t="shared" si="89"/>
        <v>0</v>
      </c>
      <c r="W95" s="49">
        <f t="shared" si="90"/>
        <v>0</v>
      </c>
      <c r="X95" s="50" t="e">
        <f t="shared" si="91"/>
        <v>#VALUE!</v>
      </c>
    </row>
    <row r="96" spans="1:24" x14ac:dyDescent="0.35">
      <c r="A96" s="72"/>
      <c r="B96" s="41">
        <v>92</v>
      </c>
      <c r="C96" s="132"/>
      <c r="D96" s="132"/>
      <c r="E96" s="69"/>
      <c r="F96" s="69"/>
      <c r="G96" s="69"/>
      <c r="H96" s="131"/>
      <c r="I96" s="69"/>
      <c r="J96" s="69"/>
      <c r="K96" s="69"/>
      <c r="L96" s="122">
        <f t="shared" si="79"/>
        <v>0</v>
      </c>
      <c r="M96" s="33"/>
      <c r="N96" s="43">
        <f t="shared" si="78"/>
        <v>0</v>
      </c>
      <c r="O96" s="67">
        <f t="shared" si="86"/>
        <v>0</v>
      </c>
      <c r="P96" s="34">
        <f t="shared" si="87"/>
        <v>0</v>
      </c>
      <c r="Q96" s="45" t="e">
        <f t="shared" si="92"/>
        <v>#VALUE!</v>
      </c>
      <c r="R96" s="46">
        <f t="shared" si="5"/>
        <v>0</v>
      </c>
      <c r="S96" s="46">
        <f t="shared" si="6"/>
        <v>0</v>
      </c>
      <c r="T96" s="47" t="e">
        <f t="shared" si="88"/>
        <v>#VALUE!</v>
      </c>
      <c r="U96" s="48" t="e">
        <f t="shared" si="93"/>
        <v>#VALUE!</v>
      </c>
      <c r="V96" s="49">
        <f t="shared" si="89"/>
        <v>0</v>
      </c>
      <c r="W96" s="49">
        <f t="shared" si="90"/>
        <v>0</v>
      </c>
      <c r="X96" s="50" t="e">
        <f t="shared" si="91"/>
        <v>#VALUE!</v>
      </c>
    </row>
    <row r="97" spans="1:24" x14ac:dyDescent="0.35">
      <c r="A97" s="72"/>
      <c r="B97" s="41">
        <v>93</v>
      </c>
      <c r="C97" s="132"/>
      <c r="D97" s="132"/>
      <c r="E97" s="69"/>
      <c r="F97" s="69"/>
      <c r="G97" s="69"/>
      <c r="H97" s="131"/>
      <c r="I97" s="69"/>
      <c r="J97" s="69"/>
      <c r="K97" s="69"/>
      <c r="L97" s="122">
        <f t="shared" si="79"/>
        <v>0</v>
      </c>
      <c r="M97" s="33"/>
      <c r="N97" s="43">
        <f t="shared" si="78"/>
        <v>0</v>
      </c>
      <c r="O97" s="67">
        <f t="shared" si="86"/>
        <v>0</v>
      </c>
      <c r="P97" s="34">
        <f t="shared" si="87"/>
        <v>0</v>
      </c>
      <c r="Q97" s="45" t="e">
        <f t="shared" si="92"/>
        <v>#VALUE!</v>
      </c>
      <c r="R97" s="46">
        <f t="shared" si="5"/>
        <v>0</v>
      </c>
      <c r="S97" s="46">
        <f t="shared" si="6"/>
        <v>0</v>
      </c>
      <c r="T97" s="47" t="e">
        <f t="shared" si="88"/>
        <v>#VALUE!</v>
      </c>
      <c r="U97" s="48" t="e">
        <f t="shared" si="93"/>
        <v>#VALUE!</v>
      </c>
      <c r="V97" s="49">
        <f t="shared" si="89"/>
        <v>0</v>
      </c>
      <c r="W97" s="49">
        <f t="shared" si="90"/>
        <v>0</v>
      </c>
      <c r="X97" s="50" t="e">
        <f t="shared" si="91"/>
        <v>#VALUE!</v>
      </c>
    </row>
    <row r="98" spans="1:24" x14ac:dyDescent="0.35">
      <c r="A98" s="72"/>
      <c r="B98" s="41">
        <v>94</v>
      </c>
      <c r="C98" s="132"/>
      <c r="D98" s="132"/>
      <c r="E98" s="69"/>
      <c r="F98" s="69"/>
      <c r="G98" s="69"/>
      <c r="H98" s="131"/>
      <c r="I98" s="69"/>
      <c r="J98" s="69"/>
      <c r="K98" s="69"/>
      <c r="L98" s="122">
        <f t="shared" si="79"/>
        <v>0</v>
      </c>
      <c r="M98" s="33"/>
      <c r="N98" s="43">
        <f t="shared" ref="N98:N133" si="94">SUMPRODUCT($E$3:$K$3,$E$6:$K$6)/1000</f>
        <v>0</v>
      </c>
      <c r="O98" s="67">
        <f t="shared" si="86"/>
        <v>0</v>
      </c>
      <c r="P98" s="34">
        <f t="shared" si="87"/>
        <v>0</v>
      </c>
      <c r="Q98" s="45" t="e">
        <f t="shared" si="92"/>
        <v>#VALUE!</v>
      </c>
      <c r="R98" s="46">
        <f t="shared" si="5"/>
        <v>0</v>
      </c>
      <c r="S98" s="46">
        <f t="shared" si="6"/>
        <v>0</v>
      </c>
      <c r="T98" s="47" t="e">
        <f t="shared" si="88"/>
        <v>#VALUE!</v>
      </c>
      <c r="U98" s="48" t="e">
        <f t="shared" si="93"/>
        <v>#VALUE!</v>
      </c>
      <c r="V98" s="49">
        <f t="shared" si="89"/>
        <v>0</v>
      </c>
      <c r="W98" s="49">
        <f t="shared" si="90"/>
        <v>0</v>
      </c>
      <c r="X98" s="50" t="e">
        <f t="shared" si="91"/>
        <v>#VALUE!</v>
      </c>
    </row>
    <row r="99" spans="1:24" x14ac:dyDescent="0.35">
      <c r="A99" s="72"/>
      <c r="B99" s="41">
        <v>95</v>
      </c>
      <c r="C99" s="132"/>
      <c r="D99" s="132"/>
      <c r="E99" s="69"/>
      <c r="F99" s="69"/>
      <c r="G99" s="69"/>
      <c r="H99" s="131"/>
      <c r="I99" s="69"/>
      <c r="J99" s="69"/>
      <c r="K99" s="69"/>
      <c r="L99" s="122">
        <f t="shared" si="79"/>
        <v>0</v>
      </c>
      <c r="M99" s="33"/>
      <c r="N99" s="43">
        <f t="shared" si="94"/>
        <v>0</v>
      </c>
      <c r="O99" s="67">
        <f t="shared" si="86"/>
        <v>0</v>
      </c>
      <c r="P99" s="34">
        <f t="shared" si="87"/>
        <v>0</v>
      </c>
      <c r="Q99" s="45" t="e">
        <f t="shared" si="92"/>
        <v>#VALUE!</v>
      </c>
      <c r="R99" s="46">
        <f t="shared" si="5"/>
        <v>0</v>
      </c>
      <c r="S99" s="46">
        <f t="shared" si="6"/>
        <v>0</v>
      </c>
      <c r="T99" s="47" t="e">
        <f t="shared" si="88"/>
        <v>#VALUE!</v>
      </c>
      <c r="U99" s="48" t="e">
        <f t="shared" si="93"/>
        <v>#VALUE!</v>
      </c>
      <c r="V99" s="49">
        <f t="shared" si="89"/>
        <v>0</v>
      </c>
      <c r="W99" s="49">
        <f t="shared" si="90"/>
        <v>0</v>
      </c>
      <c r="X99" s="50" t="e">
        <f t="shared" si="91"/>
        <v>#VALUE!</v>
      </c>
    </row>
    <row r="100" spans="1:24" x14ac:dyDescent="0.35">
      <c r="A100" s="72"/>
      <c r="B100" s="41">
        <v>96</v>
      </c>
      <c r="C100" s="132"/>
      <c r="D100" s="132"/>
      <c r="E100" s="69"/>
      <c r="F100" s="69"/>
      <c r="G100" s="69"/>
      <c r="H100" s="131"/>
      <c r="I100" s="69"/>
      <c r="J100" s="69"/>
      <c r="K100" s="69"/>
      <c r="L100" s="122">
        <f t="shared" si="79"/>
        <v>0</v>
      </c>
      <c r="M100" s="33"/>
      <c r="N100" s="43">
        <f t="shared" si="94"/>
        <v>0</v>
      </c>
      <c r="O100" s="67">
        <f t="shared" si="86"/>
        <v>0</v>
      </c>
      <c r="P100" s="34">
        <f t="shared" si="87"/>
        <v>0</v>
      </c>
      <c r="Q100" s="45" t="e">
        <f t="shared" si="92"/>
        <v>#VALUE!</v>
      </c>
      <c r="R100" s="46">
        <f t="shared" si="5"/>
        <v>0</v>
      </c>
      <c r="S100" s="46">
        <f t="shared" si="6"/>
        <v>0</v>
      </c>
      <c r="T100" s="47" t="e">
        <f t="shared" si="88"/>
        <v>#VALUE!</v>
      </c>
      <c r="U100" s="48" t="e">
        <f t="shared" si="93"/>
        <v>#VALUE!</v>
      </c>
      <c r="V100" s="49">
        <f t="shared" si="89"/>
        <v>0</v>
      </c>
      <c r="W100" s="49">
        <f t="shared" si="90"/>
        <v>0</v>
      </c>
      <c r="X100" s="50" t="e">
        <f t="shared" si="91"/>
        <v>#VALUE!</v>
      </c>
    </row>
    <row r="101" spans="1:24" x14ac:dyDescent="0.35">
      <c r="A101" s="72"/>
      <c r="B101" s="41">
        <v>97</v>
      </c>
      <c r="C101" s="132"/>
      <c r="D101" s="132"/>
      <c r="E101" s="69"/>
      <c r="F101" s="69"/>
      <c r="G101" s="69"/>
      <c r="H101" s="131"/>
      <c r="I101" s="69"/>
      <c r="J101" s="69"/>
      <c r="K101" s="69"/>
      <c r="L101" s="122">
        <f t="shared" ref="L101:L132" si="95">SUM(E101:K101)/40</f>
        <v>0</v>
      </c>
      <c r="M101" s="33"/>
      <c r="N101" s="43">
        <f t="shared" si="94"/>
        <v>0</v>
      </c>
      <c r="O101" s="67">
        <f t="shared" si="86"/>
        <v>0</v>
      </c>
      <c r="P101" s="34">
        <f t="shared" si="87"/>
        <v>0</v>
      </c>
      <c r="Q101" s="45" t="e">
        <f t="shared" si="92"/>
        <v>#VALUE!</v>
      </c>
      <c r="R101" s="46">
        <f t="shared" si="5"/>
        <v>0</v>
      </c>
      <c r="S101" s="46">
        <f t="shared" si="6"/>
        <v>0</v>
      </c>
      <c r="T101" s="47" t="e">
        <f t="shared" si="88"/>
        <v>#VALUE!</v>
      </c>
      <c r="U101" s="48" t="e">
        <f t="shared" si="93"/>
        <v>#VALUE!</v>
      </c>
      <c r="V101" s="49">
        <f t="shared" si="89"/>
        <v>0</v>
      </c>
      <c r="W101" s="49">
        <f t="shared" si="90"/>
        <v>0</v>
      </c>
      <c r="X101" s="50" t="e">
        <f t="shared" si="91"/>
        <v>#VALUE!</v>
      </c>
    </row>
    <row r="102" spans="1:24" x14ac:dyDescent="0.35">
      <c r="A102" s="72"/>
      <c r="B102" s="41">
        <v>98</v>
      </c>
      <c r="C102" s="132"/>
      <c r="D102" s="132"/>
      <c r="E102" s="69"/>
      <c r="F102" s="69"/>
      <c r="G102" s="69"/>
      <c r="H102" s="131"/>
      <c r="I102" s="69"/>
      <c r="J102" s="69"/>
      <c r="K102" s="69"/>
      <c r="L102" s="122">
        <f t="shared" si="95"/>
        <v>0</v>
      </c>
      <c r="M102" s="33"/>
      <c r="N102" s="43">
        <f t="shared" si="94"/>
        <v>0</v>
      </c>
      <c r="O102" s="67">
        <f t="shared" si="86"/>
        <v>0</v>
      </c>
      <c r="P102" s="34">
        <f t="shared" si="87"/>
        <v>0</v>
      </c>
      <c r="Q102" s="45" t="e">
        <f t="shared" si="92"/>
        <v>#VALUE!</v>
      </c>
      <c r="R102" s="46">
        <f t="shared" si="5"/>
        <v>0</v>
      </c>
      <c r="S102" s="46">
        <f t="shared" si="6"/>
        <v>0</v>
      </c>
      <c r="T102" s="47" t="e">
        <f t="shared" si="88"/>
        <v>#VALUE!</v>
      </c>
      <c r="U102" s="48" t="e">
        <f t="shared" si="93"/>
        <v>#VALUE!</v>
      </c>
      <c r="V102" s="49">
        <f t="shared" si="89"/>
        <v>0</v>
      </c>
      <c r="W102" s="49">
        <f t="shared" si="90"/>
        <v>0</v>
      </c>
      <c r="X102" s="50" t="e">
        <f t="shared" si="91"/>
        <v>#VALUE!</v>
      </c>
    </row>
    <row r="103" spans="1:24" x14ac:dyDescent="0.35">
      <c r="A103" s="72"/>
      <c r="B103" s="41">
        <v>99</v>
      </c>
      <c r="C103" s="132"/>
      <c r="D103" s="132"/>
      <c r="E103" s="69"/>
      <c r="F103" s="69"/>
      <c r="G103" s="69"/>
      <c r="H103" s="131"/>
      <c r="I103" s="69"/>
      <c r="J103" s="69"/>
      <c r="K103" s="69"/>
      <c r="L103" s="122">
        <f t="shared" si="95"/>
        <v>0</v>
      </c>
      <c r="M103" s="33"/>
      <c r="N103" s="43">
        <f t="shared" si="94"/>
        <v>0</v>
      </c>
      <c r="O103" s="67">
        <f t="shared" si="86"/>
        <v>0</v>
      </c>
      <c r="P103" s="34">
        <f t="shared" si="87"/>
        <v>0</v>
      </c>
      <c r="Q103" s="45" t="e">
        <f t="shared" si="92"/>
        <v>#VALUE!</v>
      </c>
      <c r="R103" s="46">
        <f t="shared" si="5"/>
        <v>0</v>
      </c>
      <c r="S103" s="46">
        <f t="shared" si="6"/>
        <v>0</v>
      </c>
      <c r="T103" s="47" t="e">
        <f t="shared" si="88"/>
        <v>#VALUE!</v>
      </c>
      <c r="U103" s="48" t="e">
        <f t="shared" si="93"/>
        <v>#VALUE!</v>
      </c>
      <c r="V103" s="49">
        <f t="shared" si="89"/>
        <v>0</v>
      </c>
      <c r="W103" s="49">
        <f t="shared" si="90"/>
        <v>0</v>
      </c>
      <c r="X103" s="50" t="e">
        <f t="shared" si="91"/>
        <v>#VALUE!</v>
      </c>
    </row>
    <row r="104" spans="1:24" x14ac:dyDescent="0.35">
      <c r="A104" s="72"/>
      <c r="B104" s="41">
        <v>100</v>
      </c>
      <c r="C104" s="132"/>
      <c r="D104" s="132"/>
      <c r="E104" s="69"/>
      <c r="F104" s="69"/>
      <c r="G104" s="69"/>
      <c r="H104" s="131"/>
      <c r="I104" s="69"/>
      <c r="J104" s="69"/>
      <c r="K104" s="69"/>
      <c r="L104" s="122">
        <f t="shared" si="95"/>
        <v>0</v>
      </c>
      <c r="M104" s="33"/>
      <c r="N104" s="43">
        <f t="shared" si="94"/>
        <v>0</v>
      </c>
      <c r="O104" s="67">
        <f t="shared" si="86"/>
        <v>0</v>
      </c>
      <c r="P104" s="34">
        <f t="shared" si="87"/>
        <v>0</v>
      </c>
      <c r="Q104" s="45" t="e">
        <f t="shared" si="92"/>
        <v>#VALUE!</v>
      </c>
      <c r="R104" s="46">
        <f t="shared" si="5"/>
        <v>0</v>
      </c>
      <c r="S104" s="46">
        <f t="shared" si="6"/>
        <v>0</v>
      </c>
      <c r="T104" s="47" t="e">
        <f t="shared" si="88"/>
        <v>#VALUE!</v>
      </c>
      <c r="U104" s="48" t="e">
        <f t="shared" si="93"/>
        <v>#VALUE!</v>
      </c>
      <c r="V104" s="49">
        <f t="shared" si="89"/>
        <v>0</v>
      </c>
      <c r="W104" s="49">
        <f t="shared" si="90"/>
        <v>0</v>
      </c>
      <c r="X104" s="50" t="e">
        <f t="shared" si="91"/>
        <v>#VALUE!</v>
      </c>
    </row>
    <row r="105" spans="1:24" x14ac:dyDescent="0.35">
      <c r="A105" s="72"/>
      <c r="B105" s="41">
        <v>101</v>
      </c>
      <c r="C105" s="132"/>
      <c r="D105" s="132"/>
      <c r="E105" s="69"/>
      <c r="F105" s="69"/>
      <c r="G105" s="69"/>
      <c r="H105" s="131"/>
      <c r="I105" s="69"/>
      <c r="J105" s="69"/>
      <c r="K105" s="69"/>
      <c r="L105" s="122">
        <f t="shared" si="95"/>
        <v>0</v>
      </c>
      <c r="M105" s="33"/>
      <c r="N105" s="43">
        <f t="shared" si="94"/>
        <v>0</v>
      </c>
      <c r="O105" s="67">
        <f t="shared" si="86"/>
        <v>0</v>
      </c>
      <c r="P105" s="34">
        <f t="shared" si="87"/>
        <v>0</v>
      </c>
      <c r="Q105" s="45" t="e">
        <f t="shared" si="92"/>
        <v>#VALUE!</v>
      </c>
      <c r="R105" s="46">
        <f t="shared" si="5"/>
        <v>0</v>
      </c>
      <c r="S105" s="46">
        <f t="shared" si="6"/>
        <v>0</v>
      </c>
      <c r="T105" s="47" t="e">
        <f t="shared" si="88"/>
        <v>#VALUE!</v>
      </c>
      <c r="U105" s="48" t="e">
        <f t="shared" si="93"/>
        <v>#VALUE!</v>
      </c>
      <c r="V105" s="49">
        <f t="shared" si="89"/>
        <v>0</v>
      </c>
      <c r="W105" s="49">
        <f t="shared" si="90"/>
        <v>0</v>
      </c>
      <c r="X105" s="50" t="e">
        <f t="shared" si="91"/>
        <v>#VALUE!</v>
      </c>
    </row>
    <row r="106" spans="1:24" x14ac:dyDescent="0.35">
      <c r="A106" s="72"/>
      <c r="B106" s="41">
        <v>102</v>
      </c>
      <c r="C106" s="132"/>
      <c r="D106" s="132"/>
      <c r="E106" s="69"/>
      <c r="F106" s="69"/>
      <c r="G106" s="69"/>
      <c r="H106" s="131"/>
      <c r="I106" s="69"/>
      <c r="J106" s="69"/>
      <c r="K106" s="69"/>
      <c r="L106" s="122">
        <f t="shared" si="95"/>
        <v>0</v>
      </c>
      <c r="M106" s="33"/>
      <c r="N106" s="43">
        <f t="shared" si="94"/>
        <v>0</v>
      </c>
      <c r="O106" s="67">
        <f t="shared" si="86"/>
        <v>0</v>
      </c>
      <c r="P106" s="34">
        <f t="shared" si="87"/>
        <v>0</v>
      </c>
      <c r="Q106" s="45" t="e">
        <f t="shared" si="92"/>
        <v>#VALUE!</v>
      </c>
      <c r="R106" s="46">
        <f t="shared" si="5"/>
        <v>0</v>
      </c>
      <c r="S106" s="46">
        <f t="shared" si="6"/>
        <v>0</v>
      </c>
      <c r="T106" s="47" t="e">
        <f t="shared" si="88"/>
        <v>#VALUE!</v>
      </c>
      <c r="U106" s="48" t="e">
        <f t="shared" si="93"/>
        <v>#VALUE!</v>
      </c>
      <c r="V106" s="49">
        <f t="shared" si="89"/>
        <v>0</v>
      </c>
      <c r="W106" s="49">
        <f t="shared" si="90"/>
        <v>0</v>
      </c>
      <c r="X106" s="50" t="e">
        <f t="shared" si="91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5"/>
        <v>0</v>
      </c>
      <c r="M107" s="33"/>
      <c r="N107" s="43">
        <f t="shared" si="94"/>
        <v>0</v>
      </c>
      <c r="O107" s="67">
        <f t="shared" si="86"/>
        <v>0</v>
      </c>
      <c r="P107" s="34">
        <f t="shared" si="87"/>
        <v>0</v>
      </c>
      <c r="Q107" s="45" t="e">
        <f t="shared" si="92"/>
        <v>#VALUE!</v>
      </c>
      <c r="R107" s="46">
        <f t="shared" si="5"/>
        <v>0</v>
      </c>
      <c r="S107" s="46">
        <f t="shared" si="6"/>
        <v>0</v>
      </c>
      <c r="T107" s="47" t="e">
        <f t="shared" si="88"/>
        <v>#VALUE!</v>
      </c>
      <c r="U107" s="48" t="e">
        <f t="shared" si="93"/>
        <v>#VALUE!</v>
      </c>
      <c r="V107" s="49">
        <f t="shared" si="89"/>
        <v>0</v>
      </c>
      <c r="W107" s="49">
        <f t="shared" si="90"/>
        <v>0</v>
      </c>
      <c r="X107" s="50" t="e">
        <f t="shared" si="91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5"/>
        <v>0</v>
      </c>
      <c r="M108" s="33"/>
      <c r="N108" s="43">
        <f t="shared" si="94"/>
        <v>0</v>
      </c>
      <c r="O108" s="67">
        <f t="shared" si="86"/>
        <v>0</v>
      </c>
      <c r="P108" s="34">
        <f t="shared" si="87"/>
        <v>0</v>
      </c>
      <c r="Q108" s="45" t="e">
        <f t="shared" si="92"/>
        <v>#VALUE!</v>
      </c>
      <c r="R108" s="46">
        <f t="shared" si="5"/>
        <v>0</v>
      </c>
      <c r="S108" s="46">
        <f t="shared" si="6"/>
        <v>0</v>
      </c>
      <c r="T108" s="47" t="e">
        <f t="shared" si="88"/>
        <v>#VALUE!</v>
      </c>
      <c r="U108" s="48" t="e">
        <f t="shared" si="93"/>
        <v>#VALUE!</v>
      </c>
      <c r="V108" s="49">
        <f t="shared" si="89"/>
        <v>0</v>
      </c>
      <c r="W108" s="49">
        <f t="shared" si="90"/>
        <v>0</v>
      </c>
      <c r="X108" s="50" t="e">
        <f t="shared" si="91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5"/>
        <v>0</v>
      </c>
      <c r="M109" s="33"/>
      <c r="N109" s="43">
        <f t="shared" si="94"/>
        <v>0</v>
      </c>
      <c r="O109" s="67">
        <f t="shared" si="86"/>
        <v>0</v>
      </c>
      <c r="P109" s="34">
        <f t="shared" si="87"/>
        <v>0</v>
      </c>
      <c r="Q109" s="45" t="e">
        <f t="shared" si="92"/>
        <v>#VALUE!</v>
      </c>
      <c r="R109" s="46">
        <f t="shared" si="5"/>
        <v>0</v>
      </c>
      <c r="S109" s="46">
        <f t="shared" si="6"/>
        <v>0</v>
      </c>
      <c r="T109" s="47" t="e">
        <f t="shared" si="88"/>
        <v>#VALUE!</v>
      </c>
      <c r="U109" s="48" t="e">
        <f t="shared" si="93"/>
        <v>#VALUE!</v>
      </c>
      <c r="V109" s="49">
        <f t="shared" si="89"/>
        <v>0</v>
      </c>
      <c r="W109" s="49">
        <f t="shared" si="90"/>
        <v>0</v>
      </c>
      <c r="X109" s="50" t="e">
        <f t="shared" si="91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5"/>
        <v>0</v>
      </c>
      <c r="M110" s="33"/>
      <c r="N110" s="43">
        <f t="shared" si="94"/>
        <v>0</v>
      </c>
      <c r="O110" s="67">
        <f t="shared" si="86"/>
        <v>0</v>
      </c>
      <c r="P110" s="34">
        <f t="shared" si="87"/>
        <v>0</v>
      </c>
      <c r="Q110" s="45" t="e">
        <f t="shared" si="92"/>
        <v>#VALUE!</v>
      </c>
      <c r="R110" s="46">
        <f t="shared" si="5"/>
        <v>0</v>
      </c>
      <c r="S110" s="46">
        <f t="shared" si="6"/>
        <v>0</v>
      </c>
      <c r="T110" s="47" t="e">
        <f t="shared" si="88"/>
        <v>#VALUE!</v>
      </c>
      <c r="U110" s="48" t="e">
        <f t="shared" si="93"/>
        <v>#VALUE!</v>
      </c>
      <c r="V110" s="49">
        <f t="shared" si="89"/>
        <v>0</v>
      </c>
      <c r="W110" s="49">
        <f t="shared" si="90"/>
        <v>0</v>
      </c>
      <c r="X110" s="50" t="e">
        <f t="shared" si="91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5"/>
        <v>0</v>
      </c>
      <c r="M111" s="33"/>
      <c r="N111" s="43">
        <f t="shared" si="94"/>
        <v>0</v>
      </c>
      <c r="O111" s="67">
        <f t="shared" si="86"/>
        <v>0</v>
      </c>
      <c r="P111" s="34">
        <f t="shared" si="87"/>
        <v>0</v>
      </c>
      <c r="Q111" s="45" t="e">
        <f t="shared" si="92"/>
        <v>#VALUE!</v>
      </c>
      <c r="R111" s="46">
        <f t="shared" si="5"/>
        <v>0</v>
      </c>
      <c r="S111" s="46">
        <f t="shared" si="6"/>
        <v>0</v>
      </c>
      <c r="T111" s="47" t="e">
        <f t="shared" si="88"/>
        <v>#VALUE!</v>
      </c>
      <c r="U111" s="48" t="e">
        <f t="shared" si="93"/>
        <v>#VALUE!</v>
      </c>
      <c r="V111" s="49">
        <f t="shared" si="89"/>
        <v>0</v>
      </c>
      <c r="W111" s="49">
        <f t="shared" si="90"/>
        <v>0</v>
      </c>
      <c r="X111" s="50" t="e">
        <f t="shared" si="91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5"/>
        <v>0</v>
      </c>
      <c r="M112" s="33"/>
      <c r="N112" s="43">
        <f t="shared" si="94"/>
        <v>0</v>
      </c>
      <c r="O112" s="67">
        <f t="shared" si="86"/>
        <v>0</v>
      </c>
      <c r="P112" s="34">
        <f t="shared" si="87"/>
        <v>0</v>
      </c>
      <c r="Q112" s="45" t="e">
        <f t="shared" si="92"/>
        <v>#VALUE!</v>
      </c>
      <c r="R112" s="46">
        <f t="shared" si="5"/>
        <v>0</v>
      </c>
      <c r="S112" s="46">
        <f t="shared" si="6"/>
        <v>0</v>
      </c>
      <c r="T112" s="47" t="e">
        <f t="shared" si="88"/>
        <v>#VALUE!</v>
      </c>
      <c r="U112" s="48" t="e">
        <f t="shared" si="93"/>
        <v>#VALUE!</v>
      </c>
      <c r="V112" s="49">
        <f t="shared" si="89"/>
        <v>0</v>
      </c>
      <c r="W112" s="49">
        <f t="shared" si="90"/>
        <v>0</v>
      </c>
      <c r="X112" s="50" t="e">
        <f t="shared" si="91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5"/>
        <v>0</v>
      </c>
      <c r="M113" s="33"/>
      <c r="N113" s="43">
        <f t="shared" si="94"/>
        <v>0</v>
      </c>
      <c r="O113" s="67">
        <f t="shared" si="86"/>
        <v>0</v>
      </c>
      <c r="P113" s="34">
        <f t="shared" si="87"/>
        <v>0</v>
      </c>
      <c r="Q113" s="45" t="e">
        <f t="shared" si="92"/>
        <v>#VALUE!</v>
      </c>
      <c r="R113" s="46">
        <f t="shared" si="5"/>
        <v>0</v>
      </c>
      <c r="S113" s="46">
        <f t="shared" si="6"/>
        <v>0</v>
      </c>
      <c r="T113" s="47" t="e">
        <f t="shared" si="88"/>
        <v>#VALUE!</v>
      </c>
      <c r="U113" s="48" t="e">
        <f t="shared" si="93"/>
        <v>#VALUE!</v>
      </c>
      <c r="V113" s="49">
        <f t="shared" si="89"/>
        <v>0</v>
      </c>
      <c r="W113" s="49">
        <f t="shared" si="90"/>
        <v>0</v>
      </c>
      <c r="X113" s="50" t="e">
        <f t="shared" si="91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5"/>
        <v>0</v>
      </c>
      <c r="M114" s="33"/>
      <c r="N114" s="43">
        <f t="shared" si="94"/>
        <v>0</v>
      </c>
      <c r="O114" s="67">
        <f t="shared" si="86"/>
        <v>0</v>
      </c>
      <c r="P114" s="34">
        <f t="shared" si="87"/>
        <v>0</v>
      </c>
      <c r="Q114" s="45" t="e">
        <f t="shared" si="92"/>
        <v>#VALUE!</v>
      </c>
      <c r="R114" s="46">
        <f t="shared" si="5"/>
        <v>0</v>
      </c>
      <c r="S114" s="46">
        <f t="shared" si="6"/>
        <v>0</v>
      </c>
      <c r="T114" s="47" t="e">
        <f t="shared" si="88"/>
        <v>#VALUE!</v>
      </c>
      <c r="U114" s="48" t="e">
        <f t="shared" si="93"/>
        <v>#VALUE!</v>
      </c>
      <c r="V114" s="49">
        <f t="shared" si="89"/>
        <v>0</v>
      </c>
      <c r="W114" s="49">
        <f t="shared" si="90"/>
        <v>0</v>
      </c>
      <c r="X114" s="50" t="e">
        <f t="shared" si="91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5"/>
        <v>0</v>
      </c>
      <c r="M115" s="33"/>
      <c r="N115" s="43">
        <f t="shared" si="94"/>
        <v>0</v>
      </c>
      <c r="O115" s="67">
        <f t="shared" si="86"/>
        <v>0</v>
      </c>
      <c r="P115" s="34">
        <f t="shared" si="87"/>
        <v>0</v>
      </c>
      <c r="Q115" s="45" t="e">
        <f t="shared" si="92"/>
        <v>#VALUE!</v>
      </c>
      <c r="R115" s="46">
        <f t="shared" si="5"/>
        <v>0</v>
      </c>
      <c r="S115" s="46">
        <f t="shared" si="6"/>
        <v>0</v>
      </c>
      <c r="T115" s="47" t="e">
        <f t="shared" si="88"/>
        <v>#VALUE!</v>
      </c>
      <c r="U115" s="48" t="e">
        <f t="shared" si="93"/>
        <v>#VALUE!</v>
      </c>
      <c r="V115" s="49">
        <f t="shared" si="89"/>
        <v>0</v>
      </c>
      <c r="W115" s="49">
        <f t="shared" si="90"/>
        <v>0</v>
      </c>
      <c r="X115" s="50" t="e">
        <f t="shared" si="91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5"/>
        <v>0</v>
      </c>
      <c r="M116" s="33"/>
      <c r="N116" s="43">
        <f t="shared" si="94"/>
        <v>0</v>
      </c>
      <c r="O116" s="67">
        <f t="shared" si="86"/>
        <v>0</v>
      </c>
      <c r="P116" s="34">
        <f t="shared" si="87"/>
        <v>0</v>
      </c>
      <c r="Q116" s="45" t="e">
        <f t="shared" si="92"/>
        <v>#VALUE!</v>
      </c>
      <c r="R116" s="46">
        <f t="shared" si="5"/>
        <v>0</v>
      </c>
      <c r="S116" s="46">
        <f t="shared" si="6"/>
        <v>0</v>
      </c>
      <c r="T116" s="47" t="e">
        <f t="shared" si="88"/>
        <v>#VALUE!</v>
      </c>
      <c r="U116" s="48" t="e">
        <f t="shared" si="93"/>
        <v>#VALUE!</v>
      </c>
      <c r="V116" s="49">
        <f t="shared" si="89"/>
        <v>0</v>
      </c>
      <c r="W116" s="49">
        <f t="shared" si="90"/>
        <v>0</v>
      </c>
      <c r="X116" s="50" t="e">
        <f t="shared" si="91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5"/>
        <v>0</v>
      </c>
      <c r="M117" s="33"/>
      <c r="N117" s="43">
        <f t="shared" si="94"/>
        <v>0</v>
      </c>
      <c r="O117" s="67">
        <f t="shared" si="86"/>
        <v>0</v>
      </c>
      <c r="P117" s="34">
        <f t="shared" si="87"/>
        <v>0</v>
      </c>
      <c r="Q117" s="45" t="e">
        <f t="shared" si="92"/>
        <v>#VALUE!</v>
      </c>
      <c r="R117" s="46">
        <f t="shared" si="5"/>
        <v>0</v>
      </c>
      <c r="S117" s="46">
        <f t="shared" si="6"/>
        <v>0</v>
      </c>
      <c r="T117" s="47" t="e">
        <f t="shared" si="88"/>
        <v>#VALUE!</v>
      </c>
      <c r="U117" s="48" t="e">
        <f t="shared" si="93"/>
        <v>#VALUE!</v>
      </c>
      <c r="V117" s="49">
        <f t="shared" si="89"/>
        <v>0</v>
      </c>
      <c r="W117" s="49">
        <f t="shared" si="90"/>
        <v>0</v>
      </c>
      <c r="X117" s="50" t="e">
        <f t="shared" si="91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5"/>
        <v>0</v>
      </c>
      <c r="M118" s="33"/>
      <c r="N118" s="43">
        <f t="shared" si="94"/>
        <v>0</v>
      </c>
      <c r="O118" s="67">
        <f t="shared" si="86"/>
        <v>0</v>
      </c>
      <c r="P118" s="34">
        <f t="shared" si="87"/>
        <v>0</v>
      </c>
      <c r="Q118" s="45" t="e">
        <f t="shared" si="92"/>
        <v>#VALUE!</v>
      </c>
      <c r="R118" s="46">
        <f t="shared" si="5"/>
        <v>0</v>
      </c>
      <c r="S118" s="46">
        <f t="shared" si="6"/>
        <v>0</v>
      </c>
      <c r="T118" s="47" t="e">
        <f t="shared" si="88"/>
        <v>#VALUE!</v>
      </c>
      <c r="U118" s="48" t="e">
        <f t="shared" si="93"/>
        <v>#VALUE!</v>
      </c>
      <c r="V118" s="49">
        <f t="shared" si="89"/>
        <v>0</v>
      </c>
      <c r="W118" s="49">
        <f t="shared" si="90"/>
        <v>0</v>
      </c>
      <c r="X118" s="50" t="e">
        <f t="shared" si="91"/>
        <v>#VALUE!</v>
      </c>
    </row>
    <row r="119" spans="1:24" x14ac:dyDescent="0.35">
      <c r="A119" s="143"/>
      <c r="B119" s="144">
        <v>115</v>
      </c>
      <c r="C119" s="146"/>
      <c r="D119" s="146"/>
      <c r="E119" s="147"/>
      <c r="F119" s="147"/>
      <c r="G119" s="147"/>
      <c r="H119" s="148"/>
      <c r="I119" s="147"/>
      <c r="J119" s="147"/>
      <c r="K119" s="147"/>
      <c r="L119" s="122">
        <f t="shared" si="95"/>
        <v>0</v>
      </c>
      <c r="M119" s="33"/>
      <c r="N119" s="43">
        <f t="shared" si="94"/>
        <v>0</v>
      </c>
      <c r="O119" s="67">
        <f t="shared" si="86"/>
        <v>0</v>
      </c>
      <c r="P119" s="34">
        <f t="shared" si="87"/>
        <v>0</v>
      </c>
      <c r="Q119" s="45" t="e">
        <f t="shared" si="92"/>
        <v>#VALUE!</v>
      </c>
      <c r="R119" s="46">
        <f t="shared" si="5"/>
        <v>0</v>
      </c>
      <c r="S119" s="46">
        <f t="shared" si="6"/>
        <v>0</v>
      </c>
      <c r="T119" s="47" t="e">
        <f t="shared" si="88"/>
        <v>#VALUE!</v>
      </c>
      <c r="U119" s="48" t="e">
        <f t="shared" si="93"/>
        <v>#VALUE!</v>
      </c>
      <c r="V119" s="49">
        <f t="shared" si="89"/>
        <v>0</v>
      </c>
      <c r="W119" s="49">
        <f t="shared" si="90"/>
        <v>0</v>
      </c>
      <c r="X119" s="50" t="e">
        <f t="shared" si="91"/>
        <v>#VALUE!</v>
      </c>
    </row>
    <row r="120" spans="1:24" x14ac:dyDescent="0.35">
      <c r="A120" s="143"/>
      <c r="B120" s="144">
        <v>116</v>
      </c>
      <c r="C120" s="146"/>
      <c r="D120" s="146"/>
      <c r="E120" s="147"/>
      <c r="F120" s="147"/>
      <c r="G120" s="147"/>
      <c r="H120" s="148"/>
      <c r="I120" s="147"/>
      <c r="J120" s="147"/>
      <c r="K120" s="147"/>
      <c r="L120" s="122">
        <f t="shared" si="95"/>
        <v>0</v>
      </c>
      <c r="M120" s="33"/>
      <c r="N120" s="43">
        <f t="shared" si="94"/>
        <v>0</v>
      </c>
      <c r="O120" s="67">
        <f t="shared" si="86"/>
        <v>0</v>
      </c>
      <c r="P120" s="34">
        <f t="shared" si="87"/>
        <v>0</v>
      </c>
      <c r="Q120" s="45" t="e">
        <f t="shared" si="92"/>
        <v>#VALUE!</v>
      </c>
      <c r="R120" s="46">
        <f t="shared" si="5"/>
        <v>0</v>
      </c>
      <c r="S120" s="46">
        <f t="shared" si="6"/>
        <v>0</v>
      </c>
      <c r="T120" s="47" t="e">
        <f t="shared" si="88"/>
        <v>#VALUE!</v>
      </c>
      <c r="U120" s="48" t="e">
        <f t="shared" si="93"/>
        <v>#VALUE!</v>
      </c>
      <c r="V120" s="49">
        <f t="shared" si="89"/>
        <v>0</v>
      </c>
      <c r="W120" s="49">
        <f t="shared" si="90"/>
        <v>0</v>
      </c>
      <c r="X120" s="50" t="e">
        <f t="shared" si="91"/>
        <v>#VALUE!</v>
      </c>
    </row>
    <row r="121" spans="1:24" x14ac:dyDescent="0.35">
      <c r="A121" s="143"/>
      <c r="B121" s="144">
        <v>117</v>
      </c>
      <c r="C121" s="146"/>
      <c r="D121" s="146"/>
      <c r="E121" s="147"/>
      <c r="F121" s="147"/>
      <c r="G121" s="147"/>
      <c r="H121" s="148"/>
      <c r="I121" s="147"/>
      <c r="J121" s="147"/>
      <c r="K121" s="147"/>
      <c r="L121" s="122">
        <f t="shared" si="95"/>
        <v>0</v>
      </c>
      <c r="M121" s="33"/>
      <c r="N121" s="43">
        <f t="shared" si="94"/>
        <v>0</v>
      </c>
      <c r="O121" s="67">
        <f t="shared" si="86"/>
        <v>0</v>
      </c>
      <c r="P121" s="34">
        <f t="shared" si="87"/>
        <v>0</v>
      </c>
      <c r="Q121" s="45" t="e">
        <f t="shared" si="92"/>
        <v>#VALUE!</v>
      </c>
      <c r="R121" s="46">
        <f t="shared" si="5"/>
        <v>0</v>
      </c>
      <c r="S121" s="46">
        <f t="shared" si="6"/>
        <v>0</v>
      </c>
      <c r="T121" s="47" t="e">
        <f t="shared" si="88"/>
        <v>#VALUE!</v>
      </c>
      <c r="U121" s="48" t="e">
        <f t="shared" si="93"/>
        <v>#VALUE!</v>
      </c>
      <c r="V121" s="49">
        <f t="shared" si="89"/>
        <v>0</v>
      </c>
      <c r="W121" s="49">
        <f t="shared" si="90"/>
        <v>0</v>
      </c>
      <c r="X121" s="50" t="e">
        <f t="shared" si="91"/>
        <v>#VALUE!</v>
      </c>
    </row>
    <row r="122" spans="1:24" x14ac:dyDescent="0.35">
      <c r="A122" s="143"/>
      <c r="B122" s="144">
        <v>118</v>
      </c>
      <c r="C122" s="146"/>
      <c r="D122" s="146"/>
      <c r="E122" s="147"/>
      <c r="F122" s="147"/>
      <c r="G122" s="147"/>
      <c r="H122" s="148"/>
      <c r="I122" s="147"/>
      <c r="J122" s="147"/>
      <c r="K122" s="147"/>
      <c r="L122" s="122">
        <f t="shared" si="95"/>
        <v>0</v>
      </c>
      <c r="M122" s="33"/>
      <c r="N122" s="43">
        <f t="shared" si="94"/>
        <v>0</v>
      </c>
      <c r="O122" s="67">
        <f t="shared" si="86"/>
        <v>0</v>
      </c>
      <c r="P122" s="34">
        <f t="shared" si="87"/>
        <v>0</v>
      </c>
      <c r="Q122" s="45" t="e">
        <f t="shared" si="92"/>
        <v>#VALUE!</v>
      </c>
      <c r="R122" s="46">
        <f t="shared" si="5"/>
        <v>0</v>
      </c>
      <c r="S122" s="46">
        <f t="shared" si="6"/>
        <v>0</v>
      </c>
      <c r="T122" s="47" t="e">
        <f t="shared" si="88"/>
        <v>#VALUE!</v>
      </c>
      <c r="U122" s="48" t="e">
        <f t="shared" si="93"/>
        <v>#VALUE!</v>
      </c>
      <c r="V122" s="49">
        <f t="shared" si="89"/>
        <v>0</v>
      </c>
      <c r="W122" s="49">
        <f t="shared" si="90"/>
        <v>0</v>
      </c>
      <c r="X122" s="50" t="e">
        <f t="shared" si="91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5"/>
        <v>0</v>
      </c>
      <c r="M123" s="33"/>
      <c r="N123" s="43">
        <f t="shared" si="94"/>
        <v>0</v>
      </c>
      <c r="O123" s="67">
        <f t="shared" si="86"/>
        <v>0</v>
      </c>
      <c r="P123" s="34">
        <f t="shared" si="87"/>
        <v>0</v>
      </c>
      <c r="Q123" s="45" t="e">
        <f t="shared" si="92"/>
        <v>#VALUE!</v>
      </c>
      <c r="R123" s="46">
        <f t="shared" si="5"/>
        <v>0</v>
      </c>
      <c r="S123" s="46">
        <f t="shared" si="6"/>
        <v>0</v>
      </c>
      <c r="T123" s="47" t="e">
        <f t="shared" si="88"/>
        <v>#VALUE!</v>
      </c>
      <c r="U123" s="48" t="e">
        <f t="shared" si="93"/>
        <v>#VALUE!</v>
      </c>
      <c r="V123" s="49">
        <f t="shared" si="89"/>
        <v>0</v>
      </c>
      <c r="W123" s="49">
        <f t="shared" si="90"/>
        <v>0</v>
      </c>
      <c r="X123" s="50" t="e">
        <f t="shared" si="91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5"/>
        <v>0</v>
      </c>
      <c r="M124" s="33"/>
      <c r="N124" s="43">
        <f t="shared" si="94"/>
        <v>0</v>
      </c>
      <c r="O124" s="67">
        <f t="shared" si="86"/>
        <v>0</v>
      </c>
      <c r="P124" s="34">
        <f t="shared" si="87"/>
        <v>0</v>
      </c>
      <c r="Q124" s="45" t="e">
        <f t="shared" si="92"/>
        <v>#VALUE!</v>
      </c>
      <c r="R124" s="46">
        <f t="shared" si="5"/>
        <v>0</v>
      </c>
      <c r="S124" s="46">
        <f t="shared" si="6"/>
        <v>0</v>
      </c>
      <c r="T124" s="47" t="e">
        <f t="shared" si="88"/>
        <v>#VALUE!</v>
      </c>
      <c r="U124" s="48" t="e">
        <f t="shared" si="93"/>
        <v>#VALUE!</v>
      </c>
      <c r="V124" s="49">
        <f t="shared" si="89"/>
        <v>0</v>
      </c>
      <c r="W124" s="49">
        <f t="shared" si="90"/>
        <v>0</v>
      </c>
      <c r="X124" s="50" t="e">
        <f t="shared" si="91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5"/>
        <v>0</v>
      </c>
      <c r="M125" s="33"/>
      <c r="N125" s="43">
        <f t="shared" si="94"/>
        <v>0</v>
      </c>
      <c r="O125" s="67">
        <f t="shared" si="86"/>
        <v>0</v>
      </c>
      <c r="P125" s="34">
        <f t="shared" si="87"/>
        <v>0</v>
      </c>
      <c r="Q125" s="45" t="e">
        <f t="shared" ref="Q125:Q133" si="96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88"/>
        <v>#VALUE!</v>
      </c>
      <c r="U125" s="48" t="e">
        <f t="shared" ref="U125:U133" si="97">SUM(E125:E125)*$U$3</f>
        <v>#VALUE!</v>
      </c>
      <c r="V125" s="49">
        <f t="shared" si="89"/>
        <v>0</v>
      </c>
      <c r="W125" s="49">
        <f t="shared" si="90"/>
        <v>0</v>
      </c>
      <c r="X125" s="50" t="e">
        <f t="shared" si="91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5"/>
        <v>0</v>
      </c>
      <c r="M126" s="33">
        <f t="shared" ref="M123:M133" si="98">SUMPRODUCT($E$4:$K$4,$E$6:$K$6)</f>
        <v>0</v>
      </c>
      <c r="N126" s="43">
        <f t="shared" si="94"/>
        <v>0</v>
      </c>
      <c r="O126" s="67">
        <f t="shared" si="86"/>
        <v>0</v>
      </c>
      <c r="P126" s="34">
        <f t="shared" si="87"/>
        <v>0</v>
      </c>
      <c r="Q126" s="45" t="e">
        <f t="shared" si="96"/>
        <v>#VALUE!</v>
      </c>
      <c r="R126" s="46">
        <f t="shared" si="5"/>
        <v>0</v>
      </c>
      <c r="S126" s="46">
        <f t="shared" si="6"/>
        <v>0</v>
      </c>
      <c r="T126" s="47" t="e">
        <f t="shared" si="88"/>
        <v>#VALUE!</v>
      </c>
      <c r="U126" s="48" t="e">
        <f t="shared" si="97"/>
        <v>#VALUE!</v>
      </c>
      <c r="V126" s="49">
        <f t="shared" si="89"/>
        <v>0</v>
      </c>
      <c r="W126" s="49">
        <f t="shared" si="90"/>
        <v>0</v>
      </c>
      <c r="X126" s="50" t="e">
        <f t="shared" si="91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5"/>
        <v>0</v>
      </c>
      <c r="M127" s="33">
        <f t="shared" si="98"/>
        <v>0</v>
      </c>
      <c r="N127" s="43">
        <f t="shared" si="94"/>
        <v>0</v>
      </c>
      <c r="O127" s="67">
        <f t="shared" si="86"/>
        <v>0</v>
      </c>
      <c r="P127" s="34">
        <f t="shared" si="87"/>
        <v>0</v>
      </c>
      <c r="Q127" s="45" t="e">
        <f t="shared" si="96"/>
        <v>#VALUE!</v>
      </c>
      <c r="R127" s="46">
        <f t="shared" si="5"/>
        <v>0</v>
      </c>
      <c r="S127" s="46">
        <f t="shared" si="6"/>
        <v>0</v>
      </c>
      <c r="T127" s="47" t="e">
        <f t="shared" si="88"/>
        <v>#VALUE!</v>
      </c>
      <c r="U127" s="48" t="e">
        <f t="shared" si="97"/>
        <v>#VALUE!</v>
      </c>
      <c r="V127" s="49">
        <f t="shared" si="89"/>
        <v>0</v>
      </c>
      <c r="W127" s="49">
        <f t="shared" si="90"/>
        <v>0</v>
      </c>
      <c r="X127" s="50" t="e">
        <f t="shared" si="91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5"/>
        <v>0</v>
      </c>
      <c r="M128" s="33">
        <f t="shared" si="98"/>
        <v>0</v>
      </c>
      <c r="N128" s="43">
        <f t="shared" si="94"/>
        <v>0</v>
      </c>
      <c r="O128" s="67">
        <f t="shared" si="86"/>
        <v>0</v>
      </c>
      <c r="P128" s="34">
        <f t="shared" si="87"/>
        <v>0</v>
      </c>
      <c r="Q128" s="45" t="e">
        <f t="shared" si="96"/>
        <v>#VALUE!</v>
      </c>
      <c r="R128" s="46">
        <f t="shared" si="5"/>
        <v>0</v>
      </c>
      <c r="S128" s="46">
        <f t="shared" si="6"/>
        <v>0</v>
      </c>
      <c r="T128" s="47" t="e">
        <f t="shared" si="88"/>
        <v>#VALUE!</v>
      </c>
      <c r="U128" s="48" t="e">
        <f t="shared" si="97"/>
        <v>#VALUE!</v>
      </c>
      <c r="V128" s="49">
        <f t="shared" si="89"/>
        <v>0</v>
      </c>
      <c r="W128" s="49">
        <f t="shared" si="90"/>
        <v>0</v>
      </c>
      <c r="X128" s="50" t="e">
        <f t="shared" si="91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5"/>
        <v>0</v>
      </c>
      <c r="M129" s="33">
        <f t="shared" si="98"/>
        <v>0</v>
      </c>
      <c r="N129" s="43">
        <f t="shared" si="94"/>
        <v>0</v>
      </c>
      <c r="O129" s="67">
        <f t="shared" si="86"/>
        <v>0</v>
      </c>
      <c r="P129" s="34">
        <f t="shared" si="87"/>
        <v>0</v>
      </c>
      <c r="Q129" s="45" t="e">
        <f t="shared" si="96"/>
        <v>#VALUE!</v>
      </c>
      <c r="R129" s="46">
        <f t="shared" si="5"/>
        <v>0</v>
      </c>
      <c r="S129" s="46">
        <f t="shared" si="6"/>
        <v>0</v>
      </c>
      <c r="T129" s="47" t="e">
        <f t="shared" si="88"/>
        <v>#VALUE!</v>
      </c>
      <c r="U129" s="48" t="e">
        <f t="shared" si="97"/>
        <v>#VALUE!</v>
      </c>
      <c r="V129" s="49">
        <f t="shared" si="89"/>
        <v>0</v>
      </c>
      <c r="W129" s="49">
        <f t="shared" si="90"/>
        <v>0</v>
      </c>
      <c r="X129" s="50" t="e">
        <f t="shared" si="91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5"/>
        <v>0</v>
      </c>
      <c r="M130" s="33">
        <f t="shared" si="98"/>
        <v>0</v>
      </c>
      <c r="N130" s="43">
        <f t="shared" si="94"/>
        <v>0</v>
      </c>
      <c r="O130" s="67">
        <f t="shared" si="86"/>
        <v>0</v>
      </c>
      <c r="P130" s="34">
        <f t="shared" si="87"/>
        <v>0</v>
      </c>
      <c r="Q130" s="45" t="e">
        <f t="shared" si="96"/>
        <v>#VALUE!</v>
      </c>
      <c r="R130" s="46">
        <f t="shared" si="5"/>
        <v>0</v>
      </c>
      <c r="S130" s="46">
        <f t="shared" si="6"/>
        <v>0</v>
      </c>
      <c r="T130" s="47" t="e">
        <f t="shared" si="88"/>
        <v>#VALUE!</v>
      </c>
      <c r="U130" s="48" t="e">
        <f t="shared" si="97"/>
        <v>#VALUE!</v>
      </c>
      <c r="V130" s="49">
        <f t="shared" si="89"/>
        <v>0</v>
      </c>
      <c r="W130" s="49">
        <f t="shared" si="90"/>
        <v>0</v>
      </c>
      <c r="X130" s="50" t="e">
        <f t="shared" si="91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5"/>
        <v>0</v>
      </c>
      <c r="M131" s="33">
        <f t="shared" si="98"/>
        <v>0</v>
      </c>
      <c r="N131" s="43">
        <f t="shared" si="94"/>
        <v>0</v>
      </c>
      <c r="O131" s="67">
        <f t="shared" si="86"/>
        <v>0</v>
      </c>
      <c r="P131" s="34">
        <f t="shared" si="87"/>
        <v>0</v>
      </c>
      <c r="Q131" s="45" t="e">
        <f t="shared" si="96"/>
        <v>#VALUE!</v>
      </c>
      <c r="R131" s="46">
        <f t="shared" si="5"/>
        <v>0</v>
      </c>
      <c r="S131" s="46">
        <f t="shared" si="6"/>
        <v>0</v>
      </c>
      <c r="T131" s="47" t="e">
        <f t="shared" si="88"/>
        <v>#VALUE!</v>
      </c>
      <c r="U131" s="48" t="e">
        <f t="shared" si="97"/>
        <v>#VALUE!</v>
      </c>
      <c r="V131" s="49">
        <f t="shared" si="89"/>
        <v>0</v>
      </c>
      <c r="W131" s="49">
        <f t="shared" si="90"/>
        <v>0</v>
      </c>
      <c r="X131" s="50" t="e">
        <f t="shared" si="91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5"/>
        <v>0</v>
      </c>
      <c r="M132" s="33">
        <f t="shared" si="98"/>
        <v>0</v>
      </c>
      <c r="N132" s="43">
        <f t="shared" si="94"/>
        <v>0</v>
      </c>
      <c r="O132" s="67">
        <f t="shared" si="86"/>
        <v>0</v>
      </c>
      <c r="P132" s="34">
        <f t="shared" si="87"/>
        <v>0</v>
      </c>
      <c r="Q132" s="45" t="e">
        <f t="shared" si="96"/>
        <v>#VALUE!</v>
      </c>
      <c r="R132" s="46">
        <f t="shared" si="5"/>
        <v>0</v>
      </c>
      <c r="S132" s="46">
        <f t="shared" si="6"/>
        <v>0</v>
      </c>
      <c r="T132" s="47" t="e">
        <f t="shared" si="88"/>
        <v>#VALUE!</v>
      </c>
      <c r="U132" s="48" t="e">
        <f t="shared" si="97"/>
        <v>#VALUE!</v>
      </c>
      <c r="V132" s="49">
        <f t="shared" si="89"/>
        <v>0</v>
      </c>
      <c r="W132" s="49">
        <f t="shared" si="90"/>
        <v>0</v>
      </c>
      <c r="X132" s="50" t="e">
        <f t="shared" si="91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99">SUM(E6:E61)</f>
        <v>0</v>
      </c>
      <c r="F133" s="78">
        <f t="shared" si="99"/>
        <v>0</v>
      </c>
      <c r="G133" s="78">
        <f t="shared" si="99"/>
        <v>0</v>
      </c>
      <c r="H133" s="78">
        <f t="shared" si="99"/>
        <v>0</v>
      </c>
      <c r="I133" s="78">
        <f t="shared" si="99"/>
        <v>0</v>
      </c>
      <c r="J133" s="78">
        <f t="shared" si="99"/>
        <v>0</v>
      </c>
      <c r="K133" s="78">
        <f t="shared" si="99"/>
        <v>0</v>
      </c>
      <c r="L133" s="42">
        <f t="shared" ref="L133" si="100">SUM(E133:K133)/40</f>
        <v>0</v>
      </c>
      <c r="M133" s="33">
        <f t="shared" si="98"/>
        <v>0</v>
      </c>
      <c r="N133" s="43">
        <f t="shared" si="94"/>
        <v>0</v>
      </c>
      <c r="O133" s="67">
        <f t="shared" ref="O133:O137" si="101">SUM(F133:H133)/20</f>
        <v>0</v>
      </c>
      <c r="P133" s="34">
        <f t="shared" ref="P133:P137" si="102">SUM(I133:K133)/20</f>
        <v>0</v>
      </c>
      <c r="Q133" s="45" t="e">
        <f t="shared" si="96"/>
        <v>#VALUE!</v>
      </c>
      <c r="R133" s="46">
        <f t="shared" si="5"/>
        <v>0</v>
      </c>
      <c r="S133" s="46">
        <f t="shared" si="6"/>
        <v>0</v>
      </c>
      <c r="T133" s="47" t="e">
        <f t="shared" si="15"/>
        <v>#VALUE!</v>
      </c>
      <c r="U133" s="48" t="e">
        <f t="shared" si="97"/>
        <v>#VALUE!</v>
      </c>
      <c r="V133" s="49">
        <f t="shared" ref="V133:V137" si="103">SUM(F133:H133)*$V$3</f>
        <v>0</v>
      </c>
      <c r="W133" s="49">
        <f t="shared" ref="W133:W137" si="104">SUM(I133:K133)*$W$3</f>
        <v>0</v>
      </c>
      <c r="X133" s="50" t="e">
        <f t="shared" si="34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0</v>
      </c>
      <c r="O135" s="67">
        <f t="shared" si="101"/>
        <v>0</v>
      </c>
      <c r="P135" s="34">
        <f t="shared" si="102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5"/>
        <v>#VALUE!</v>
      </c>
      <c r="U135" s="48" t="e">
        <f>SUM(E135:E135)*$U$3</f>
        <v>#VALUE!</v>
      </c>
      <c r="V135" s="49">
        <f t="shared" si="103"/>
        <v>0</v>
      </c>
      <c r="W135" s="49">
        <f t="shared" si="104"/>
        <v>0</v>
      </c>
      <c r="X135" s="50" t="e">
        <f t="shared" si="16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0</v>
      </c>
      <c r="O136" s="67">
        <f t="shared" si="101"/>
        <v>0</v>
      </c>
      <c r="P136" s="34">
        <f t="shared" si="102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5"/>
        <v>#VALUE!</v>
      </c>
      <c r="U136" s="48" t="e">
        <f>SUM(E136:E136)*$U$3</f>
        <v>#VALUE!</v>
      </c>
      <c r="V136" s="49">
        <f t="shared" si="103"/>
        <v>0</v>
      </c>
      <c r="W136" s="49">
        <f t="shared" si="104"/>
        <v>0</v>
      </c>
      <c r="X136" s="50" t="e">
        <f t="shared" si="16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5">SUM(F135:F136)</f>
        <v>0</v>
      </c>
      <c r="G137" s="77">
        <f t="shared" si="105"/>
        <v>0</v>
      </c>
      <c r="H137" s="77">
        <f t="shared" si="105"/>
        <v>0</v>
      </c>
      <c r="I137" s="77">
        <f t="shared" si="105"/>
        <v>0</v>
      </c>
      <c r="J137" s="77">
        <f t="shared" si="105"/>
        <v>0</v>
      </c>
      <c r="K137" s="77">
        <f t="shared" si="105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0</v>
      </c>
      <c r="O137" s="67">
        <f t="shared" si="101"/>
        <v>0</v>
      </c>
      <c r="P137" s="34">
        <f t="shared" si="102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5"/>
        <v>#VALUE!</v>
      </c>
      <c r="U137" s="48" t="e">
        <f>SUM(E137:E137)*$U$3</f>
        <v>#VALUE!</v>
      </c>
      <c r="V137" s="49">
        <f t="shared" si="103"/>
        <v>0</v>
      </c>
      <c r="W137" s="49">
        <f t="shared" si="104"/>
        <v>0</v>
      </c>
      <c r="X137" s="50" t="e">
        <f t="shared" si="16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0</v>
      </c>
      <c r="F138" s="79">
        <f t="shared" ref="F138:K138" si="106">SUM(F133,F137)</f>
        <v>0</v>
      </c>
      <c r="G138" s="79">
        <f t="shared" si="106"/>
        <v>0</v>
      </c>
      <c r="H138" s="79">
        <f t="shared" si="106"/>
        <v>0</v>
      </c>
      <c r="I138" s="79">
        <f t="shared" si="106"/>
        <v>0</v>
      </c>
      <c r="J138" s="79">
        <f t="shared" si="106"/>
        <v>0</v>
      </c>
      <c r="K138" s="79">
        <f t="shared" si="106"/>
        <v>0</v>
      </c>
      <c r="L138" s="54">
        <f>SUM(E138:K138)/40</f>
        <v>0</v>
      </c>
      <c r="M138" s="57">
        <f>SUM(M5:M137)</f>
        <v>0</v>
      </c>
      <c r="N138" s="55">
        <f t="shared" ref="N138:X138" si="107">SUM(N5:N137)</f>
        <v>0</v>
      </c>
      <c r="O138" s="56">
        <f t="shared" si="107"/>
        <v>0</v>
      </c>
      <c r="P138" s="58">
        <f t="shared" si="107"/>
        <v>0</v>
      </c>
      <c r="Q138" s="59" t="e">
        <f t="shared" si="107"/>
        <v>#VALUE!</v>
      </c>
      <c r="R138" s="60">
        <f t="shared" si="107"/>
        <v>0</v>
      </c>
      <c r="S138" s="60">
        <f t="shared" si="107"/>
        <v>0</v>
      </c>
      <c r="T138" s="61" t="e">
        <f t="shared" si="107"/>
        <v>#VALUE!</v>
      </c>
      <c r="U138" s="62" t="e">
        <f t="shared" si="107"/>
        <v>#VALUE!</v>
      </c>
      <c r="V138" s="63">
        <f t="shared" si="107"/>
        <v>0</v>
      </c>
      <c r="W138" s="63">
        <f t="shared" si="107"/>
        <v>0</v>
      </c>
      <c r="X138" s="64" t="e">
        <f t="shared" si="107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F5" sqref="F5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/>
      <c r="E5" s="73"/>
      <c r="F5" s="73"/>
      <c r="G5" s="96">
        <f>SUM(D5:F5)</f>
        <v>0</v>
      </c>
      <c r="H5" s="89">
        <v>10000</v>
      </c>
      <c r="I5" s="90">
        <f>G5-H5</f>
        <v>-10000</v>
      </c>
      <c r="K5" s="141" t="s">
        <v>1</v>
      </c>
      <c r="L5" s="7">
        <v>70</v>
      </c>
      <c r="M5" s="5">
        <v>12171</v>
      </c>
      <c r="N5" s="6">
        <f t="shared" ref="N5:N11" si="0">M5/40</f>
        <v>304.27499999999998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0</v>
      </c>
      <c r="E6" s="98">
        <f t="shared" ref="E6:F6" si="1">E5*40</f>
        <v>0</v>
      </c>
      <c r="F6" s="98">
        <f t="shared" si="1"/>
        <v>0</v>
      </c>
      <c r="G6" s="99">
        <f>SUM(D6:F6)</f>
        <v>0</v>
      </c>
      <c r="H6" s="91">
        <f>H5*40</f>
        <v>400000</v>
      </c>
      <c r="I6" s="92">
        <f>G6-H6</f>
        <v>-400000</v>
      </c>
      <c r="K6" s="141" t="s">
        <v>2</v>
      </c>
      <c r="L6" s="7">
        <v>70</v>
      </c>
      <c r="M6" s="5">
        <v>12154</v>
      </c>
      <c r="N6" s="6">
        <f t="shared" si="0"/>
        <v>303.85000000000002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9169</v>
      </c>
      <c r="N7" s="6">
        <f t="shared" si="0"/>
        <v>229.22499999999999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8692</v>
      </c>
      <c r="N8" s="6">
        <f t="shared" si="0"/>
        <v>217.3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0</v>
      </c>
      <c r="E9" s="100">
        <f>E8-E5</f>
        <v>0</v>
      </c>
      <c r="K9" s="141" t="s">
        <v>5</v>
      </c>
      <c r="L9" s="7">
        <v>120</v>
      </c>
      <c r="M9" s="5">
        <v>5183</v>
      </c>
      <c r="N9" s="6">
        <f t="shared" si="0"/>
        <v>129.57499999999999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9154</v>
      </c>
      <c r="N10" s="6">
        <f t="shared" si="0"/>
        <v>228.85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4200</v>
      </c>
      <c r="K12" s="141" t="s">
        <v>11</v>
      </c>
      <c r="L12" s="75"/>
      <c r="M12" s="8">
        <f>SUM(M5:M11)</f>
        <v>56523</v>
      </c>
      <c r="N12" s="9">
        <f>SUM(N5:N11)</f>
        <v>1413.075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168000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-12171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-12154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-9169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-8692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-5183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-9154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-56523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-1413.075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2026-10-01T11:43:56Z</dcterms:modified>
</cp:coreProperties>
</file>