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86DE149B-4E60-4CC0-9CBA-972513E26FB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<sst xmlns="http://schemas.openxmlformats.org/spreadsheetml/2006/main" count="287" uniqueCount="220">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</sst>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abSelected="1" topLeftCell="A78" zoomScaleNormal="100" workbookViewId="0">
      <selection activeCell="F93" sqref="F93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5">
        <f ca="1">TODAY()</f>
        <v>46309</v>
      </c>
      <c r="C1" s="145"/>
      <c r="D1" s="145"/>
      <c r="E1" s="14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6" t="s">
        <v>35</v>
      </c>
      <c r="B2" s="146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8"/>
      <c r="M2" s="159"/>
      <c r="N2" s="160"/>
      <c r="O2" s="161" t="s">
        <v>14</v>
      </c>
      <c r="P2" s="162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6"/>
      <c r="B3" s="147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3" t="s">
        <v>11</v>
      </c>
      <c r="M3" s="164"/>
      <c r="N3" s="165"/>
      <c r="O3" s="64"/>
      <c r="P3" s="65"/>
      <c r="Q3" s="149" t="s">
        <v>16</v>
      </c>
      <c r="R3" s="150"/>
      <c r="S3" s="150"/>
      <c r="T3" s="151"/>
      <c r="U3" s="152" t="s">
        <v>17</v>
      </c>
      <c r="V3" s="153"/>
      <c r="W3" s="153"/>
      <c r="X3" s="154"/>
    </row>
    <row r="4" spans="1:24" ht="15" thickBot="1" x14ac:dyDescent="0.4">
      <c r="A4" s="166"/>
      <c r="B4" s="148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>
        <v>46304</v>
      </c>
      <c r="B77" s="40">
        <v>71</v>
      </c>
      <c r="C77" s="125" t="s">
        <v>23</v>
      </c>
      <c r="D77" s="125" t="s">
        <v>112</v>
      </c>
      <c r="E77" s="68"/>
      <c r="F77" s="68">
        <v>120</v>
      </c>
      <c r="G77" s="68"/>
      <c r="H77" s="124">
        <v>80</v>
      </c>
      <c r="I77" s="68">
        <v>160</v>
      </c>
      <c r="J77" s="68">
        <v>120</v>
      </c>
      <c r="K77" s="68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>
        <v>46304</v>
      </c>
      <c r="B78" s="40">
        <v>72</v>
      </c>
      <c r="C78" s="125" t="s">
        <v>129</v>
      </c>
      <c r="D78" s="125"/>
      <c r="E78" s="68"/>
      <c r="F78" s="68"/>
      <c r="G78" s="68">
        <v>40</v>
      </c>
      <c r="H78" s="124"/>
      <c r="I78" s="68"/>
      <c r="J78" s="68">
        <v>40</v>
      </c>
      <c r="K78" s="68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>
        <v>46304</v>
      </c>
      <c r="B79" s="40">
        <v>73</v>
      </c>
      <c r="C79" s="125" t="s">
        <v>203</v>
      </c>
      <c r="D79" s="125"/>
      <c r="E79" s="68"/>
      <c r="F79" s="68">
        <v>40</v>
      </c>
      <c r="G79" s="68"/>
      <c r="H79" s="124"/>
      <c r="I79" s="68"/>
      <c r="J79" s="68"/>
      <c r="K79" s="68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>
        <v>46304</v>
      </c>
      <c r="B80" s="40">
        <v>74</v>
      </c>
      <c r="C80" s="125" t="s">
        <v>204</v>
      </c>
      <c r="D80" s="125"/>
      <c r="E80" s="68"/>
      <c r="F80" s="68">
        <v>40</v>
      </c>
      <c r="G80" s="68">
        <v>40</v>
      </c>
      <c r="H80" s="124"/>
      <c r="I80" s="68"/>
      <c r="J80" s="68">
        <v>40</v>
      </c>
      <c r="K80" s="68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>
        <v>46304</v>
      </c>
      <c r="B81" s="40">
        <v>75</v>
      </c>
      <c r="C81" s="125" t="s">
        <v>205</v>
      </c>
      <c r="D81" s="125"/>
      <c r="E81" s="68"/>
      <c r="F81" s="68"/>
      <c r="G81" s="68"/>
      <c r="H81" s="124"/>
      <c r="I81" s="68">
        <v>40</v>
      </c>
      <c r="J81" s="68"/>
      <c r="K81" s="68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>
        <v>46304</v>
      </c>
      <c r="B82" s="40">
        <v>76</v>
      </c>
      <c r="C82" s="125" t="s">
        <v>206</v>
      </c>
      <c r="D82" s="125"/>
      <c r="E82" s="68"/>
      <c r="F82" s="68"/>
      <c r="G82" s="68"/>
      <c r="H82" s="124"/>
      <c r="I82" s="68">
        <v>20</v>
      </c>
      <c r="J82" s="68">
        <v>20</v>
      </c>
      <c r="K82" s="68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>
        <v>46304</v>
      </c>
      <c r="B83" s="40">
        <v>77</v>
      </c>
      <c r="C83" s="125" t="s">
        <v>207</v>
      </c>
      <c r="D83" s="125"/>
      <c r="E83" s="68"/>
      <c r="F83" s="68">
        <v>40</v>
      </c>
      <c r="G83" s="68"/>
      <c r="H83" s="124"/>
      <c r="I83" s="68">
        <v>40</v>
      </c>
      <c r="J83" s="68"/>
      <c r="K83" s="68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>
        <v>46304</v>
      </c>
      <c r="B84" s="40">
        <v>78</v>
      </c>
      <c r="C84" s="125" t="s">
        <v>208</v>
      </c>
      <c r="D84" s="125"/>
      <c r="E84" s="68"/>
      <c r="F84" s="68">
        <v>40</v>
      </c>
      <c r="G84" s="68">
        <v>40</v>
      </c>
      <c r="H84" s="124"/>
      <c r="I84" s="68"/>
      <c r="J84" s="68">
        <v>40</v>
      </c>
      <c r="K84" s="68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>
        <v>46304</v>
      </c>
      <c r="B85" s="40">
        <v>79</v>
      </c>
      <c r="C85" s="125" t="s">
        <v>209</v>
      </c>
      <c r="D85" s="125"/>
      <c r="E85" s="68"/>
      <c r="F85" s="68"/>
      <c r="G85" s="68">
        <v>40</v>
      </c>
      <c r="H85" s="124"/>
      <c r="I85" s="68">
        <v>40</v>
      </c>
      <c r="J85" s="68">
        <v>40</v>
      </c>
      <c r="K85" s="68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>
        <v>46304</v>
      </c>
      <c r="B86" s="40">
        <v>80</v>
      </c>
      <c r="C86" s="125" t="s">
        <v>210</v>
      </c>
      <c r="D86" s="125"/>
      <c r="E86" s="68"/>
      <c r="F86" s="68"/>
      <c r="G86" s="68"/>
      <c r="H86" s="124"/>
      <c r="I86" s="68">
        <v>40</v>
      </c>
      <c r="J86" s="68"/>
      <c r="K86" s="68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>
        <v>46304</v>
      </c>
      <c r="B87" s="40">
        <v>81</v>
      </c>
      <c r="C87" s="125" t="s">
        <v>211</v>
      </c>
      <c r="D87" s="125" t="s">
        <v>212</v>
      </c>
      <c r="E87" s="68"/>
      <c r="F87" s="68"/>
      <c r="G87" s="68"/>
      <c r="H87" s="124"/>
      <c r="I87" s="68">
        <v>3000</v>
      </c>
      <c r="J87" s="68">
        <v>2000</v>
      </c>
      <c r="K87" s="68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>
        <v>46305</v>
      </c>
      <c r="B88" s="40">
        <v>82</v>
      </c>
      <c r="C88" s="125" t="s">
        <v>213</v>
      </c>
      <c r="D88" s="125" t="s">
        <v>214</v>
      </c>
      <c r="E88" s="68"/>
      <c r="F88" s="68"/>
      <c r="G88" s="68">
        <v>40</v>
      </c>
      <c r="H88" s="124"/>
      <c r="I88" s="68"/>
      <c r="J88" s="68">
        <v>40</v>
      </c>
      <c r="K88" s="68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>
        <v>46305</v>
      </c>
      <c r="B89" s="40">
        <v>83</v>
      </c>
      <c r="C89" s="125" t="s">
        <v>215</v>
      </c>
      <c r="D89" s="125" t="s">
        <v>216</v>
      </c>
      <c r="E89" s="68"/>
      <c r="F89" s="68">
        <v>400</v>
      </c>
      <c r="G89" s="68">
        <v>400</v>
      </c>
      <c r="H89" s="124">
        <v>400</v>
      </c>
      <c r="I89" s="68">
        <v>400</v>
      </c>
      <c r="J89" s="68">
        <v>400</v>
      </c>
      <c r="K89" s="68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>
        <v>46305</v>
      </c>
      <c r="B90" s="40">
        <v>84</v>
      </c>
      <c r="C90" s="125" t="s">
        <v>127</v>
      </c>
      <c r="D90" s="125" t="s">
        <v>128</v>
      </c>
      <c r="E90" s="68"/>
      <c r="F90" s="68"/>
      <c r="G90" s="68">
        <v>38</v>
      </c>
      <c r="H90" s="124">
        <v>40</v>
      </c>
      <c r="I90" s="68">
        <v>40</v>
      </c>
      <c r="J90" s="68">
        <v>40</v>
      </c>
      <c r="K90" s="68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134">
        <v>46306</v>
      </c>
      <c r="B91" s="135">
        <v>85</v>
      </c>
      <c r="C91" s="144" t="s">
        <v>215</v>
      </c>
      <c r="D91" s="144" t="s">
        <v>217</v>
      </c>
      <c r="E91" s="142"/>
      <c r="F91" s="142">
        <v>40</v>
      </c>
      <c r="G91" s="142">
        <v>40</v>
      </c>
      <c r="H91" s="143">
        <v>40</v>
      </c>
      <c r="I91" s="142">
        <v>40</v>
      </c>
      <c r="J91" s="142">
        <v>40</v>
      </c>
      <c r="K91" s="142">
        <v>40</v>
      </c>
      <c r="L91" s="124">
        <f t="shared" si="84"/>
        <v>6</v>
      </c>
      <c r="M91" s="138">
        <v>14</v>
      </c>
      <c r="N91" s="42"/>
      <c r="O91" s="66">
        <f t="shared" si="91"/>
        <v>6</v>
      </c>
      <c r="P91" s="33">
        <f t="shared" si="92"/>
        <v>6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134">
        <v>46306</v>
      </c>
      <c r="B92" s="135">
        <v>86</v>
      </c>
      <c r="C92" s="144" t="s">
        <v>218</v>
      </c>
      <c r="D92" s="144"/>
      <c r="E92" s="142"/>
      <c r="F92" s="142">
        <v>200</v>
      </c>
      <c r="G92" s="142">
        <v>280</v>
      </c>
      <c r="H92" s="143">
        <v>320</v>
      </c>
      <c r="I92" s="142">
        <v>360</v>
      </c>
      <c r="J92" s="142">
        <v>320</v>
      </c>
      <c r="K92" s="142">
        <v>440</v>
      </c>
      <c r="L92" s="124">
        <f t="shared" si="84"/>
        <v>48</v>
      </c>
      <c r="M92" s="139">
        <v>18</v>
      </c>
      <c r="N92" s="42"/>
      <c r="O92" s="66">
        <f t="shared" si="91"/>
        <v>40</v>
      </c>
      <c r="P92" s="33">
        <f t="shared" si="92"/>
        <v>56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134">
        <v>46306</v>
      </c>
      <c r="B93" s="135">
        <v>87</v>
      </c>
      <c r="C93" s="144" t="s">
        <v>219</v>
      </c>
      <c r="D93" s="144"/>
      <c r="E93" s="142"/>
      <c r="F93" s="142">
        <v>200</v>
      </c>
      <c r="G93" s="142">
        <v>120</v>
      </c>
      <c r="H93" s="143">
        <v>120</v>
      </c>
      <c r="I93" s="142">
        <v>280</v>
      </c>
      <c r="J93" s="142">
        <v>360</v>
      </c>
      <c r="K93" s="142">
        <v>440</v>
      </c>
      <c r="L93" s="124">
        <f t="shared" si="84"/>
        <v>38</v>
      </c>
      <c r="M93" s="139">
        <v>18</v>
      </c>
      <c r="N93" s="42"/>
      <c r="O93" s="66">
        <f t="shared" si="91"/>
        <v>22</v>
      </c>
      <c r="P93" s="33">
        <f t="shared" si="92"/>
        <v>54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134">
        <v>46306</v>
      </c>
      <c r="B94" s="135">
        <v>88</v>
      </c>
      <c r="C94" s="144" t="s">
        <v>211</v>
      </c>
      <c r="D94" s="144" t="s">
        <v>212</v>
      </c>
      <c r="E94" s="142"/>
      <c r="F94" s="142">
        <v>600</v>
      </c>
      <c r="G94" s="142"/>
      <c r="H94" s="143"/>
      <c r="I94" s="142"/>
      <c r="J94" s="142"/>
      <c r="K94" s="142"/>
      <c r="L94" s="124">
        <f t="shared" si="84"/>
        <v>15</v>
      </c>
      <c r="M94" s="139">
        <v>16</v>
      </c>
      <c r="N94" s="42"/>
      <c r="O94" s="66">
        <f t="shared" si="91"/>
        <v>30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134">
        <v>46306</v>
      </c>
      <c r="B95" s="135">
        <v>89</v>
      </c>
      <c r="C95" s="144"/>
      <c r="D95" s="144"/>
      <c r="E95" s="142"/>
      <c r="F95" s="142"/>
      <c r="G95" s="142"/>
      <c r="H95" s="143"/>
      <c r="I95" s="142"/>
      <c r="J95" s="142"/>
      <c r="K95" s="142"/>
      <c r="L95" s="124">
        <f t="shared" si="84"/>
        <v>0</v>
      </c>
      <c r="M95" s="139"/>
      <c r="N95" s="42"/>
      <c r="O95" s="66">
        <f t="shared" si="91"/>
        <v>0</v>
      </c>
      <c r="P95" s="33">
        <f t="shared" si="92"/>
        <v>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/>
      <c r="B96" s="40">
        <v>90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84"/>
        <v>0</v>
      </c>
      <c r="M96" s="138"/>
      <c r="N96" s="42"/>
      <c r="O96" s="66">
        <f t="shared" si="91"/>
        <v>0</v>
      </c>
      <c r="P96" s="33">
        <f t="shared" si="92"/>
        <v>0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/>
      <c r="B97" s="40">
        <v>91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84"/>
        <v>0</v>
      </c>
      <c r="M97" s="138"/>
      <c r="N97" s="42"/>
      <c r="O97" s="66">
        <f t="shared" si="91"/>
        <v>0</v>
      </c>
      <c r="P97" s="33">
        <f t="shared" si="92"/>
        <v>0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/>
      <c r="B98" s="40">
        <v>92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84"/>
        <v>0</v>
      </c>
      <c r="M98" s="138"/>
      <c r="N98" s="42"/>
      <c r="O98" s="66">
        <f t="shared" si="91"/>
        <v>0</v>
      </c>
      <c r="P98" s="33">
        <f t="shared" si="92"/>
        <v>0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/>
      <c r="B99" s="40">
        <v>93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84"/>
        <v>0</v>
      </c>
      <c r="M99" s="138"/>
      <c r="N99" s="42"/>
      <c r="O99" s="66">
        <f t="shared" si="91"/>
        <v>0</v>
      </c>
      <c r="P99" s="33">
        <f t="shared" si="92"/>
        <v>0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/>
      <c r="B100" s="40">
        <v>94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84"/>
        <v>0</v>
      </c>
      <c r="M100" s="138"/>
      <c r="N100" s="42"/>
      <c r="O100" s="66">
        <f t="shared" si="91"/>
        <v>0</v>
      </c>
      <c r="P100" s="33">
        <f t="shared" si="92"/>
        <v>0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/>
      <c r="B101" s="40">
        <v>95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si="84"/>
        <v>0</v>
      </c>
      <c r="M101" s="138"/>
      <c r="N101" s="42"/>
      <c r="O101" s="66">
        <f t="shared" si="91"/>
        <v>0</v>
      </c>
      <c r="P101" s="33">
        <f t="shared" si="92"/>
        <v>0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/>
      <c r="B102" s="40">
        <v>96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84"/>
        <v>0</v>
      </c>
      <c r="M102" s="138"/>
      <c r="N102" s="42"/>
      <c r="O102" s="66">
        <f t="shared" si="91"/>
        <v>0</v>
      </c>
      <c r="P102" s="33">
        <f t="shared" si="92"/>
        <v>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55" t="s">
        <v>11</v>
      </c>
      <c r="C135" s="155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67" t="s">
        <v>68</v>
      </c>
      <c r="C139" s="168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56" t="s">
        <v>11</v>
      </c>
      <c r="C140" s="157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1435</v>
      </c>
      <c r="N140" s="54">
        <f t="shared" ref="N140:X140" si="111">SUM(N5:N139)</f>
        <v>10.6539</v>
      </c>
      <c r="O140" s="55">
        <f t="shared" si="111"/>
        <v>857.6</v>
      </c>
      <c r="P140" s="57">
        <f t="shared" si="111"/>
        <v>1761.1999999999998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40:C140"/>
    <mergeCell ref="L2:N2"/>
    <mergeCell ref="O2:P2"/>
    <mergeCell ref="L3:N3"/>
    <mergeCell ref="A2:A4"/>
    <mergeCell ref="B139:C139"/>
    <mergeCell ref="B1:E1"/>
    <mergeCell ref="B2:B4"/>
    <mergeCell ref="Q3:T3"/>
    <mergeCell ref="U3:X3"/>
    <mergeCell ref="B135:C135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opLeftCell="H1" zoomScale="115" zoomScaleNormal="115" workbookViewId="0">
      <selection activeCell="N1" sqref="N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301</v>
      </c>
      <c r="E5" s="72">
        <v>578</v>
      </c>
      <c r="F5" s="72">
        <v>380</v>
      </c>
      <c r="G5" s="94">
        <f>SUM(D5:F5)</f>
        <v>1259</v>
      </c>
      <c r="H5" s="87">
        <v>10000</v>
      </c>
      <c r="I5" s="88">
        <f>G5-H5</f>
        <v>-8741</v>
      </c>
      <c r="K5" s="132" t="s">
        <v>1</v>
      </c>
      <c r="L5" s="7">
        <v>70</v>
      </c>
      <c r="M5" s="5">
        <v>9122</v>
      </c>
      <c r="N5" s="6">
        <f t="shared" ref="N5:N11" si="0">M5/40</f>
        <v>228.05</v>
      </c>
      <c r="O5" s="74"/>
      <c r="P5" s="133"/>
      <c r="Q5">
        <v>267.20999999999998</v>
      </c>
      <c r="R5" s="141">
        <f>N5-Q5</f>
        <v>-39.159999999999968</v>
      </c>
    </row>
    <row r="6" spans="3:26" ht="32" customHeight="1" thickBot="1" x14ac:dyDescent="0.6">
      <c r="C6" s="95" t="s">
        <v>48</v>
      </c>
      <c r="D6" s="96">
        <f>D5*40</f>
        <v>12040</v>
      </c>
      <c r="E6" s="96">
        <f t="shared" ref="E6:F6" si="1">E5*40</f>
        <v>23120</v>
      </c>
      <c r="F6" s="96">
        <f t="shared" si="1"/>
        <v>15200</v>
      </c>
      <c r="G6" s="97">
        <f>SUM(D6:F6)</f>
        <v>50360</v>
      </c>
      <c r="H6" s="89">
        <f>H5*40</f>
        <v>400000</v>
      </c>
      <c r="I6" s="90">
        <f>G6-H6</f>
        <v>-349640</v>
      </c>
      <c r="K6" s="132" t="s">
        <v>2</v>
      </c>
      <c r="L6" s="7">
        <v>70</v>
      </c>
      <c r="M6" s="5">
        <v>10173</v>
      </c>
      <c r="N6" s="6">
        <f t="shared" si="0"/>
        <v>254.32499999999999</v>
      </c>
      <c r="O6" s="74"/>
      <c r="P6" s="133"/>
      <c r="Q6">
        <v>174.27</v>
      </c>
      <c r="R6" s="141">
        <f t="shared" ref="R6:R10" si="2">N6-Q6</f>
        <v>80.054999999999978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7936</v>
      </c>
      <c r="N7" s="6">
        <f t="shared" si="0"/>
        <v>198.4</v>
      </c>
      <c r="O7" s="74"/>
      <c r="P7" s="133"/>
      <c r="Q7">
        <v>76.239999999999995</v>
      </c>
      <c r="R7" s="141">
        <f t="shared" si="2"/>
        <v>122.16000000000001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417</v>
      </c>
      <c r="N8" s="6">
        <f t="shared" si="0"/>
        <v>10.425000000000001</v>
      </c>
      <c r="O8" s="74">
        <v>50</v>
      </c>
      <c r="P8" s="133"/>
      <c r="Q8">
        <v>84.3</v>
      </c>
      <c r="R8" s="141">
        <f t="shared" si="2"/>
        <v>-73.875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-301</v>
      </c>
      <c r="E9" s="98">
        <f>E8-E5</f>
        <v>-578</v>
      </c>
      <c r="K9" s="132" t="s">
        <v>5</v>
      </c>
      <c r="L9" s="7">
        <v>120</v>
      </c>
      <c r="M9" s="5">
        <v>2454</v>
      </c>
      <c r="N9" s="6">
        <f t="shared" si="0"/>
        <v>61.35</v>
      </c>
      <c r="O9" s="74">
        <v>23</v>
      </c>
      <c r="P9" s="133"/>
      <c r="Q9">
        <v>109.17</v>
      </c>
      <c r="R9" s="141">
        <f t="shared" si="2"/>
        <v>-47.82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68</v>
      </c>
      <c r="N10" s="6">
        <f t="shared" si="0"/>
        <v>1.7</v>
      </c>
      <c r="O10" s="74"/>
      <c r="P10" s="133"/>
      <c r="Q10">
        <v>198.35</v>
      </c>
      <c r="R10" s="141">
        <f t="shared" si="2"/>
        <v>-196.65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5459</v>
      </c>
      <c r="K12" s="132" t="s">
        <v>11</v>
      </c>
      <c r="L12" s="74"/>
      <c r="M12" s="8">
        <f>SUM(M5:M11)</f>
        <v>30178</v>
      </c>
      <c r="N12" s="9">
        <f>SUM(N5:N11)</f>
        <v>754.45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218360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-9122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-10173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-7936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-417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-2454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-68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-30178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-754.45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2026-10-14T05:51:08Z</dcterms:modified>
</cp:coreProperties>
</file>