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28AF34A-56D0-48E5-AF9F-9E66B54D1019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<sst xmlns="http://schemas.openxmlformats.org/spreadsheetml/2006/main" count="23" uniqueCount="23">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</sst>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B1" activePane="topRight" state="frozen"/>
      <selection pane="topRight" activeCell="AO10" sqref="AO10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7" width="8.7265625" hidden="1" customWidth="1"/>
    <col min="8" max="8" width="8.7265625" customWidth="1"/>
    <col min="9" max="9" width="7.36328125" bestFit="1" customWidth="1"/>
    <col min="10" max="10" width="6.6328125" customWidth="1"/>
    <col min="11" max="11" width="5.81640625" hidden="1" customWidth="1"/>
    <col min="12" max="12" width="6.26953125" hidden="1" customWidth="1"/>
    <col min="13" max="13" width="7.36328125" hidden="1" customWidth="1"/>
    <col min="14" max="14" width="2.453125" hidden="1" customWidth="1"/>
    <col min="15" max="15" width="6.90625" hidden="1" customWidth="1"/>
    <col min="16" max="16" width="9.453125" hidden="1" customWidth="1"/>
    <col min="17" max="17" width="7.1796875" hidden="1" customWidth="1"/>
    <col min="18" max="20" width="9.453125" hidden="1" customWidth="1"/>
    <col min="21" max="21" width="2.90625" hidden="1" customWidth="1"/>
    <col min="22" max="22" width="8.26953125" hidden="1" customWidth="1"/>
    <col min="23" max="23" width="9.453125" hidden="1" customWidth="1"/>
    <col min="24" max="24" width="7.81640625" hidden="1" customWidth="1"/>
    <col min="25" max="27" width="9.453125" hidden="1" customWidth="1"/>
    <col min="28" max="28" width="3.08984375" hidden="1" customWidth="1"/>
    <col min="29" max="29" width="8.6328125" hidden="1" customWidth="1"/>
    <col min="30" max="30" width="7" hidden="1" customWidth="1"/>
    <col min="31" max="31" width="6.1796875" hidden="1" customWidth="1"/>
    <col min="32" max="32" width="7.54296875" hidden="1" customWidth="1"/>
    <col min="33" max="33" width="6.453125" hidden="1" customWidth="1"/>
    <col min="34" max="34" width="7.4531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46296</v>
      </c>
      <c r="F2" s="14">
        <v>46296</v>
      </c>
      <c r="G2" s="14">
        <v>46296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10702</v>
      </c>
      <c r="E3" s="1">
        <v>4000</v>
      </c>
      <c r="F3" s="1"/>
      <c r="G3" s="1"/>
      <c r="H3" s="1">
        <f>SUM(D3:G3)</f>
        <v>14702</v>
      </c>
      <c r="I3" s="1">
        <v>493</v>
      </c>
      <c r="J3" s="1">
        <v>455</v>
      </c>
      <c r="K3" s="1"/>
      <c r="L3" s="1"/>
      <c r="M3" s="1"/>
      <c r="N3" s="6"/>
      <c r="O3" s="1"/>
      <c r="P3" s="1"/>
      <c r="Q3" s="1"/>
      <c r="R3" s="1"/>
      <c r="S3" s="1"/>
      <c r="T3" s="1"/>
      <c r="U3" s="6"/>
      <c r="V3" s="1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948</v>
      </c>
      <c r="AN3" s="4">
        <f t="shared" ref="AN3:AN9" si="0">H3-AM3</f>
        <v>13754</v>
      </c>
    </row>
    <row r="4" spans="1:40" x14ac:dyDescent="0.35">
      <c r="B4" s="1" t="s">
        <v>4</v>
      </c>
      <c r="C4" s="2">
        <v>70</v>
      </c>
      <c r="D4" s="1">
        <v>11028</v>
      </c>
      <c r="E4" s="1">
        <v>4000</v>
      </c>
      <c r="F4" s="1"/>
      <c r="G4" s="1"/>
      <c r="H4" s="1">
        <f t="shared" ref="H4:H9" si="1">SUM(D4:G4)</f>
        <v>15028</v>
      </c>
      <c r="I4" s="1">
        <v>420</v>
      </c>
      <c r="J4" s="1">
        <v>337</v>
      </c>
      <c r="K4" s="1"/>
      <c r="L4" s="1"/>
      <c r="M4" s="1"/>
      <c r="N4" s="6"/>
      <c r="O4" s="1"/>
      <c r="P4" s="1"/>
      <c r="Q4" s="1"/>
      <c r="R4" s="1"/>
      <c r="S4" s="1"/>
      <c r="T4" s="1"/>
      <c r="U4" s="6"/>
      <c r="V4" s="1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757</v>
      </c>
      <c r="AN4" s="4">
        <f t="shared" si="0"/>
        <v>14271</v>
      </c>
    </row>
    <row r="5" spans="1:40" x14ac:dyDescent="0.35">
      <c r="B5" s="1" t="s">
        <v>5</v>
      </c>
      <c r="C5" s="2">
        <v>70</v>
      </c>
      <c r="D5" s="1">
        <v>6654</v>
      </c>
      <c r="E5" s="1">
        <v>8000</v>
      </c>
      <c r="F5" s="1"/>
      <c r="G5" s="1"/>
      <c r="H5" s="1">
        <f t="shared" si="1"/>
        <v>14654</v>
      </c>
      <c r="I5" s="1">
        <v>566</v>
      </c>
      <c r="J5" s="1">
        <v>856</v>
      </c>
      <c r="K5" s="1"/>
      <c r="L5" s="1"/>
      <c r="M5" s="1"/>
      <c r="N5" s="6"/>
      <c r="O5" s="1"/>
      <c r="P5" s="1"/>
      <c r="Q5" s="1"/>
      <c r="R5" s="1"/>
      <c r="S5" s="1"/>
      <c r="T5" s="1"/>
      <c r="U5" s="6"/>
      <c r="V5" s="1"/>
      <c r="W5" s="1"/>
      <c r="X5" s="1"/>
      <c r="Y5" s="1"/>
      <c r="Z5" s="1"/>
      <c r="AA5" s="1"/>
      <c r="AB5" s="6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1422</v>
      </c>
      <c r="AN5" s="4">
        <f t="shared" si="0"/>
        <v>13232</v>
      </c>
    </row>
    <row r="6" spans="1:40" x14ac:dyDescent="0.35">
      <c r="B6" s="1" t="s">
        <v>6</v>
      </c>
      <c r="C6" s="2">
        <v>120</v>
      </c>
      <c r="D6" s="1">
        <v>6228</v>
      </c>
      <c r="E6" s="1">
        <v>6000</v>
      </c>
      <c r="F6" s="1"/>
      <c r="G6" s="1"/>
      <c r="H6" s="1">
        <f t="shared" si="1"/>
        <v>12228</v>
      </c>
      <c r="I6" s="1">
        <v>543</v>
      </c>
      <c r="J6" s="1">
        <v>732</v>
      </c>
      <c r="K6" s="1"/>
      <c r="L6" s="1"/>
      <c r="M6" s="1"/>
      <c r="N6" s="6"/>
      <c r="O6" s="1"/>
      <c r="P6" s="1"/>
      <c r="Q6" s="1"/>
      <c r="R6" s="1"/>
      <c r="S6" s="1"/>
      <c r="T6" s="1"/>
      <c r="U6" s="6"/>
      <c r="V6" s="1"/>
      <c r="W6" s="1"/>
      <c r="X6" s="1"/>
      <c r="Y6" s="1"/>
      <c r="Z6" s="1"/>
      <c r="AA6" s="1"/>
      <c r="AB6" s="6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1275</v>
      </c>
      <c r="AN6" s="4">
        <f t="shared" si="0"/>
        <v>10953</v>
      </c>
    </row>
    <row r="7" spans="1:40" x14ac:dyDescent="0.35">
      <c r="B7" s="1" t="s">
        <v>7</v>
      </c>
      <c r="C7" s="2">
        <v>120</v>
      </c>
      <c r="D7" s="1">
        <v>2954</v>
      </c>
      <c r="E7" s="1">
        <v>10000</v>
      </c>
      <c r="F7" s="1"/>
      <c r="G7" s="1"/>
      <c r="H7" s="1">
        <f t="shared" si="1"/>
        <v>12954</v>
      </c>
      <c r="I7" s="1">
        <v>411</v>
      </c>
      <c r="J7" s="1">
        <v>705</v>
      </c>
      <c r="K7" s="1"/>
      <c r="L7" s="1"/>
      <c r="M7" s="1"/>
      <c r="N7" s="6"/>
      <c r="O7" s="1"/>
      <c r="P7" s="1"/>
      <c r="Q7" s="1"/>
      <c r="R7" s="1"/>
      <c r="S7" s="1"/>
      <c r="T7" s="1"/>
      <c r="U7" s="6"/>
      <c r="V7" s="1"/>
      <c r="W7" s="1"/>
      <c r="X7" s="1"/>
      <c r="Y7" s="1"/>
      <c r="Z7" s="1"/>
      <c r="AA7" s="1"/>
      <c r="AB7" s="6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1116</v>
      </c>
      <c r="AN7" s="4">
        <f t="shared" si="0"/>
        <v>11838</v>
      </c>
    </row>
    <row r="8" spans="1:40" x14ac:dyDescent="0.35">
      <c r="B8" s="1" t="s">
        <v>8</v>
      </c>
      <c r="C8" s="2">
        <v>120</v>
      </c>
      <c r="D8" s="1">
        <v>6270</v>
      </c>
      <c r="E8" s="1">
        <v>8000</v>
      </c>
      <c r="F8" s="1"/>
      <c r="G8" s="1"/>
      <c r="H8" s="1">
        <f t="shared" si="1"/>
        <v>14270</v>
      </c>
      <c r="I8" s="1">
        <v>606</v>
      </c>
      <c r="J8" s="1">
        <v>1027</v>
      </c>
      <c r="K8" s="1"/>
      <c r="L8" s="1"/>
      <c r="M8" s="1"/>
      <c r="N8" s="6"/>
      <c r="O8" s="1"/>
      <c r="P8" s="1"/>
      <c r="Q8" s="1"/>
      <c r="R8" s="1"/>
      <c r="S8" s="1"/>
      <c r="T8" s="1"/>
      <c r="U8" s="6"/>
      <c r="V8" s="1"/>
      <c r="W8" s="1"/>
      <c r="X8" s="1"/>
      <c r="Y8" s="1"/>
      <c r="Z8" s="1"/>
      <c r="AA8" s="1"/>
      <c r="AB8" s="6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1633</v>
      </c>
      <c r="AN8" s="4">
        <f t="shared" si="0"/>
        <v>12637</v>
      </c>
    </row>
    <row r="9" spans="1:40" x14ac:dyDescent="0.35">
      <c r="B9" s="1" t="s">
        <v>9</v>
      </c>
      <c r="C9" s="2">
        <v>60</v>
      </c>
      <c r="D9" s="1">
        <v>8</v>
      </c>
      <c r="E9" s="1"/>
      <c r="F9" s="1"/>
      <c r="G9" s="1"/>
      <c r="H9" s="1">
        <f t="shared" si="1"/>
        <v>8</v>
      </c>
      <c r="I9" s="1"/>
      <c r="J9" s="1"/>
      <c r="K9" s="1"/>
      <c r="L9" s="1"/>
      <c r="M9" s="1"/>
      <c r="N9" s="6"/>
      <c r="O9" s="1"/>
      <c r="P9" s="1"/>
      <c r="Q9" s="1"/>
      <c r="R9" s="1"/>
      <c r="S9" s="1"/>
      <c r="T9" s="1"/>
      <c r="U9" s="6"/>
      <c r="V9" s="1"/>
      <c r="W9" s="1"/>
      <c r="X9" s="1"/>
      <c r="Y9" s="1"/>
      <c r="Z9" s="1"/>
      <c r="AA9" s="1"/>
      <c r="AB9" s="6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0</v>
      </c>
      <c r="AN9" s="4">
        <f t="shared" si="0"/>
        <v>8</v>
      </c>
    </row>
    <row r="10" spans="1:40" ht="18" customHeight="1" x14ac:dyDescent="0.35">
      <c r="B10" s="1" t="s">
        <v>10</v>
      </c>
      <c r="C10" s="1"/>
      <c r="D10" s="5">
        <f>SUM(D3:D9)</f>
        <v>43844</v>
      </c>
      <c r="E10" s="5">
        <f>SUM(E3:E9)</f>
        <v>40000</v>
      </c>
      <c r="F10" s="5">
        <f>SUM(F3:F9)</f>
        <v>0</v>
      </c>
      <c r="G10" s="5">
        <f>SUM(G3:G9)</f>
        <v>0</v>
      </c>
      <c r="H10" s="5">
        <f>SUM(H3:H9)</f>
        <v>83844</v>
      </c>
      <c r="I10" s="5">
        <f t="shared" ref="I10:AN10" si="3">SUM(I3:I9)</f>
        <v>3039</v>
      </c>
      <c r="J10" s="5">
        <f t="shared" si="3"/>
        <v>4112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7151</v>
      </c>
      <c r="AN10" s="5">
        <f t="shared" si="3"/>
        <v>76693</v>
      </c>
    </row>
    <row r="11" spans="1:40" ht="19" customHeight="1" x14ac:dyDescent="0.35">
      <c r="B11" s="1" t="s">
        <v>11</v>
      </c>
      <c r="C11" s="1"/>
      <c r="D11" s="5">
        <f>D10/40</f>
        <v>1096.0999999999999</v>
      </c>
      <c r="E11" s="5">
        <f>E10/40</f>
        <v>1000</v>
      </c>
      <c r="F11" s="5">
        <f>F10/40</f>
        <v>0</v>
      </c>
      <c r="G11" s="5">
        <f>G10/40</f>
        <v>0</v>
      </c>
      <c r="H11" s="15">
        <f>H10/40</f>
        <v>2096.1</v>
      </c>
      <c r="I11" s="5">
        <f t="shared" ref="I11:AN11" si="4">I10/40</f>
        <v>75.974999999999994</v>
      </c>
      <c r="J11" s="5">
        <f t="shared" si="4"/>
        <v>102.8</v>
      </c>
      <c r="K11" s="5">
        <f t="shared" si="4"/>
        <v>0</v>
      </c>
      <c r="L11" s="5">
        <f t="shared" si="4"/>
        <v>0</v>
      </c>
      <c r="M11" s="5">
        <f t="shared" si="4"/>
        <v>0</v>
      </c>
      <c r="N11" s="5">
        <f t="shared" si="4"/>
        <v>0</v>
      </c>
      <c r="O11" s="5">
        <f t="shared" si="4"/>
        <v>0</v>
      </c>
      <c r="P11" s="5">
        <f t="shared" si="4"/>
        <v>0</v>
      </c>
      <c r="Q11" s="5">
        <f t="shared" si="4"/>
        <v>0</v>
      </c>
      <c r="R11" s="5">
        <f t="shared" si="4"/>
        <v>0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178.77500000000001</v>
      </c>
      <c r="AN11" s="16">
        <f t="shared" si="4"/>
        <v>1917.325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  <c r="M12" s="17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2026-10-05T08:56:14Z</dcterms:modified>
</cp:coreProperties>
</file>