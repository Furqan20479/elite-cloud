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OCT_2026\Reports\"/>
    </mc:Choice>
  </mc:AlternateContent>
  <xr:revisionPtr revIDLastSave="0" documentId="13_ncr:1_{544BFCAA-53A0-422C-8204-BD655B45F138}" xr6:coauthVersionLast="47" xr6:coauthVersionMax="47" xr10:uidLastSave="{00000000-0000-0000-0000-000000000000}"/>
  <bookViews>
    <workbookView xWindow="-110" yWindow="-110" windowWidth="19420" windowHeight="10420" xr2:uid="{3E645682-E893-4F6E-94AA-185947CE66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F11" i="1"/>
  <c r="G11" i="1"/>
  <c r="H11" i="1"/>
  <c r="E11" i="1"/>
  <c r="AN11" i="1"/>
  <c r="AO11" i="1"/>
  <c r="AO10" i="1"/>
  <c r="AN10" i="1"/>
  <c r="J18" i="1" l="1"/>
  <c r="H12" i="1"/>
  <c r="I10" i="1"/>
  <c r="I11" i="1" s="1"/>
  <c r="I9" i="1"/>
  <c r="I8" i="1"/>
  <c r="I7" i="1"/>
  <c r="I6" i="1"/>
  <c r="I5" i="1"/>
  <c r="I4" i="1"/>
  <c r="I3" i="1"/>
  <c r="J17" i="1"/>
  <c r="J16" i="1"/>
  <c r="I19" i="1"/>
  <c r="G12" i="1"/>
  <c r="AB11" i="1" l="1"/>
  <c r="AB12" i="1" s="1"/>
  <c r="AC11" i="1"/>
  <c r="AC12" i="1" s="1"/>
  <c r="AD11" i="1"/>
  <c r="AD12" i="1" s="1"/>
  <c r="AE11" i="1"/>
  <c r="AE12" i="1" s="1"/>
  <c r="AF11" i="1"/>
  <c r="AF12" i="1" s="1"/>
  <c r="AG11" i="1"/>
  <c r="AG12" i="1" s="1"/>
  <c r="AH11" i="1"/>
  <c r="AH12" i="1" s="1"/>
  <c r="AI11" i="1"/>
  <c r="AI12" i="1" s="1"/>
  <c r="AJ11" i="1"/>
  <c r="AJ12" i="1" s="1"/>
  <c r="AK11" i="1"/>
  <c r="AK12" i="1" s="1"/>
  <c r="AL11" i="1"/>
  <c r="AL12" i="1" s="1"/>
  <c r="AM11" i="1"/>
  <c r="AM12" i="1" s="1"/>
  <c r="F12" i="1" l="1"/>
  <c r="E12" i="1"/>
  <c r="I12" i="1" l="1"/>
  <c r="C77" i="1"/>
  <c r="AN4" i="1"/>
  <c r="AO4" i="1" s="1"/>
  <c r="AN5" i="1"/>
  <c r="AO5" i="1" s="1"/>
  <c r="AN6" i="1"/>
  <c r="AO6" i="1" s="1"/>
  <c r="AN7" i="1"/>
  <c r="AO7" i="1" s="1"/>
  <c r="AN8" i="1"/>
  <c r="AO8" i="1" s="1"/>
  <c r="AN9" i="1"/>
  <c r="AO9" i="1" s="1"/>
  <c r="AN3" i="1"/>
  <c r="J11" i="1"/>
  <c r="J12" i="1" s="1"/>
  <c r="K11" i="1"/>
  <c r="K12" i="1" s="1"/>
  <c r="L11" i="1"/>
  <c r="L12" i="1" s="1"/>
  <c r="M11" i="1"/>
  <c r="M12" i="1" s="1"/>
  <c r="N11" i="1"/>
  <c r="N12" i="1" s="1"/>
  <c r="O11" i="1"/>
  <c r="O12" i="1" s="1"/>
  <c r="P11" i="1"/>
  <c r="P12" i="1" s="1"/>
  <c r="Q11" i="1"/>
  <c r="Q12" i="1" s="1"/>
  <c r="R11" i="1"/>
  <c r="R12" i="1" s="1"/>
  <c r="S11" i="1"/>
  <c r="S12" i="1" s="1"/>
  <c r="T11" i="1"/>
  <c r="T12" i="1" s="1"/>
  <c r="U11" i="1"/>
  <c r="U12" i="1" s="1"/>
  <c r="V11" i="1"/>
  <c r="V12" i="1" s="1"/>
  <c r="W11" i="1"/>
  <c r="W12" i="1" s="1"/>
  <c r="X11" i="1"/>
  <c r="X12" i="1" s="1"/>
  <c r="Y11" i="1"/>
  <c r="Y12" i="1" s="1"/>
  <c r="Z11" i="1"/>
  <c r="Z12" i="1" s="1"/>
  <c r="AA11" i="1"/>
  <c r="AA12" i="1" s="1"/>
  <c r="D12" i="1"/>
  <c r="AO3" i="1" l="1"/>
  <c r="AO12" i="1" s="1"/>
  <c r="AN12" i="1"/>
</calcChain>
</file>

<file path=xl/sharedStrings.xml><?xml version="1.0" encoding="utf-8"?>
<sst xmlns="http://schemas.openxmlformats.org/spreadsheetml/2006/main" count="27" uniqueCount="27">
  <si>
    <t xml:space="preserve">Opening </t>
  </si>
  <si>
    <t>PRODUCT</t>
  </si>
  <si>
    <t>GM</t>
  </si>
  <si>
    <t xml:space="preserve">Meat Masala </t>
  </si>
  <si>
    <t>Lemon Tarka</t>
  </si>
  <si>
    <t>Chicken Chatkhara</t>
  </si>
  <si>
    <t>Meat Masala (Jumbo)</t>
  </si>
  <si>
    <t>Lemon Tarka (Jumbo)</t>
  </si>
  <si>
    <t>Chicken Chatkhara (Jumbo)</t>
  </si>
  <si>
    <t>Chicken Chatkhara  (ECO)</t>
  </si>
  <si>
    <t>Pc's</t>
  </si>
  <si>
    <t>Ctn's</t>
  </si>
  <si>
    <t>Secondary</t>
  </si>
  <si>
    <t>In Hand</t>
  </si>
  <si>
    <t xml:space="preserve">Monthly Sale &amp; Inventry </t>
  </si>
  <si>
    <t xml:space="preserve">Dated </t>
  </si>
  <si>
    <t>LMT's</t>
  </si>
  <si>
    <t xml:space="preserve">Shops </t>
  </si>
  <si>
    <t>Ctns</t>
  </si>
  <si>
    <t xml:space="preserve">Status </t>
  </si>
  <si>
    <t xml:space="preserve">Total </t>
  </si>
  <si>
    <t>Primary</t>
  </si>
  <si>
    <t>OCT</t>
  </si>
  <si>
    <t>Chicken Promo 4 in 1</t>
  </si>
  <si>
    <t>Meat 70.</t>
  </si>
  <si>
    <t>Chk 120</t>
  </si>
  <si>
    <t xml:space="preserve">Promo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</si>
</sst>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5" borderId="1" xfId="0" applyFill="1" applyBorder="1"/>
    <xf numFmtId="16" fontId="0" fillId="0" borderId="1" xfId="0" applyNumberFormat="1" applyBorder="1"/>
    <xf numFmtId="16" fontId="2" fillId="0" borderId="0" xfId="0" applyNumberFormat="1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3" xfId="0" applyBorder="1"/>
    <xf numFmtId="0" fontId="0" fillId="4" borderId="0" xfId="0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/>
    <xf numFmtId="0" fontId="6" fillId="5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1" fillId="0" borderId="1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3771-1E8D-4C4A-A561-EB9042DCC7D5}">
  <dimension ref="A1:AO77"/>
  <sheetViews>
    <sheetView tabSelected="1" zoomScaleNormal="100" workbookViewId="0">
      <pane xSplit="1" topLeftCell="D1" activePane="topRight" state="frozen"/>
      <selection pane="topRight"/>
    </sheetView>
  </sheetViews>
  <sheetFormatPr defaultRowHeight="14.5" x14ac:dyDescent="0.35"/>
  <cols>
    <col min="1" max="1" width="6.6328125" customWidth="1"/>
    <col min="2" max="2" width="23.81640625" bestFit="1" customWidth="1"/>
    <col min="3" max="3" width="5.26953125" bestFit="1" customWidth="1"/>
    <col min="4" max="4" width="8.7265625" customWidth="1"/>
    <col min="5" max="5" width="7" bestFit="1" customWidth="1"/>
    <col min="6" max="9" width="8.7265625" customWidth="1"/>
    <col min="10" max="10" width="7.36328125" bestFit="1" customWidth="1"/>
    <col min="11" max="11" width="6.6328125" customWidth="1"/>
    <col min="12" max="12" width="5.81640625" customWidth="1"/>
    <col min="13" max="13" width="2.453125" customWidth="1"/>
    <col min="14" max="14" width="7.36328125" customWidth="1"/>
    <col min="15" max="16" width="6.90625" customWidth="1"/>
    <col min="17" max="17" width="9.453125" customWidth="1"/>
    <col min="18" max="18" width="7.1796875" customWidth="1"/>
    <col min="19" max="19" width="9.453125" customWidth="1"/>
    <col min="20" max="20" width="3.08984375" customWidth="1"/>
    <col min="21" max="22" width="9.453125" customWidth="1"/>
    <col min="23" max="23" width="8.26953125" customWidth="1"/>
    <col min="24" max="24" width="3.26953125" customWidth="1"/>
    <col min="25" max="25" width="7.81640625" customWidth="1"/>
    <col min="26" max="26" width="9.453125" customWidth="1"/>
    <col min="27" max="27" width="3.26953125" customWidth="1"/>
    <col min="28" max="28" width="9.453125" customWidth="1"/>
    <col min="29" max="29" width="6.54296875" customWidth="1"/>
    <col min="30" max="30" width="8.6328125" customWidth="1"/>
    <col min="31" max="31" width="7" customWidth="1"/>
    <col min="32" max="32" width="6.1796875" customWidth="1"/>
    <col min="33" max="33" width="7.54296875" customWidth="1"/>
    <col min="34" max="34" width="3.08984375" customWidth="1"/>
    <col min="35" max="35" width="7.453125" customWidth="1"/>
    <col min="36" max="36" width="8.6328125" customWidth="1"/>
    <col min="37" max="37" width="6.453125" customWidth="1"/>
    <col min="38" max="38" width="8.6328125" customWidth="1"/>
    <col min="39" max="39" width="7.54296875" customWidth="1"/>
    <col min="40" max="40" width="9.453125" bestFit="1" customWidth="1"/>
  </cols>
  <sheetData>
    <row r="1" spans="1:41" ht="36.5" customHeight="1" x14ac:dyDescent="0.35">
      <c r="A1" s="8" t="s">
        <v>22</v>
      </c>
      <c r="B1" s="18" t="s">
        <v>14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</row>
    <row r="2" spans="1:41" ht="22.5" customHeight="1" x14ac:dyDescent="0.35">
      <c r="B2" s="3" t="s">
        <v>1</v>
      </c>
      <c r="C2" s="2" t="s">
        <v>2</v>
      </c>
      <c r="D2" s="3" t="s">
        <v>0</v>
      </c>
      <c r="E2" s="14">
        <v>46296</v>
      </c>
      <c r="F2" s="14">
        <v>289</v>
      </c>
      <c r="G2" s="14">
        <v>295</v>
      </c>
      <c r="H2" s="14">
        <v>46324</v>
      </c>
      <c r="I2" s="14" t="s">
        <v>21</v>
      </c>
      <c r="J2" s="9">
        <v>1</v>
      </c>
      <c r="K2" s="9">
        <v>2</v>
      </c>
      <c r="L2" s="9">
        <v>3</v>
      </c>
      <c r="M2" s="22">
        <v>4</v>
      </c>
      <c r="N2" s="9">
        <v>5</v>
      </c>
      <c r="O2" s="9">
        <v>6</v>
      </c>
      <c r="P2" s="9">
        <v>7</v>
      </c>
      <c r="Q2" s="9">
        <v>8</v>
      </c>
      <c r="R2" s="9">
        <v>9</v>
      </c>
      <c r="S2" s="9">
        <v>10</v>
      </c>
      <c r="T2" s="27">
        <v>11</v>
      </c>
      <c r="U2" s="9">
        <v>12</v>
      </c>
      <c r="V2" s="9">
        <v>13</v>
      </c>
      <c r="W2" s="9">
        <v>14</v>
      </c>
      <c r="X2" s="27">
        <v>15</v>
      </c>
      <c r="Y2" s="9">
        <v>16</v>
      </c>
      <c r="Z2" s="9">
        <v>17</v>
      </c>
      <c r="AA2" s="27">
        <v>18</v>
      </c>
      <c r="AB2" s="9">
        <v>19</v>
      </c>
      <c r="AC2" s="9">
        <v>20</v>
      </c>
      <c r="AD2" s="9">
        <v>21</v>
      </c>
      <c r="AE2" s="9">
        <v>22</v>
      </c>
      <c r="AF2" s="9">
        <v>23</v>
      </c>
      <c r="AG2" s="9">
        <v>24</v>
      </c>
      <c r="AH2" s="27">
        <v>25</v>
      </c>
      <c r="AI2" s="9">
        <v>26</v>
      </c>
      <c r="AJ2" s="9">
        <v>27</v>
      </c>
      <c r="AK2" s="9">
        <v>28</v>
      </c>
      <c r="AL2" s="9">
        <v>29</v>
      </c>
      <c r="AM2" s="9">
        <v>30</v>
      </c>
      <c r="AN2" s="10" t="s">
        <v>12</v>
      </c>
      <c r="AO2" s="11" t="s">
        <v>13</v>
      </c>
    </row>
    <row r="3" spans="1:41" x14ac:dyDescent="0.35">
      <c r="B3" s="1" t="s">
        <v>3</v>
      </c>
      <c r="C3" s="2">
        <v>70</v>
      </c>
      <c r="D3" s="21">
        <v>10702</v>
      </c>
      <c r="E3" s="2">
        <v>4000</v>
      </c>
      <c r="F3" s="2"/>
      <c r="G3" s="2"/>
      <c r="H3" s="2">
        <v>10000</v>
      </c>
      <c r="I3" s="1">
        <f>SUM(D3:H3)</f>
        <v>24702</v>
      </c>
      <c r="J3" s="1">
        <v>493</v>
      </c>
      <c r="K3" s="1">
        <v>455</v>
      </c>
      <c r="L3" s="1">
        <v>520</v>
      </c>
      <c r="M3" s="23"/>
      <c r="N3" s="1">
        <v>120</v>
      </c>
      <c r="O3" s="25">
        <v>272</v>
      </c>
      <c r="P3" s="1">
        <v>675</v>
      </c>
      <c r="Q3" s="1">
        <v>478</v>
      </c>
      <c r="R3" s="1">
        <v>317</v>
      </c>
      <c r="S3" s="1">
        <v>518</v>
      </c>
      <c r="T3" s="6"/>
      <c r="U3" s="1">
        <v>1270</v>
      </c>
      <c r="V3" s="25">
        <v>175</v>
      </c>
      <c r="W3" s="1">
        <v>127</v>
      </c>
      <c r="X3" s="6"/>
      <c r="Y3" s="1">
        <v>894</v>
      </c>
      <c r="Z3" s="1">
        <v>679</v>
      </c>
      <c r="AA3" s="6"/>
      <c r="AB3" s="1">
        <v>553</v>
      </c>
      <c r="AC3" s="25">
        <v>242</v>
      </c>
      <c r="AD3" s="1">
        <v>889</v>
      </c>
      <c r="AE3" s="1">
        <v>1437</v>
      </c>
      <c r="AF3" s="1">
        <v>466</v>
      </c>
      <c r="AG3" s="1">
        <v>376</v>
      </c>
      <c r="AH3" s="6"/>
      <c r="AI3" s="1">
        <v>276</v>
      </c>
      <c r="AJ3" s="1">
        <v>386</v>
      </c>
      <c r="AK3" s="1">
        <v>426</v>
      </c>
      <c r="AL3" s="1"/>
      <c r="AM3" s="1"/>
      <c r="AN3" s="2">
        <f>SUM(J3:AM3)</f>
        <v>12044</v>
      </c>
      <c r="AO3" s="4">
        <f t="shared" ref="AO3:AO10" si="0">I3-AN3</f>
        <v>12658</v>
      </c>
    </row>
    <row r="4" spans="1:41" x14ac:dyDescent="0.35">
      <c r="B4" s="1" t="s">
        <v>4</v>
      </c>
      <c r="C4" s="2">
        <v>70</v>
      </c>
      <c r="D4" s="21">
        <v>11028</v>
      </c>
      <c r="E4" s="2">
        <v>4000</v>
      </c>
      <c r="F4" s="2"/>
      <c r="G4" s="2"/>
      <c r="H4" s="2"/>
      <c r="I4" s="1">
        <f>SUM(D4:H4)</f>
        <v>15028</v>
      </c>
      <c r="J4" s="1">
        <v>420</v>
      </c>
      <c r="K4" s="1">
        <v>337</v>
      </c>
      <c r="L4" s="1">
        <v>383</v>
      </c>
      <c r="M4" s="23"/>
      <c r="N4" s="1">
        <v>90</v>
      </c>
      <c r="O4" s="25">
        <v>292</v>
      </c>
      <c r="P4" s="1">
        <v>716</v>
      </c>
      <c r="Q4" s="1">
        <v>599</v>
      </c>
      <c r="R4" s="1">
        <v>180</v>
      </c>
      <c r="S4" s="1">
        <v>611</v>
      </c>
      <c r="T4" s="6"/>
      <c r="U4" s="1">
        <v>693</v>
      </c>
      <c r="V4" s="25">
        <v>118</v>
      </c>
      <c r="W4" s="1">
        <v>69</v>
      </c>
      <c r="X4" s="6"/>
      <c r="Y4" s="1">
        <v>883</v>
      </c>
      <c r="Z4" s="1">
        <v>794</v>
      </c>
      <c r="AA4" s="6"/>
      <c r="AB4" s="1">
        <v>393</v>
      </c>
      <c r="AC4" s="25">
        <v>161</v>
      </c>
      <c r="AD4" s="1">
        <v>730</v>
      </c>
      <c r="AE4" s="1">
        <v>1363</v>
      </c>
      <c r="AF4" s="1">
        <v>508</v>
      </c>
      <c r="AG4" s="1">
        <v>822</v>
      </c>
      <c r="AH4" s="6"/>
      <c r="AI4" s="1">
        <v>276</v>
      </c>
      <c r="AJ4" s="1">
        <v>405</v>
      </c>
      <c r="AK4" s="1">
        <v>451</v>
      </c>
      <c r="AL4" s="1"/>
      <c r="AM4" s="1"/>
      <c r="AN4" s="2">
        <f t="shared" ref="AN4:AN10" si="1">SUM(J4:AM4)</f>
        <v>11294</v>
      </c>
      <c r="AO4" s="4">
        <f t="shared" si="0"/>
        <v>3734</v>
      </c>
    </row>
    <row r="5" spans="1:41" x14ac:dyDescent="0.35">
      <c r="B5" s="1" t="s">
        <v>5</v>
      </c>
      <c r="C5" s="2">
        <v>70</v>
      </c>
      <c r="D5" s="21">
        <v>6654</v>
      </c>
      <c r="E5" s="2">
        <v>8000</v>
      </c>
      <c r="F5" s="2"/>
      <c r="G5" s="2"/>
      <c r="H5" s="2"/>
      <c r="I5" s="1">
        <f>SUM(D5:H5)</f>
        <v>14654</v>
      </c>
      <c r="J5" s="1">
        <v>566</v>
      </c>
      <c r="K5" s="1">
        <v>856</v>
      </c>
      <c r="L5" s="1">
        <v>636</v>
      </c>
      <c r="M5" s="23"/>
      <c r="N5" s="1">
        <v>122</v>
      </c>
      <c r="O5" s="25">
        <v>1307</v>
      </c>
      <c r="P5" s="1">
        <v>700</v>
      </c>
      <c r="Q5" s="1">
        <v>632</v>
      </c>
      <c r="R5" s="1">
        <v>127</v>
      </c>
      <c r="S5" s="1">
        <v>616</v>
      </c>
      <c r="T5" s="6"/>
      <c r="U5" s="1">
        <v>875</v>
      </c>
      <c r="V5" s="25">
        <v>298</v>
      </c>
      <c r="W5" s="1">
        <v>95</v>
      </c>
      <c r="X5" s="6"/>
      <c r="Y5" s="1">
        <v>1298</v>
      </c>
      <c r="Z5" s="1">
        <v>955</v>
      </c>
      <c r="AA5" s="6"/>
      <c r="AB5" s="1">
        <v>1229</v>
      </c>
      <c r="AC5" s="25">
        <v>260</v>
      </c>
      <c r="AD5" s="1">
        <v>1361</v>
      </c>
      <c r="AE5" s="1">
        <v>1355</v>
      </c>
      <c r="AF5" s="1">
        <v>594</v>
      </c>
      <c r="AG5" s="1">
        <v>695</v>
      </c>
      <c r="AH5" s="6"/>
      <c r="AI5" s="1">
        <v>136</v>
      </c>
      <c r="AJ5" s="1">
        <v>120</v>
      </c>
      <c r="AK5" s="1">
        <v>0</v>
      </c>
      <c r="AL5" s="1"/>
      <c r="AM5" s="1"/>
      <c r="AN5" s="2">
        <f t="shared" si="1"/>
        <v>14833</v>
      </c>
      <c r="AO5" s="4">
        <f t="shared" si="0"/>
        <v>-179</v>
      </c>
    </row>
    <row r="6" spans="1:41" x14ac:dyDescent="0.35">
      <c r="B6" s="1" t="s">
        <v>6</v>
      </c>
      <c r="C6" s="2">
        <v>120</v>
      </c>
      <c r="D6" s="21">
        <v>6228</v>
      </c>
      <c r="E6" s="2">
        <v>6000</v>
      </c>
      <c r="F6" s="2">
        <v>14000</v>
      </c>
      <c r="G6" s="2">
        <v>400</v>
      </c>
      <c r="H6" s="2"/>
      <c r="I6" s="1">
        <f>SUM(D6:H6)</f>
        <v>26628</v>
      </c>
      <c r="J6" s="1">
        <v>543</v>
      </c>
      <c r="K6" s="1">
        <v>732</v>
      </c>
      <c r="L6" s="1">
        <v>687</v>
      </c>
      <c r="M6" s="23"/>
      <c r="N6" s="1">
        <v>303</v>
      </c>
      <c r="O6" s="25">
        <v>1394</v>
      </c>
      <c r="P6" s="1">
        <v>1257</v>
      </c>
      <c r="Q6" s="1">
        <v>836</v>
      </c>
      <c r="R6" s="1">
        <v>3591</v>
      </c>
      <c r="S6" s="1">
        <v>657</v>
      </c>
      <c r="T6" s="6"/>
      <c r="U6" s="1">
        <v>1029</v>
      </c>
      <c r="V6" s="25">
        <v>465</v>
      </c>
      <c r="W6" s="1">
        <v>288</v>
      </c>
      <c r="X6" s="6"/>
      <c r="Y6" s="1">
        <v>4582</v>
      </c>
      <c r="Z6" s="1">
        <v>1905</v>
      </c>
      <c r="AA6" s="6"/>
      <c r="AB6" s="1">
        <v>1737</v>
      </c>
      <c r="AC6" s="25">
        <v>651</v>
      </c>
      <c r="AD6" s="1">
        <v>1342</v>
      </c>
      <c r="AE6" s="1">
        <v>1925</v>
      </c>
      <c r="AF6" s="1">
        <v>812</v>
      </c>
      <c r="AG6" s="1">
        <v>1095</v>
      </c>
      <c r="AH6" s="6"/>
      <c r="AI6" s="1">
        <v>366</v>
      </c>
      <c r="AJ6" s="1">
        <v>682</v>
      </c>
      <c r="AK6" s="1">
        <v>499</v>
      </c>
      <c r="AL6" s="1"/>
      <c r="AM6" s="1"/>
      <c r="AN6" s="2">
        <f t="shared" si="1"/>
        <v>27378</v>
      </c>
      <c r="AO6" s="4">
        <f t="shared" si="0"/>
        <v>-750</v>
      </c>
    </row>
    <row r="7" spans="1:41" x14ac:dyDescent="0.35">
      <c r="B7" s="1" t="s">
        <v>7</v>
      </c>
      <c r="C7" s="2">
        <v>120</v>
      </c>
      <c r="D7" s="21">
        <v>2954</v>
      </c>
      <c r="E7" s="2">
        <v>10000</v>
      </c>
      <c r="F7" s="2">
        <v>12000</v>
      </c>
      <c r="G7" s="2">
        <v>14000</v>
      </c>
      <c r="H7" s="2"/>
      <c r="I7" s="1">
        <f>SUM(D7:H7)</f>
        <v>38954</v>
      </c>
      <c r="J7" s="1">
        <v>411</v>
      </c>
      <c r="K7" s="1">
        <v>705</v>
      </c>
      <c r="L7" s="1">
        <v>535</v>
      </c>
      <c r="M7" s="23"/>
      <c r="N7" s="1">
        <v>198</v>
      </c>
      <c r="O7" s="25">
        <v>1905</v>
      </c>
      <c r="P7" s="1">
        <v>1562</v>
      </c>
      <c r="Q7" s="1">
        <v>641</v>
      </c>
      <c r="R7" s="1">
        <v>2481</v>
      </c>
      <c r="S7" s="1">
        <v>542</v>
      </c>
      <c r="T7" s="6"/>
      <c r="U7" s="1">
        <v>1003</v>
      </c>
      <c r="V7" s="25">
        <v>291</v>
      </c>
      <c r="W7" s="1">
        <v>148</v>
      </c>
      <c r="X7" s="6"/>
      <c r="Y7" s="1">
        <v>3894</v>
      </c>
      <c r="Z7" s="1">
        <v>1928</v>
      </c>
      <c r="AA7" s="6"/>
      <c r="AB7" s="1">
        <v>1707</v>
      </c>
      <c r="AC7" s="25">
        <v>587</v>
      </c>
      <c r="AD7" s="1">
        <v>1808</v>
      </c>
      <c r="AE7" s="1">
        <v>1660</v>
      </c>
      <c r="AF7" s="1">
        <v>696</v>
      </c>
      <c r="AG7" s="1">
        <v>926</v>
      </c>
      <c r="AH7" s="6"/>
      <c r="AI7" s="1">
        <v>366</v>
      </c>
      <c r="AJ7" s="1">
        <v>842</v>
      </c>
      <c r="AK7" s="1">
        <v>528</v>
      </c>
      <c r="AL7" s="1"/>
      <c r="AM7" s="1"/>
      <c r="AN7" s="2">
        <f t="shared" si="1"/>
        <v>25364</v>
      </c>
      <c r="AO7" s="4">
        <f t="shared" si="0"/>
        <v>13590</v>
      </c>
    </row>
    <row r="8" spans="1:41" x14ac:dyDescent="0.35">
      <c r="B8" s="1" t="s">
        <v>8</v>
      </c>
      <c r="C8" s="2">
        <v>120</v>
      </c>
      <c r="D8" s="21">
        <v>6270</v>
      </c>
      <c r="E8" s="2">
        <v>8000</v>
      </c>
      <c r="F8" s="2">
        <v>14000</v>
      </c>
      <c r="G8" s="2">
        <v>20000</v>
      </c>
      <c r="H8" s="2">
        <v>10160</v>
      </c>
      <c r="I8" s="1">
        <f>SUM(D8:H8)</f>
        <v>58430</v>
      </c>
      <c r="J8" s="1">
        <v>606</v>
      </c>
      <c r="K8" s="1">
        <v>1027</v>
      </c>
      <c r="L8" s="1">
        <v>973</v>
      </c>
      <c r="M8" s="23"/>
      <c r="N8" s="1">
        <v>354</v>
      </c>
      <c r="O8" s="25">
        <v>1997</v>
      </c>
      <c r="P8" s="1">
        <v>1688</v>
      </c>
      <c r="Q8" s="1">
        <v>829</v>
      </c>
      <c r="R8" s="1">
        <v>4158</v>
      </c>
      <c r="S8" s="1">
        <v>634</v>
      </c>
      <c r="T8" s="6"/>
      <c r="U8" s="1">
        <v>1212</v>
      </c>
      <c r="V8" s="25">
        <v>340</v>
      </c>
      <c r="W8" s="1">
        <v>291</v>
      </c>
      <c r="X8" s="6"/>
      <c r="Y8" s="1">
        <v>5156</v>
      </c>
      <c r="Z8" s="1">
        <v>2405</v>
      </c>
      <c r="AA8" s="6"/>
      <c r="AB8" s="1">
        <v>2348</v>
      </c>
      <c r="AC8" s="25">
        <v>1220</v>
      </c>
      <c r="AD8" s="1">
        <v>2903</v>
      </c>
      <c r="AE8" s="1">
        <v>2018</v>
      </c>
      <c r="AF8" s="1">
        <v>913</v>
      </c>
      <c r="AG8" s="1">
        <v>1157</v>
      </c>
      <c r="AH8" s="6"/>
      <c r="AI8" s="1">
        <v>442</v>
      </c>
      <c r="AJ8" s="1">
        <v>1963</v>
      </c>
      <c r="AK8" s="1">
        <v>865</v>
      </c>
      <c r="AL8" s="1"/>
      <c r="AM8" s="1"/>
      <c r="AN8" s="2">
        <f t="shared" si="1"/>
        <v>35499</v>
      </c>
      <c r="AO8" s="4">
        <f t="shared" si="0"/>
        <v>22931</v>
      </c>
    </row>
    <row r="9" spans="1:41" x14ac:dyDescent="0.35">
      <c r="B9" s="1" t="s">
        <v>9</v>
      </c>
      <c r="C9" s="2">
        <v>60</v>
      </c>
      <c r="D9" s="21">
        <v>8</v>
      </c>
      <c r="E9" s="2"/>
      <c r="F9" s="2"/>
      <c r="G9" s="2"/>
      <c r="H9" s="2"/>
      <c r="I9" s="1">
        <f>SUM(D9:H9)</f>
        <v>8</v>
      </c>
      <c r="J9" s="1"/>
      <c r="K9" s="1"/>
      <c r="L9" s="1"/>
      <c r="M9" s="23"/>
      <c r="N9" s="1"/>
      <c r="O9" s="25"/>
      <c r="P9" s="1"/>
      <c r="Q9" s="1"/>
      <c r="R9" s="1"/>
      <c r="S9" s="1"/>
      <c r="T9" s="6"/>
      <c r="U9" s="1"/>
      <c r="V9" s="25"/>
      <c r="W9" s="1"/>
      <c r="X9" s="6"/>
      <c r="Y9" s="1"/>
      <c r="Z9" s="1"/>
      <c r="AA9" s="6"/>
      <c r="AB9" s="1"/>
      <c r="AC9" s="25"/>
      <c r="AD9" s="1"/>
      <c r="AE9" s="1"/>
      <c r="AF9" s="1"/>
      <c r="AG9" s="1"/>
      <c r="AH9" s="6"/>
      <c r="AI9" s="1"/>
      <c r="AJ9" s="1"/>
      <c r="AK9" s="1"/>
      <c r="AL9" s="1"/>
      <c r="AM9" s="1"/>
      <c r="AN9" s="2">
        <f t="shared" si="1"/>
        <v>0</v>
      </c>
      <c r="AO9" s="4">
        <f t="shared" si="0"/>
        <v>8</v>
      </c>
    </row>
    <row r="10" spans="1:41" x14ac:dyDescent="0.35">
      <c r="B10" s="1" t="s">
        <v>23</v>
      </c>
      <c r="C10" s="2">
        <v>70</v>
      </c>
      <c r="D10" s="21"/>
      <c r="E10" s="2"/>
      <c r="F10" s="2"/>
      <c r="G10" s="2"/>
      <c r="H10" s="2">
        <v>26160</v>
      </c>
      <c r="I10" s="1">
        <f>SUM(D10:H10)</f>
        <v>26160</v>
      </c>
      <c r="J10" s="1"/>
      <c r="K10" s="1"/>
      <c r="L10" s="1"/>
      <c r="M10" s="23"/>
      <c r="N10" s="1"/>
      <c r="O10" s="25"/>
      <c r="P10" s="1"/>
      <c r="Q10" s="1"/>
      <c r="R10" s="1"/>
      <c r="S10" s="1"/>
      <c r="T10" s="6"/>
      <c r="U10" s="1"/>
      <c r="V10" s="25"/>
      <c r="W10" s="1"/>
      <c r="X10" s="6"/>
      <c r="Y10" s="1"/>
      <c r="Z10" s="1"/>
      <c r="AA10" s="6"/>
      <c r="AB10" s="1"/>
      <c r="AC10" s="25"/>
      <c r="AD10" s="1"/>
      <c r="AE10" s="1"/>
      <c r="AF10" s="1"/>
      <c r="AG10" s="1"/>
      <c r="AH10" s="6"/>
      <c r="AI10" s="1"/>
      <c r="AJ10" s="1"/>
      <c r="AK10" s="1"/>
      <c r="AL10" s="1"/>
      <c r="AM10" s="1"/>
      <c r="AN10" s="2">
        <f t="shared" si="1"/>
        <v>0</v>
      </c>
      <c r="AO10" s="4">
        <f t="shared" si="0"/>
        <v>26160</v>
      </c>
    </row>
    <row r="11" spans="1:41" ht="18" customHeight="1" x14ac:dyDescent="0.35">
      <c r="B11" s="1" t="s">
        <v>10</v>
      </c>
      <c r="C11" s="1"/>
      <c r="D11" s="20">
        <f>SUM(D3:D10)</f>
        <v>43844</v>
      </c>
      <c r="E11" s="5">
        <f>SUM(E3:E10)</f>
        <v>40000</v>
      </c>
      <c r="F11" s="5">
        <f t="shared" ref="F11:H11" si="2">SUM(F3:F10)</f>
        <v>40000</v>
      </c>
      <c r="G11" s="5">
        <f t="shared" si="2"/>
        <v>34400</v>
      </c>
      <c r="H11" s="5">
        <f t="shared" si="2"/>
        <v>46320</v>
      </c>
      <c r="I11" s="5">
        <f>SUM(I3:I10)</f>
        <v>204564</v>
      </c>
      <c r="J11" s="5">
        <f t="shared" ref="J11:AO11" si="3">SUM(J3:J9)</f>
        <v>3039</v>
      </c>
      <c r="K11" s="5">
        <f t="shared" si="3"/>
        <v>4112</v>
      </c>
      <c r="L11" s="5">
        <f t="shared" si="3"/>
        <v>3734</v>
      </c>
      <c r="M11" s="24">
        <f t="shared" si="3"/>
        <v>0</v>
      </c>
      <c r="N11" s="5">
        <f t="shared" si="3"/>
        <v>1187</v>
      </c>
      <c r="O11" s="5">
        <f t="shared" si="3"/>
        <v>7167</v>
      </c>
      <c r="P11" s="5">
        <f t="shared" si="3"/>
        <v>6598</v>
      </c>
      <c r="Q11" s="5">
        <f t="shared" si="3"/>
        <v>4015</v>
      </c>
      <c r="R11" s="5">
        <f t="shared" si="3"/>
        <v>10854</v>
      </c>
      <c r="S11" s="5">
        <f t="shared" si="3"/>
        <v>3578</v>
      </c>
      <c r="T11" s="28">
        <f t="shared" si="3"/>
        <v>0</v>
      </c>
      <c r="U11" s="5">
        <f t="shared" si="3"/>
        <v>6082</v>
      </c>
      <c r="V11" s="26">
        <f t="shared" si="3"/>
        <v>1687</v>
      </c>
      <c r="W11" s="5">
        <f t="shared" si="3"/>
        <v>1018</v>
      </c>
      <c r="X11" s="28">
        <f t="shared" si="3"/>
        <v>0</v>
      </c>
      <c r="Y11" s="5">
        <f t="shared" si="3"/>
        <v>16707</v>
      </c>
      <c r="Z11" s="5">
        <f t="shared" si="3"/>
        <v>8666</v>
      </c>
      <c r="AA11" s="28">
        <f t="shared" si="3"/>
        <v>0</v>
      </c>
      <c r="AB11" s="5">
        <f t="shared" si="3"/>
        <v>7967</v>
      </c>
      <c r="AC11" s="26">
        <f t="shared" si="3"/>
        <v>3121</v>
      </c>
      <c r="AD11" s="5">
        <f t="shared" si="3"/>
        <v>9033</v>
      </c>
      <c r="AE11" s="5">
        <f t="shared" si="3"/>
        <v>9758</v>
      </c>
      <c r="AF11" s="5">
        <f t="shared" si="3"/>
        <v>3989</v>
      </c>
      <c r="AG11" s="5">
        <f t="shared" si="3"/>
        <v>5071</v>
      </c>
      <c r="AH11" s="28">
        <f t="shared" si="3"/>
        <v>0</v>
      </c>
      <c r="AI11" s="5">
        <f t="shared" si="3"/>
        <v>1862</v>
      </c>
      <c r="AJ11" s="5">
        <f t="shared" si="3"/>
        <v>4398</v>
      </c>
      <c r="AK11" s="5">
        <f t="shared" si="3"/>
        <v>2769</v>
      </c>
      <c r="AL11" s="5">
        <f t="shared" si="3"/>
        <v>0</v>
      </c>
      <c r="AM11" s="5">
        <f t="shared" si="3"/>
        <v>0</v>
      </c>
      <c r="AN11" s="5">
        <f>SUM(AN3:AN10)</f>
        <v>126412</v>
      </c>
      <c r="AO11" s="5">
        <f>SUM(AO3:AO10)</f>
        <v>78152</v>
      </c>
    </row>
    <row r="12" spans="1:41" ht="19" customHeight="1" x14ac:dyDescent="0.35">
      <c r="B12" s="1" t="s">
        <v>11</v>
      </c>
      <c r="C12" s="1"/>
      <c r="D12" s="20">
        <f>D11/40</f>
        <v>1096.0999999999999</v>
      </c>
      <c r="E12" s="5">
        <f>E11/40</f>
        <v>1000</v>
      </c>
      <c r="F12" s="5">
        <f>F11/40</f>
        <v>1000</v>
      </c>
      <c r="G12" s="5">
        <f>G11/40</f>
        <v>860</v>
      </c>
      <c r="H12" s="5">
        <f>H11/40</f>
        <v>1158</v>
      </c>
      <c r="I12" s="15">
        <f>I11/40</f>
        <v>5114.1000000000004</v>
      </c>
      <c r="J12" s="5">
        <f t="shared" ref="J12:AO12" si="4">J11/40</f>
        <v>75.974999999999994</v>
      </c>
      <c r="K12" s="5">
        <f t="shared" si="4"/>
        <v>102.8</v>
      </c>
      <c r="L12" s="5">
        <f t="shared" si="4"/>
        <v>93.35</v>
      </c>
      <c r="M12" s="24">
        <f t="shared" si="4"/>
        <v>0</v>
      </c>
      <c r="N12" s="5">
        <f t="shared" si="4"/>
        <v>29.675000000000001</v>
      </c>
      <c r="O12" s="5">
        <f t="shared" si="4"/>
        <v>179.17500000000001</v>
      </c>
      <c r="P12" s="5">
        <f t="shared" si="4"/>
        <v>164.95</v>
      </c>
      <c r="Q12" s="5">
        <f t="shared" si="4"/>
        <v>100.375</v>
      </c>
      <c r="R12" s="5">
        <f t="shared" si="4"/>
        <v>271.35000000000002</v>
      </c>
      <c r="S12" s="5">
        <f t="shared" si="4"/>
        <v>89.45</v>
      </c>
      <c r="T12" s="28">
        <f t="shared" si="4"/>
        <v>0</v>
      </c>
      <c r="U12" s="5">
        <f t="shared" si="4"/>
        <v>152.05000000000001</v>
      </c>
      <c r="V12" s="5">
        <f t="shared" si="4"/>
        <v>42.174999999999997</v>
      </c>
      <c r="W12" s="5">
        <f t="shared" si="4"/>
        <v>25.45</v>
      </c>
      <c r="X12" s="28">
        <f t="shared" si="4"/>
        <v>0</v>
      </c>
      <c r="Y12" s="5">
        <f t="shared" si="4"/>
        <v>417.67500000000001</v>
      </c>
      <c r="Z12" s="5">
        <f t="shared" si="4"/>
        <v>216.65</v>
      </c>
      <c r="AA12" s="28">
        <f t="shared" si="4"/>
        <v>0</v>
      </c>
      <c r="AB12" s="5">
        <f t="shared" si="4"/>
        <v>199.17500000000001</v>
      </c>
      <c r="AC12" s="5">
        <f t="shared" si="4"/>
        <v>78.025000000000006</v>
      </c>
      <c r="AD12" s="5">
        <f t="shared" si="4"/>
        <v>225.82499999999999</v>
      </c>
      <c r="AE12" s="5">
        <f t="shared" si="4"/>
        <v>243.95</v>
      </c>
      <c r="AF12" s="5">
        <f t="shared" si="4"/>
        <v>99.724999999999994</v>
      </c>
      <c r="AG12" s="5">
        <f t="shared" si="4"/>
        <v>126.77500000000001</v>
      </c>
      <c r="AH12" s="28">
        <f t="shared" si="4"/>
        <v>0</v>
      </c>
      <c r="AI12" s="5">
        <f t="shared" si="4"/>
        <v>46.55</v>
      </c>
      <c r="AJ12" s="5">
        <f t="shared" si="4"/>
        <v>109.95</v>
      </c>
      <c r="AK12" s="5">
        <f t="shared" si="4"/>
        <v>69.224999999999994</v>
      </c>
      <c r="AL12" s="5">
        <f t="shared" si="4"/>
        <v>0</v>
      </c>
      <c r="AM12" s="5">
        <f t="shared" si="4"/>
        <v>0</v>
      </c>
      <c r="AN12" s="15">
        <f t="shared" si="4"/>
        <v>3160.3</v>
      </c>
      <c r="AO12" s="16">
        <f t="shared" si="4"/>
        <v>1953.8</v>
      </c>
    </row>
    <row r="13" spans="1:41" x14ac:dyDescent="0.35">
      <c r="A13" s="19" t="s">
        <v>16</v>
      </c>
      <c r="B13" s="19"/>
      <c r="C13" s="19"/>
      <c r="D13" s="19"/>
      <c r="E13" s="12"/>
      <c r="F13" s="12"/>
      <c r="G13" s="12"/>
      <c r="H13" s="12"/>
      <c r="I13" s="12"/>
      <c r="N13" s="17"/>
    </row>
    <row r="14" spans="1:41" x14ac:dyDescent="0.35">
      <c r="A14" s="2" t="s">
        <v>15</v>
      </c>
      <c r="B14" s="2" t="s">
        <v>17</v>
      </c>
      <c r="C14" s="2" t="s">
        <v>18</v>
      </c>
      <c r="D14" s="2" t="s">
        <v>19</v>
      </c>
      <c r="E14" s="13"/>
      <c r="F14" s="13"/>
      <c r="G14" s="13"/>
      <c r="H14" s="13"/>
      <c r="I14" s="13"/>
    </row>
    <row r="15" spans="1:41" x14ac:dyDescent="0.35">
      <c r="A15" s="7"/>
      <c r="B15" s="1"/>
      <c r="C15" s="1"/>
      <c r="D15" s="1"/>
    </row>
    <row r="16" spans="1:41" x14ac:dyDescent="0.35">
      <c r="A16" s="7"/>
      <c r="B16" s="1"/>
      <c r="C16" s="1"/>
      <c r="D16" s="1"/>
      <c r="H16" t="s">
        <v>24</v>
      </c>
      <c r="I16">
        <v>250</v>
      </c>
      <c r="J16">
        <f>I16*40</f>
        <v>10000</v>
      </c>
    </row>
    <row r="17" spans="1:10" x14ac:dyDescent="0.35">
      <c r="A17" s="7"/>
      <c r="B17" s="1"/>
      <c r="C17" s="1"/>
      <c r="D17" s="1"/>
      <c r="H17" t="s">
        <v>25</v>
      </c>
      <c r="I17">
        <v>254</v>
      </c>
      <c r="J17">
        <f t="shared" ref="J17:J18" si="5">I17*40</f>
        <v>10160</v>
      </c>
    </row>
    <row r="18" spans="1:10" x14ac:dyDescent="0.35">
      <c r="A18" s="7"/>
      <c r="B18" s="1"/>
      <c r="C18" s="1"/>
      <c r="D18" s="1"/>
      <c r="H18" t="s">
        <v>26</v>
      </c>
      <c r="I18">
        <v>654</v>
      </c>
      <c r="J18">
        <f>I18*40</f>
        <v>26160</v>
      </c>
    </row>
    <row r="19" spans="1:10" x14ac:dyDescent="0.35">
      <c r="A19" s="7"/>
      <c r="B19" s="1"/>
      <c r="C19" s="1"/>
      <c r="D19" s="1"/>
      <c r="I19">
        <f>SUM(I16:I18)</f>
        <v>1158</v>
      </c>
    </row>
    <row r="20" spans="1:10" x14ac:dyDescent="0.35">
      <c r="A20" s="7"/>
      <c r="B20" s="1"/>
      <c r="C20" s="1"/>
      <c r="D20" s="1"/>
    </row>
    <row r="21" spans="1:10" x14ac:dyDescent="0.35">
      <c r="A21" s="7"/>
      <c r="B21" s="1"/>
      <c r="C21" s="1"/>
      <c r="D21" s="1"/>
    </row>
    <row r="22" spans="1:10" x14ac:dyDescent="0.35">
      <c r="A22" s="7"/>
      <c r="B22" s="1"/>
      <c r="C22" s="1"/>
      <c r="D22" s="1"/>
    </row>
    <row r="23" spans="1:10" x14ac:dyDescent="0.35">
      <c r="A23" s="7"/>
      <c r="B23" s="1"/>
      <c r="C23" s="1"/>
      <c r="D23" s="1"/>
    </row>
    <row r="24" spans="1:10" x14ac:dyDescent="0.35">
      <c r="A24" s="7"/>
      <c r="B24" s="1"/>
      <c r="C24" s="1"/>
      <c r="D24" s="1"/>
    </row>
    <row r="25" spans="1:10" x14ac:dyDescent="0.35">
      <c r="A25" s="7"/>
      <c r="B25" s="1"/>
      <c r="C25" s="1"/>
      <c r="D25" s="1"/>
    </row>
    <row r="26" spans="1:10" x14ac:dyDescent="0.35">
      <c r="A26" s="7"/>
      <c r="B26" s="1"/>
      <c r="C26" s="1"/>
      <c r="D26" s="1"/>
    </row>
    <row r="27" spans="1:10" x14ac:dyDescent="0.35">
      <c r="A27" s="7"/>
      <c r="B27" s="1"/>
      <c r="C27" s="1"/>
      <c r="D27" s="1"/>
    </row>
    <row r="28" spans="1:10" x14ac:dyDescent="0.35">
      <c r="A28" s="7"/>
      <c r="B28" s="1"/>
      <c r="C28" s="1"/>
      <c r="D28" s="1"/>
    </row>
    <row r="29" spans="1:10" x14ac:dyDescent="0.35">
      <c r="A29" s="7"/>
      <c r="B29" s="1"/>
      <c r="C29" s="1"/>
      <c r="D29" s="1"/>
    </row>
    <row r="30" spans="1:10" x14ac:dyDescent="0.35">
      <c r="A30" s="7"/>
      <c r="B30" s="1"/>
      <c r="C30" s="1"/>
      <c r="D30" s="1"/>
    </row>
    <row r="31" spans="1:10" x14ac:dyDescent="0.35">
      <c r="A31" s="7"/>
      <c r="B31" s="1"/>
      <c r="C31" s="1"/>
      <c r="D31" s="1"/>
    </row>
    <row r="32" spans="1:10" x14ac:dyDescent="0.35">
      <c r="A32" s="7"/>
      <c r="B32" s="1"/>
      <c r="C32" s="1"/>
      <c r="D32" s="1"/>
    </row>
    <row r="33" spans="1:4" x14ac:dyDescent="0.35">
      <c r="A33" s="7"/>
      <c r="B33" s="1"/>
      <c r="C33" s="1"/>
      <c r="D33" s="1"/>
    </row>
    <row r="34" spans="1:4" x14ac:dyDescent="0.35">
      <c r="A34" s="7"/>
      <c r="B34" s="1"/>
      <c r="C34" s="1"/>
      <c r="D34" s="1"/>
    </row>
    <row r="35" spans="1:4" x14ac:dyDescent="0.35">
      <c r="A35" s="7"/>
      <c r="B35" s="1"/>
      <c r="C35" s="1"/>
      <c r="D35" s="1"/>
    </row>
    <row r="36" spans="1:4" x14ac:dyDescent="0.35">
      <c r="A36" s="7"/>
      <c r="B36" s="1"/>
      <c r="C36" s="1"/>
      <c r="D36" s="1"/>
    </row>
    <row r="37" spans="1:4" x14ac:dyDescent="0.35">
      <c r="A37" s="7"/>
      <c r="B37" s="1"/>
      <c r="C37" s="1"/>
      <c r="D37" s="1"/>
    </row>
    <row r="38" spans="1:4" x14ac:dyDescent="0.35">
      <c r="A38" s="7"/>
      <c r="B38" s="1"/>
      <c r="C38" s="1"/>
      <c r="D38" s="1"/>
    </row>
    <row r="39" spans="1:4" x14ac:dyDescent="0.35">
      <c r="A39" s="7"/>
      <c r="B39" s="1"/>
      <c r="C39" s="1"/>
      <c r="D39" s="1"/>
    </row>
    <row r="40" spans="1:4" x14ac:dyDescent="0.35">
      <c r="A40" s="7"/>
      <c r="B40" s="1"/>
      <c r="C40" s="1"/>
      <c r="D40" s="1"/>
    </row>
    <row r="41" spans="1:4" x14ac:dyDescent="0.35">
      <c r="A41" s="7"/>
      <c r="B41" s="1"/>
      <c r="C41" s="1"/>
      <c r="D41" s="1"/>
    </row>
    <row r="42" spans="1:4" x14ac:dyDescent="0.35">
      <c r="A42" s="7"/>
      <c r="B42" s="1"/>
      <c r="C42" s="1"/>
      <c r="D42" s="1"/>
    </row>
    <row r="43" spans="1:4" x14ac:dyDescent="0.35">
      <c r="A43" s="7"/>
      <c r="B43" s="1"/>
      <c r="C43" s="1"/>
      <c r="D43" s="1"/>
    </row>
    <row r="44" spans="1:4" x14ac:dyDescent="0.35">
      <c r="A44" s="7"/>
      <c r="B44" s="1"/>
      <c r="C44" s="1"/>
      <c r="D44" s="1"/>
    </row>
    <row r="45" spans="1:4" x14ac:dyDescent="0.35">
      <c r="A45" s="7"/>
      <c r="B45" s="1"/>
      <c r="C45" s="1"/>
      <c r="D45" s="1"/>
    </row>
    <row r="46" spans="1:4" x14ac:dyDescent="0.35">
      <c r="A46" s="7"/>
      <c r="B46" s="1"/>
      <c r="C46" s="1"/>
      <c r="D46" s="1"/>
    </row>
    <row r="47" spans="1:4" x14ac:dyDescent="0.35">
      <c r="A47" s="7"/>
      <c r="B47" s="1"/>
      <c r="C47" s="1"/>
      <c r="D47" s="1"/>
    </row>
    <row r="48" spans="1:4" x14ac:dyDescent="0.35">
      <c r="A48" s="7"/>
      <c r="B48" s="1"/>
      <c r="C48" s="1"/>
      <c r="D48" s="1"/>
    </row>
    <row r="49" spans="1:4" x14ac:dyDescent="0.35">
      <c r="A49" s="7"/>
      <c r="B49" s="1"/>
      <c r="C49" s="1"/>
      <c r="D49" s="1"/>
    </row>
    <row r="50" spans="1:4" x14ac:dyDescent="0.35">
      <c r="A50" s="7"/>
      <c r="B50" s="1"/>
      <c r="C50" s="1"/>
      <c r="D50" s="1"/>
    </row>
    <row r="51" spans="1:4" x14ac:dyDescent="0.35">
      <c r="A51" s="7"/>
      <c r="B51" s="1"/>
      <c r="C51" s="1"/>
      <c r="D51" s="1"/>
    </row>
    <row r="52" spans="1:4" x14ac:dyDescent="0.35">
      <c r="A52" s="7"/>
      <c r="B52" s="1"/>
      <c r="C52" s="1"/>
      <c r="D52" s="1"/>
    </row>
    <row r="53" spans="1:4" x14ac:dyDescent="0.35">
      <c r="A53" s="7"/>
      <c r="B53" s="1"/>
      <c r="C53" s="1"/>
      <c r="D53" s="1"/>
    </row>
    <row r="54" spans="1:4" x14ac:dyDescent="0.35">
      <c r="A54" s="7"/>
      <c r="B54" s="1"/>
      <c r="C54" s="1"/>
      <c r="D54" s="1"/>
    </row>
    <row r="55" spans="1:4" x14ac:dyDescent="0.35">
      <c r="A55" s="7"/>
      <c r="B55" s="1"/>
      <c r="C55" s="1"/>
      <c r="D55" s="1"/>
    </row>
    <row r="56" spans="1:4" x14ac:dyDescent="0.35">
      <c r="A56" s="7"/>
      <c r="B56" s="1"/>
      <c r="C56" s="1"/>
      <c r="D56" s="1"/>
    </row>
    <row r="57" spans="1:4" x14ac:dyDescent="0.35">
      <c r="A57" s="1"/>
      <c r="B57" s="1"/>
      <c r="C57" s="1"/>
      <c r="D57" s="1"/>
    </row>
    <row r="58" spans="1:4" x14ac:dyDescent="0.35">
      <c r="A58" s="1"/>
      <c r="B58" s="1"/>
      <c r="C58" s="1"/>
      <c r="D58" s="1"/>
    </row>
    <row r="59" spans="1:4" x14ac:dyDescent="0.35">
      <c r="A59" s="1"/>
      <c r="B59" s="1"/>
      <c r="C59" s="1"/>
      <c r="D59" s="1"/>
    </row>
    <row r="60" spans="1:4" x14ac:dyDescent="0.35">
      <c r="A60" s="1"/>
      <c r="B60" s="1"/>
      <c r="C60" s="1"/>
      <c r="D60" s="1"/>
    </row>
    <row r="61" spans="1:4" x14ac:dyDescent="0.35">
      <c r="A61" s="1"/>
      <c r="B61" s="1"/>
      <c r="C61" s="1"/>
      <c r="D61" s="1"/>
    </row>
    <row r="62" spans="1:4" x14ac:dyDescent="0.35">
      <c r="A62" s="1"/>
      <c r="B62" s="1"/>
      <c r="C62" s="1"/>
      <c r="D62" s="1"/>
    </row>
    <row r="63" spans="1:4" x14ac:dyDescent="0.35">
      <c r="A63" s="1"/>
      <c r="B63" s="1"/>
      <c r="C63" s="1"/>
      <c r="D63" s="1"/>
    </row>
    <row r="64" spans="1:4" x14ac:dyDescent="0.35">
      <c r="A64" s="1"/>
      <c r="B64" s="1"/>
      <c r="C64" s="1"/>
      <c r="D64" s="1"/>
    </row>
    <row r="65" spans="1:4" x14ac:dyDescent="0.35">
      <c r="A65" s="1"/>
      <c r="B65" s="1"/>
      <c r="C65" s="1"/>
      <c r="D65" s="1"/>
    </row>
    <row r="66" spans="1:4" x14ac:dyDescent="0.35">
      <c r="A66" s="1"/>
      <c r="B66" s="1"/>
      <c r="C66" s="1"/>
      <c r="D66" s="1"/>
    </row>
    <row r="67" spans="1:4" x14ac:dyDescent="0.35">
      <c r="A67" s="1"/>
      <c r="B67" s="1"/>
      <c r="C67" s="1"/>
      <c r="D67" s="1"/>
    </row>
    <row r="68" spans="1:4" x14ac:dyDescent="0.35">
      <c r="A68" s="1"/>
      <c r="B68" s="1"/>
      <c r="C68" s="1"/>
      <c r="D68" s="1"/>
    </row>
    <row r="69" spans="1:4" x14ac:dyDescent="0.35">
      <c r="A69" s="1"/>
      <c r="B69" s="1"/>
      <c r="C69" s="1"/>
      <c r="D69" s="1"/>
    </row>
    <row r="70" spans="1:4" x14ac:dyDescent="0.35">
      <c r="A70" s="1"/>
      <c r="B70" s="1"/>
      <c r="C70" s="1"/>
      <c r="D70" s="1"/>
    </row>
    <row r="71" spans="1:4" x14ac:dyDescent="0.35">
      <c r="A71" s="1"/>
      <c r="B71" s="1"/>
      <c r="C71" s="1"/>
      <c r="D71" s="1"/>
    </row>
    <row r="72" spans="1:4" x14ac:dyDescent="0.35">
      <c r="A72" s="1"/>
      <c r="B72" s="1"/>
      <c r="C72" s="1"/>
      <c r="D72" s="1"/>
    </row>
    <row r="73" spans="1:4" x14ac:dyDescent="0.35">
      <c r="A73" s="1"/>
      <c r="B73" s="1"/>
      <c r="C73" s="1"/>
      <c r="D73" s="1"/>
    </row>
    <row r="74" spans="1:4" x14ac:dyDescent="0.35">
      <c r="A74" s="1"/>
      <c r="B74" s="1"/>
      <c r="C74" s="1"/>
      <c r="D74" s="1"/>
    </row>
    <row r="75" spans="1:4" x14ac:dyDescent="0.35">
      <c r="A75" s="1"/>
      <c r="B75" s="1"/>
      <c r="C75" s="1"/>
      <c r="D75" s="1"/>
    </row>
    <row r="76" spans="1:4" x14ac:dyDescent="0.35">
      <c r="A76" s="1"/>
      <c r="B76" s="1"/>
      <c r="C76" s="1"/>
      <c r="D76" s="1"/>
    </row>
    <row r="77" spans="1:4" x14ac:dyDescent="0.35">
      <c r="A77" s="1" t="s">
        <v>20</v>
      </c>
      <c r="B77" s="1"/>
      <c r="C77" s="4">
        <f>SUM(C15:C76)</f>
        <v>0</v>
      </c>
      <c r="D77" s="1"/>
    </row>
  </sheetData>
  <mergeCells count="2">
    <mergeCell ref="B1:AO1"/>
    <mergeCell ref="A13:D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786</dc:creator>
  <cp:lastModifiedBy>786</cp:lastModifiedBy>
  <dcterms:created xsi:type="dcterms:W3CDTF">2026-08-01T05:49:07Z</dcterms:created>
  <dcterms:modified xsi:type="dcterms:W3CDTF">2026-10-29T07:30:12Z</dcterms:modified>
</cp:coreProperties>
</file>