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6B1C8904-8323-4F94-87DD-1186F51469C8}" xr6:coauthVersionLast="47" xr6:coauthVersionMax="47" xr10:uidLastSave="{00000000-0000-0000-0000-000000000000}"/>
  <bookViews>
    <workbookView xWindow="-110" yWindow="-110" windowWidth="19420" windowHeight="10420" tabRatio="948" firstSheet="3" activeTab="3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4" i="58" l="1"/>
  <c r="N5" i="11"/>
  <c r="N4" i="51"/>
  <c r="N4" i="50"/>
  <c r="N5" i="50" s="1"/>
  <c r="N4" i="57"/>
  <c r="N4" i="55"/>
  <c r="N4" i="68"/>
  <c r="N5" i="68" s="1"/>
  <c r="N4" i="67"/>
  <c r="N5" i="67" s="1"/>
  <c r="N4" i="46"/>
  <c r="N4" i="53"/>
  <c r="N4" i="69"/>
  <c r="N5" i="69" s="1"/>
  <c r="N4" i="59"/>
  <c r="N5" i="59" s="1"/>
  <c r="N4" i="61"/>
  <c r="N4" i="64"/>
  <c r="N5" i="64" s="1"/>
  <c r="N4" i="63"/>
  <c r="N4" i="70"/>
  <c r="N5" i="70" s="1"/>
  <c r="N4" i="45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N5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N5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N5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18" i="48" l="1"/>
  <c r="M16" i="48"/>
  <c r="J7" i="62"/>
  <c r="M20" i="46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O25" i="48" l="1"/>
  <c r="R20" i="52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<sst xmlns="http://schemas.openxmlformats.org/spreadsheetml/2006/main" count="3948" uniqueCount="527">
  <si>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</si>
  <si>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</si>
  <si>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</si>
  <si>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</si>
  <si>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</si>
  <si>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</si>
  <si>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</si>
  <si>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</si>
  <si>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</si>
  <si>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</si>
  <si>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</si>
  <si>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</si>
  <si>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</si>
  <si>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</si>
  <si>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</si>
  <si>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</si>
  <si>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</si>
  <si>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</si>
  <si>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</si>
  <si>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</si>
  <si>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</si>
  <si>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</si>
  <si>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</si>
  <si>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</si>
  <si>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</si>
  <si>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</si>
  <si>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</si>
  <si>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</si>
  <si>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</si>
  <si>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</si>
  <si>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</si>
  <si>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</si>
  <si>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</si>
  <si>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</si>
  <si>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</si>
  <si>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</si>
  <si>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</si>
  <si>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</si>
  <si>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</si>
  <si>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</si>
  <si>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</si>
  <si>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</si>
  <si>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</si>
  <si>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</si>
  <si>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</si>
  <si>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</si>
  <si>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</si>
  <si>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</si>
  <si>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</si>
  <si>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</si>
  <si>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</si>
  <si>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</si>
  <si>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</si>
  <si>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</si>
  <si>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</si>
  <si>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</si>
  <si>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</si>
  <si>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</si>
  <si>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</si>
  <si>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</si>
  <si>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</si>
  <si>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</si>
  <si>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</si>
  <si>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</si>
  <si>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</si>
  <si>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</si>
  <si>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</si>
  <si>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</si>
  <si>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</si>
  <si>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</si>
  <si>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</si>
  <si>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</si>
  <si>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</si>
  <si>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</si>
  <si>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</si>
  <si>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</si>
  <si>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</si>
  <si>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</si>
  <si>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</si>
  <si>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</si>
  <si>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</si>
  <si>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</si>
  <si>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</si>
  <si>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</si>
  <si>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</si>
  <si>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</si>
  <si>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</si>
  <si>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</si>
  <si>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</si>
  <si>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</si>
  <si>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</si>
  <si>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</si>
  <si>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</si>
  <si>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</si>
  <si>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</si>
  <si>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</si>
  <si>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</si>
  <si>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</si>
  <si>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</si>
  <si>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</si>
  <si>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</si>
  <si>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</si>
  <si>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</si>
  <si>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</si>
  <si>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</si>
  <si>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</si>
  <si>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</si>
  <si>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</si>
  <si>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</si>
  <si>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</si>
  <si>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</si>
  <si>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</si>
  <si>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</si>
  <si>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</si>
  <si>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</si>
  <si>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</si>
  <si>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</si>
  <si>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</si>
  <si>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</si>
  <si>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</si>
  <si>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</si>
  <si>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</si>
  <si>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</si>
  <si>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</si>
  <si>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</si>
  <si>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</si>
  <si>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</si>
  <si>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</si>
  <si>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</si>
  <si>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</si>
  <si>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</si>
  <si>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</si>
  <si>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</si>
  <si>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</si>
  <si>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</si>
  <si>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</si>
  <si>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</si>
  <si>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</si>
  <si>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</si>
  <si>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</si>
  <si>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</si>
  <si>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</si>
  <si>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</si>
  <si>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</si>
  <si>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</si>
  <si>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</si>
  <si>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</si>
  <si>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</si>
  <si>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</si>
  <si>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</si>
  <si>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</si>
  <si>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</si>
  <si>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</si>
  <si>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</si>
  <si>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</si>
  <si>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</si>
  <si>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</si>
  <si>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</si>
  <si>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</si>
  <si>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</si>
  <si>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</si>
  <si>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</si>
  <si>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</si>
  <si>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</si>
  <si>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</si>
  <si>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</si>
  <si>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</si>
  <si>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</si>
  <si>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</si>
  <si>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</si>
  <si>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</si>
  <si>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</si>
  <si>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</si>
  <si>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</si>
  <si>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</si>
  <si>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</si>
  <si>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</si>
  <si>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</si>
  <si>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</si>
  <si>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</si>
  <si>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</si>
  <si>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</si>
  <si>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</si>
  <si>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</si>
  <si>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</si>
  <si>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</si>
  <si>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</si>
  <si>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</si>
  <si>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</si>
  <si>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</si>
  <si>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</si>
  <si>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</si>
  <si>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</si>
  <si>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</si>
  <si>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</si>
  <si>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</si>
  <si>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</si>
  <si>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</si>
  <si>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</si>
  <si>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</si>
  <si>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</si>
  <si>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</si>
  <si>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</si>
  <si>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</si>
  <si>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</si>
  <si>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</si>
  <si>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</si>
  <si>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</si>
  <si>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</si>
  <si>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</si>
  <si>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</si>
  <si>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</si>
  <si>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</si>
  <si>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</si>
  <si>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</si>
  <si>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</si>
  <si>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</si>
  <si>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</si>
  <si>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</si>
  <si>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</si>
  <si>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</si>
  <si>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</si>
  <si>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</si>
  <si>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</si>
  <si>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</si>
  <si>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</si>
  <si>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</si>
  <si>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</si>
  <si>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</si>
  <si>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</si>
  <si>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</si>
  <si>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</si>
  <si>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</si>
  <si>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</si>
  <si>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</si>
  <si>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</si>
  <si>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</si>
  <si>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</si>
  <si>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</si>
  <si>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</si>
  <si>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</si>
  <si>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</si>
  <si>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</si>
  <si>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</si>
  <si>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</si>
  <si>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</si>
  <si>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</si>
  <si>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</si>
  <si>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</si>
  <si>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</si>
  <si>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</si>
  <si>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</si>
  <si>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</si>
  <si>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</si>
  <si>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</si>
  <si>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</si>
  <si>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</si>
  <si>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</si>
  <si>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</si>
  <si>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</si>
  <si>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</si>
  <si>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</si>
  <si>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</si>
  <si>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</si>
  <si>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</si>
  <si>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</si>
  <si>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</si>
  <si>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</si>
  <si>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</si>
  <si>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</si>
  <si>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</si>
  <si>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</si>
  <si>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</si>
  <si>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</si>
  <si>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</si>
  <si>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</si>
  <si>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</si>
  <si>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</si>
  <si>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</si>
  <si>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</si>
  <si>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</si>
  <si>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</si>
  <si>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</si>
  <si>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</si>
  <si>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</si>
  <si>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</si>
  <si>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</si>
  <si>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</si>
  <si>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</si>
  <si>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</si>
  <si>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</si>
  <si>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</si>
  <si>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</si>
  <si>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</si>
  <si>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</si>
  <si>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</si>
  <si>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</si>
  <si>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</si>
  <si>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</si>
  <si>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</si>
  <si>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</si>
  <si>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</si>
  <si>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</si>
  <si>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</si>
  <si>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</si>
  <si>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</si>
  <si>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</si>
  <si>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</si>
  <si>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</si>
  <si>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</si>
  <si>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</si>
  <si>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</si>
  <si>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</si>
  <si>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</si>
  <si>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</si>
  <si>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</si>
  <si>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</si>
  <si>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</si>
  <si>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</si>
  <si>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</si>
  <si>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</si>
  <si>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</si>
  <si>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</si>
  <si>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</si>
  <si>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</si>
  <si>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</si>
  <si>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</si>
  <si>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</si>
  <si>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</si>
  <si>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</si>
  <si>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</si>
  <si>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</si>
  <si>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</si>
  <si>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</si>
  <si>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</si>
  <si>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</si>
  <si>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</si>
  <si>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</si>
  <si>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</si>
  <si>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</si>
  <si>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</si>
  <si>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</si>
  <si>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</si>
  <si>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</si>
  <si>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</si>
  <si>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</si>
  <si>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</si>
  <si>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</si>
  <si>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</si>
  <si>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</si>
  <si>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</si>
  <si>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</si>
  <si>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</si>
  <si>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</si>
  <si>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</si>
  <si>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</si>
  <si>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</si>
  <si>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</si>
  <si>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</si>
  <si>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</si>
  <si>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</si>
  <si>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</si>
  <si>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</si>
  <si>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</si>
  <si>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</si>
  <si>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</si>
  <si>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</si>
  <si>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</si>
  <si>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</si>
  <si>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</si>
  <si>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</si>
  <si>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</si>
  <si>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</si>
  <si>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</si>
  <si>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</si>
  <si>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</si>
  <si>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</si>
  <si>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</si>
  <si>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</si>
  <si>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</si>
  <si>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</si>
  <si>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</si>
  <si>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</si>
  <si>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</si>
  <si>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</si>
  <si>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</si>
  <si>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</si>
  <si>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</si>
  <si>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</si>
  <si>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</si>
  <si>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</si>
  <si>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</si>
  <si>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</si>
  <si>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</si>
  <si>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</si>
  <si>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</si>
  <si>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</si>
  <si>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</si>
  <si>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</si>
  <si>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</si>
  <si>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</si>
  <si>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</si>
  <si>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</si>
  <si>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</si>
  <si>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</si>
  <si>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</si>
  <si>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</si>
  <si>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</si>
  <si>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</si>
  <si>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</si>
  <si>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</si>
  <si>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</si>
  <si>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</si>
  <si>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</si>
  <si>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</si>
  <si>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</si>
  <si>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</si>
  <si>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</si>
  <si>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</si>
  <si>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</si>
  <si>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</si>
  <si>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</si>
  <si>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</si>
  <si>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</si>
  <si>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</si>
  <si>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</si>
  <si>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</si>
  <si>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</si>
  <si>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</si>
  <si>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</si>
  <si>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</si>
  <si>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</si>
  <si>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</si>
  <si>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</si>
  <si>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</si>
  <si>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</si>
  <si>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</si>
  <si>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</si>
  <si>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</si>
  <si>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</si>
  <si>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</si>
  <si>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</si>
  <si>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</si>
  <si>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</si>
  <si>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</si>
  <si>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</si>
  <si>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</si>
  <si>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</si>
  <si>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</si>
  <si>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</si>
  <si>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</si>
  <si>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</si>
  <si>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</si>
  <si>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</si>
  <si>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</si>
  <si>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</si>
  <si>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</si>
  <si>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</si>
  <si>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</si>
  <si>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</si>
  <si>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</si>
  <si>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</si>
  <si>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</si>
  <si>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</si>
  <si>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</si>
  <si>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</si>
  <si>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</si>
  <si>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</si>
  <si>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</si>
  <si>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</si>
  <si>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</si>
  <si>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</si>
  <si>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</si>
  <si>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</si>
  <si>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</si>
  <si>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</si>
  <si>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</si>
  <si>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</si>
  <si>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</si>
  <si>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</si>
  <si>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</si>
  <si>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</si>
  <si>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</si>
  <si>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</si>
  <si>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</si>
  <si>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</si>
  <si>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</si>
  <si>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</si>
  <si>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</si>
  <si>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</si>
  <si>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</si>
  <si>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</si>
  <si>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</si>
  <si>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</si>
  <si>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</si>
  <si>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</si>
  <si>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</si>
  <si>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</si>
  <si>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</si>
  <si>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</si>
  <si>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</si>
  <si>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</si>
  <si>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</si>
  <si>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</si>
  <si>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</si>
  <si>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</si>
  <si>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</si>
  <si>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</si>
  <si>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</si>
  <si>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</si>
  <si>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</si>
  <si>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</si>
  <si>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</si>
  <si>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</si>
  <si>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Jabbar</t>
  </si>
  <si>
    <t>Classic Store</t>
  </si>
  <si>
    <t xml:space="preserve">Address: Sajid Garden </t>
  </si>
  <si>
    <t xml:space="preserve">Smokie Mart </t>
  </si>
  <si>
    <t>Address: Canal Fort</t>
  </si>
  <si>
    <t xml:space="preserve">Discount Mart </t>
  </si>
  <si>
    <t xml:space="preserve">Ali Mart </t>
  </si>
  <si>
    <t>786 Store</t>
  </si>
  <si>
    <t xml:space="preserve">Address: Al Rehman Garden </t>
  </si>
  <si>
    <t>Al Makkah Store</t>
  </si>
  <si>
    <t xml:space="preserve">Address: Hajweri Garden </t>
  </si>
  <si>
    <t>Al Hamd Store</t>
  </si>
  <si>
    <t>Address: Harbanspura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</si>
</sst>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tabSelected="1" workbookViewId="0">
      <selection activeCell="H6" sqref="H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46301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Classic Store</v>
      </c>
      <c r="T3" s="301">
        <f>+'1'!P35</f>
        <v>3136.2115850847463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Smokie Mart </v>
      </c>
      <c r="T4" s="301">
        <f>+'2'!P35</f>
        <v>2352.1586888135594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 xml:space="preserve">Discount Mart </v>
      </c>
      <c r="T5" s="301">
        <f>+'3'!P35</f>
        <v>3136.2115850847463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 xml:space="preserve">Ali Mart </v>
      </c>
      <c r="T6" s="301">
        <f>+'4'!P35</f>
        <v>940.86347552542372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5</v>
      </c>
      <c r="I7" s="235">
        <f>(G7*D7)*F7+H7*F7</f>
        <v>262.3125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26.231250000000003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9.1809375000000006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226.90031249999998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49.576271186440657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1.3823829184322032</v>
      </c>
      <c r="P7" s="310">
        <f>M7+N7+O7</f>
        <v>277.85896660487282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40</v>
      </c>
      <c r="R7" s="313">
        <v>5</v>
      </c>
      <c r="S7" s="300" t="str">
        <f>+'5'!A6:A6</f>
        <v>786 Store</v>
      </c>
      <c r="T7" s="301">
        <f>+'5'!P35</f>
        <v>2650.3403789618646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15</v>
      </c>
      <c r="I8" s="236">
        <f t="shared" ref="I8:I14" si="0">(G8*D8)*F8+H8*F8</f>
        <v>786.9375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78.693750000000009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27.542812500000004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680.70093750000001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148.72881355932196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4.1471487552966098</v>
      </c>
      <c r="P8" s="311">
        <f t="shared" ref="P8:P15" si="2">M8+N8+O8</f>
        <v>833.57689981461851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40</v>
      </c>
      <c r="R8" s="313">
        <v>6</v>
      </c>
      <c r="S8" s="300" t="str">
        <f>+'6'!A6:A6</f>
        <v>Al Makkah Store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40</v>
      </c>
      <c r="R9" s="313">
        <v>7</v>
      </c>
      <c r="S9" s="300" t="str">
        <f>+'7'!A6:A6</f>
        <v>Al Hamd Store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65</v>
      </c>
      <c r="I10" s="236">
        <f t="shared" si="0"/>
        <v>4721.6000000000004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384.99200000000002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165.256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4171.3520000000008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892.37288135593235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25.318624406779662</v>
      </c>
      <c r="P10" s="311">
        <f t="shared" si="2"/>
        <v>5089.0435057627119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40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65</v>
      </c>
      <c r="I11" s="236">
        <f t="shared" si="0"/>
        <v>4721.6000000000004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399.52000000000004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165.256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4156.8240000000005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892.37288135593224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25.245984406779662</v>
      </c>
      <c r="P11" s="311">
        <f t="shared" si="2"/>
        <v>5074.4428657627122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40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52</v>
      </c>
      <c r="I12" s="236">
        <f t="shared" si="0"/>
        <v>3777.28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302.18240000000003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132.20480000000001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3342.8928000000001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713.89830508474586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20.283955525423732</v>
      </c>
      <c r="P12" s="311">
        <f t="shared" si="2"/>
        <v>4077.0750606101697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40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5.05</v>
      </c>
      <c r="H16" s="113">
        <f t="shared" ref="H16:M16" si="3">SUM(H7:H15)</f>
        <v>202</v>
      </c>
      <c r="I16" s="114">
        <f t="shared" si="3"/>
        <v>14269.730000000001</v>
      </c>
      <c r="J16" s="274">
        <f>SUM(J7:J15)</f>
        <v>1191.6194</v>
      </c>
      <c r="K16" s="275">
        <f t="shared" si="3"/>
        <v>499.44055000000003</v>
      </c>
      <c r="L16" s="276">
        <f t="shared" si="3"/>
        <v>0</v>
      </c>
      <c r="M16" s="232">
        <f t="shared" si="3"/>
        <v>12578.670050000001</v>
      </c>
      <c r="N16" s="233">
        <f>SUM(N7:N15)</f>
        <v>2696.9491525423732</v>
      </c>
      <c r="O16" s="101">
        <f>SUM(O7:O15)</f>
        <v>76.378096012711865</v>
      </c>
      <c r="P16" s="113">
        <f>SUM(P7:P15)</f>
        <v>15351.997298555087</v>
      </c>
      <c r="Q16" s="128">
        <f>SUM(Q7:Q15)</f>
        <v>240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14269.730000000001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1191.6194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499.44055000000003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12578.670050000002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2696.9491525423732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15275.619202542375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76.378096012711865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15351.997298555087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15351.997298555087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workbookViewId="0">
      <selection activeCell="I4" sqref="I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7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7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7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2905.6000000000004</v>
      </c>
      <c r="J25" s="274">
        <f>SUM(J16:J24)</f>
        <v>232.44800000000004</v>
      </c>
      <c r="K25" s="275">
        <f t="shared" si="10"/>
        <v>101.696</v>
      </c>
      <c r="L25" s="276">
        <f t="shared" si="10"/>
        <v>0</v>
      </c>
      <c r="M25" s="232">
        <f t="shared" si="10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10</v>
      </c>
      <c r="I19" s="236">
        <f t="shared" si="0"/>
        <v>726.4</v>
      </c>
      <c r="J19" s="272">
        <f t="shared" si="1"/>
        <v>58.112000000000002</v>
      </c>
      <c r="K19" s="128">
        <f t="shared" si="1"/>
        <v>25.424000000000003</v>
      </c>
      <c r="L19" s="119">
        <f t="shared" si="1"/>
        <v>0</v>
      </c>
      <c r="M19" s="230">
        <f t="shared" si="2"/>
        <v>642.86400000000003</v>
      </c>
      <c r="N19" s="277">
        <f t="shared" si="3"/>
        <v>137.28813559322035</v>
      </c>
      <c r="O19" s="239">
        <f t="shared" si="4"/>
        <v>3.9007606779661019</v>
      </c>
      <c r="P19" s="119">
        <f t="shared" si="5"/>
        <v>784.05289627118646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30</v>
      </c>
      <c r="I25" s="114">
        <f t="shared" si="7"/>
        <v>2179.1999999999998</v>
      </c>
      <c r="J25" s="274">
        <f>SUM(J16:J24)</f>
        <v>174.33600000000001</v>
      </c>
      <c r="K25" s="275">
        <f t="shared" si="7"/>
        <v>76.272000000000006</v>
      </c>
      <c r="L25" s="276">
        <f t="shared" si="7"/>
        <v>0</v>
      </c>
      <c r="M25" s="232">
        <f t="shared" si="7"/>
        <v>1928.5920000000001</v>
      </c>
      <c r="N25" s="233">
        <f>SUM(N16:N24)</f>
        <v>411.86440677966107</v>
      </c>
      <c r="O25" s="101">
        <f>SUM(O16:O24)</f>
        <v>11.702282033898307</v>
      </c>
      <c r="P25" s="234">
        <f>SUM(P16:P24)</f>
        <v>2352.1586888135594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2179.1999999999998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174.33600000000001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76.272000000000006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1928.5919999999999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411.86440677966107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2340.4564067796609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11.702282033898305</v>
      </c>
    </row>
    <row r="35" spans="2:16" ht="15.75" customHeight="1" thickBot="1" x14ac:dyDescent="0.4">
      <c r="N35" s="345" t="s">
        <v>88</v>
      </c>
      <c r="O35" s="346"/>
      <c r="P35" s="297">
        <f>+P33+P34</f>
        <v>2352.1586888135594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activeCell="I4" sqref="I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8.7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13</v>
      </c>
      <c r="I19" s="236">
        <f t="shared" si="0"/>
        <v>944.32</v>
      </c>
      <c r="J19" s="272">
        <f t="shared" si="1"/>
        <v>75.545600000000007</v>
      </c>
      <c r="K19" s="128">
        <f t="shared" si="1"/>
        <v>33.051200000000001</v>
      </c>
      <c r="L19" s="119">
        <f t="shared" si="1"/>
        <v>0</v>
      </c>
      <c r="M19" s="230">
        <f t="shared" si="2"/>
        <v>835.72320000000002</v>
      </c>
      <c r="N19" s="277">
        <f t="shared" si="3"/>
        <v>178.47457627118644</v>
      </c>
      <c r="O19" s="239">
        <f t="shared" si="4"/>
        <v>5.070988881355933</v>
      </c>
      <c r="P19" s="119">
        <f t="shared" si="5"/>
        <v>1019.2687651525424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13</v>
      </c>
      <c r="I20" s="236">
        <f t="shared" si="0"/>
        <v>944.32</v>
      </c>
      <c r="J20" s="272">
        <f t="shared" si="1"/>
        <v>75.545600000000007</v>
      </c>
      <c r="K20" s="128">
        <f t="shared" si="1"/>
        <v>33.051200000000001</v>
      </c>
      <c r="L20" s="119">
        <f t="shared" si="1"/>
        <v>0</v>
      </c>
      <c r="M20" s="230">
        <f t="shared" si="2"/>
        <v>835.72320000000002</v>
      </c>
      <c r="N20" s="277">
        <f t="shared" si="3"/>
        <v>178.47457627118644</v>
      </c>
      <c r="O20" s="239">
        <f t="shared" si="4"/>
        <v>5.070988881355933</v>
      </c>
      <c r="P20" s="119">
        <f t="shared" si="5"/>
        <v>1019.2687651525424</v>
      </c>
      <c r="Q20" s="319"/>
      <c r="R20">
        <f>P20/21</f>
        <v>48.536607864406783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14</v>
      </c>
      <c r="I21" s="236">
        <f t="shared" si="0"/>
        <v>1016.96</v>
      </c>
      <c r="J21" s="272">
        <f t="shared" si="1"/>
        <v>81.356800000000007</v>
      </c>
      <c r="K21" s="128">
        <f t="shared" si="1"/>
        <v>35.593600000000002</v>
      </c>
      <c r="L21" s="119">
        <f t="shared" si="1"/>
        <v>0</v>
      </c>
      <c r="M21" s="230">
        <f t="shared" si="2"/>
        <v>900.00960000000009</v>
      </c>
      <c r="N21" s="277">
        <f t="shared" si="3"/>
        <v>192.20338983050848</v>
      </c>
      <c r="O21" s="239">
        <f t="shared" si="4"/>
        <v>5.4610649491525427</v>
      </c>
      <c r="P21" s="119">
        <f t="shared" si="5"/>
        <v>1097.6740547796612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2905.6000000000004</v>
      </c>
      <c r="J25" s="274">
        <f>SUM(J16:J24)</f>
        <v>232.44800000000004</v>
      </c>
      <c r="K25" s="275">
        <f t="shared" si="7"/>
        <v>101.696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2905.6000000000004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15.603042711864409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3136.2115850847463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I4" sqref="I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518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</v>
      </c>
      <c r="I19" s="236">
        <f t="shared" si="0"/>
        <v>290.56</v>
      </c>
      <c r="J19" s="272">
        <f t="shared" si="1"/>
        <v>23.244800000000001</v>
      </c>
      <c r="K19" s="128">
        <f t="shared" si="1"/>
        <v>10.169600000000001</v>
      </c>
      <c r="L19" s="119">
        <f t="shared" si="1"/>
        <v>0</v>
      </c>
      <c r="M19" s="230">
        <f t="shared" si="2"/>
        <v>257.1456</v>
      </c>
      <c r="N19" s="277">
        <f t="shared" si="3"/>
        <v>54.915254237288138</v>
      </c>
      <c r="O19" s="239">
        <f t="shared" si="4"/>
        <v>1.5603042711864408</v>
      </c>
      <c r="P19" s="119">
        <f t="shared" si="5"/>
        <v>313.62115850847459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4</v>
      </c>
      <c r="I20" s="236">
        <f t="shared" si="0"/>
        <v>290.56</v>
      </c>
      <c r="J20" s="272">
        <f t="shared" si="1"/>
        <v>23.244800000000001</v>
      </c>
      <c r="K20" s="128">
        <f t="shared" si="1"/>
        <v>10.169600000000001</v>
      </c>
      <c r="L20" s="119">
        <f t="shared" si="1"/>
        <v>0</v>
      </c>
      <c r="M20" s="230">
        <f t="shared" si="2"/>
        <v>257.1456</v>
      </c>
      <c r="N20" s="277">
        <f t="shared" si="3"/>
        <v>54.915254237288138</v>
      </c>
      <c r="O20" s="239">
        <f t="shared" si="4"/>
        <v>1.5603042711864408</v>
      </c>
      <c r="P20" s="119">
        <f t="shared" si="5"/>
        <v>313.62115850847459</v>
      </c>
      <c r="Q20" s="319"/>
      <c r="R20">
        <f>P20/21</f>
        <v>14.934340881355933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</v>
      </c>
      <c r="I21" s="236">
        <f t="shared" si="0"/>
        <v>290.56</v>
      </c>
      <c r="J21" s="272">
        <f t="shared" si="1"/>
        <v>23.244800000000001</v>
      </c>
      <c r="K21" s="128">
        <f t="shared" si="1"/>
        <v>10.169600000000001</v>
      </c>
      <c r="L21" s="119">
        <f t="shared" si="1"/>
        <v>0</v>
      </c>
      <c r="M21" s="230">
        <f t="shared" si="2"/>
        <v>257.1456</v>
      </c>
      <c r="N21" s="277">
        <f t="shared" si="3"/>
        <v>54.915254237288138</v>
      </c>
      <c r="O21" s="239">
        <f t="shared" si="4"/>
        <v>1.5603042711864408</v>
      </c>
      <c r="P21" s="119">
        <f t="shared" si="5"/>
        <v>313.62115850847459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</v>
      </c>
      <c r="I25" s="114">
        <f t="shared" si="7"/>
        <v>871.68000000000006</v>
      </c>
      <c r="J25" s="274">
        <f>SUM(J16:J24)</f>
        <v>69.734400000000008</v>
      </c>
      <c r="K25" s="275">
        <f t="shared" si="7"/>
        <v>30.508800000000001</v>
      </c>
      <c r="L25" s="276">
        <f t="shared" si="7"/>
        <v>0</v>
      </c>
      <c r="M25" s="232">
        <f t="shared" si="7"/>
        <v>771.43679999999995</v>
      </c>
      <c r="N25" s="233">
        <f>SUM(N16:N24)</f>
        <v>164.74576271186442</v>
      </c>
      <c r="O25" s="101">
        <f>SUM(O16:O24)</f>
        <v>4.6809128135593223</v>
      </c>
      <c r="P25" s="234">
        <f>SUM(P16:P24)</f>
        <v>940.86347552542384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871.68000000000006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69.734400000000008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30.508800000000001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771.43680000000006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164.74576271186442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936.18256271186442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4.6809128135593223</v>
      </c>
    </row>
    <row r="35" spans="2:16" ht="15.75" customHeight="1" thickBot="1" x14ac:dyDescent="0.4">
      <c r="N35" s="345" t="s">
        <v>88</v>
      </c>
      <c r="O35" s="346"/>
      <c r="P35" s="297">
        <f>+P33+P34</f>
        <v>940.86347552542372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opLeftCell="A4" workbookViewId="0">
      <selection activeCell="I4" sqref="I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522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>
        <v>5</v>
      </c>
      <c r="I16" s="235">
        <f>(G16*D16)*F16+H16*F16</f>
        <v>262.3125</v>
      </c>
      <c r="J16" s="271">
        <f>$I16*S16</f>
        <v>26.231250000000003</v>
      </c>
      <c r="K16" s="127">
        <f>$I16*T16</f>
        <v>9.1809375000000006</v>
      </c>
      <c r="L16" s="118">
        <f>$I16*U16</f>
        <v>0</v>
      </c>
      <c r="M16" s="229">
        <f>I16-SUM(J16:L16)</f>
        <v>226.90031249999998</v>
      </c>
      <c r="N16" s="248">
        <f>+(G16*D16+H16)*V16</f>
        <v>49.576271186440657</v>
      </c>
      <c r="O16" s="238">
        <f>(N16+M16)*$O$15</f>
        <v>1.3823829184322032</v>
      </c>
      <c r="P16" s="118">
        <f>M16+N16+O16</f>
        <v>277.85896660487282</v>
      </c>
      <c r="Q16" s="318"/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>
        <v>15</v>
      </c>
      <c r="I17" s="236">
        <f t="shared" ref="I17:I23" si="0">(G17*D17)*F17+H17*F17</f>
        <v>786.9375</v>
      </c>
      <c r="J17" s="272">
        <f t="shared" ref="J17:L24" si="1">$I17*S17</f>
        <v>78.693750000000009</v>
      </c>
      <c r="K17" s="128">
        <f>$I17*T17</f>
        <v>27.542812500000004</v>
      </c>
      <c r="L17" s="119">
        <f>$I17*U17</f>
        <v>0</v>
      </c>
      <c r="M17" s="230">
        <f t="shared" ref="M17:M24" si="2">I17-SUM(J17:L17)</f>
        <v>680.70093750000001</v>
      </c>
      <c r="N17" s="277">
        <f t="shared" ref="N17:N24" si="3">+(G17*D17+H17)*V17</f>
        <v>148.72881355932196</v>
      </c>
      <c r="O17" s="239">
        <f t="shared" ref="O17:O24" si="4">(N17+M17)*$O$15</f>
        <v>4.1471487552966098</v>
      </c>
      <c r="P17" s="119">
        <f t="shared" ref="P17:P24" si="5">M17+N17+O17</f>
        <v>833.57689981461851</v>
      </c>
      <c r="Q17" s="319"/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36.32</v>
      </c>
      <c r="K19" s="128">
        <f t="shared" si="1"/>
        <v>12.712000000000002</v>
      </c>
      <c r="L19" s="119">
        <f t="shared" si="1"/>
        <v>0</v>
      </c>
      <c r="M19" s="230">
        <f t="shared" si="2"/>
        <v>314.16800000000001</v>
      </c>
      <c r="N19" s="277">
        <f t="shared" si="3"/>
        <v>68.644067796610173</v>
      </c>
      <c r="O19" s="239">
        <f t="shared" si="4"/>
        <v>1.9140603389830508</v>
      </c>
      <c r="P19" s="119">
        <f t="shared" si="5"/>
        <v>384.72612813559323</v>
      </c>
      <c r="Q19" s="319"/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15</v>
      </c>
      <c r="I20" s="236">
        <f t="shared" si="0"/>
        <v>1089.5999999999999</v>
      </c>
      <c r="J20" s="272">
        <f t="shared" si="1"/>
        <v>108.96</v>
      </c>
      <c r="K20" s="128">
        <f t="shared" si="1"/>
        <v>38.136000000000003</v>
      </c>
      <c r="L20" s="119">
        <f t="shared" si="1"/>
        <v>0</v>
      </c>
      <c r="M20" s="230">
        <f t="shared" si="2"/>
        <v>942.50399999999991</v>
      </c>
      <c r="N20" s="277">
        <f t="shared" si="3"/>
        <v>205.93220338983053</v>
      </c>
      <c r="O20" s="239">
        <f t="shared" si="4"/>
        <v>5.7421810169491527</v>
      </c>
      <c r="P20" s="119">
        <f t="shared" si="5"/>
        <v>1154.1783844067797</v>
      </c>
      <c r="Q20" s="319"/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2502.0500000000002</v>
      </c>
      <c r="J25" s="274">
        <f>SUM(J16:J24)</f>
        <v>250.20499999999998</v>
      </c>
      <c r="K25" s="275">
        <f t="shared" si="7"/>
        <v>87.571750000000009</v>
      </c>
      <c r="L25" s="276">
        <f t="shared" si="7"/>
        <v>0</v>
      </c>
      <c r="M25" s="232">
        <f t="shared" si="7"/>
        <v>2164.2732499999997</v>
      </c>
      <c r="N25" s="233">
        <f>SUM(N16:N24)</f>
        <v>472.88135593220335</v>
      </c>
      <c r="O25" s="101">
        <f>SUM(O16:O24)</f>
        <v>13.185773029661016</v>
      </c>
      <c r="P25" s="234">
        <f>SUM(P16:P24)</f>
        <v>2650.3403789618642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2502.0500000000002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250.20499999999998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87.571750000000009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2164.2732500000002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472.88135593220335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2637.1546059322036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13.185773029661018</v>
      </c>
    </row>
    <row r="35" spans="2:16" ht="15.75" customHeight="1" thickBot="1" x14ac:dyDescent="0.4">
      <c r="N35" s="345" t="s">
        <v>88</v>
      </c>
      <c r="O35" s="346"/>
      <c r="P35" s="297">
        <f>+P33+P34</f>
        <v>2650.3403789618646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8" workbookViewId="0">
      <selection activeCell="H23" sqref="H2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523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524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20</v>
      </c>
      <c r="I19" s="236">
        <f t="shared" si="0"/>
        <v>1452.8</v>
      </c>
      <c r="J19" s="272">
        <f t="shared" si="1"/>
        <v>116.224</v>
      </c>
      <c r="K19" s="128">
        <f t="shared" si="1"/>
        <v>50.848000000000006</v>
      </c>
      <c r="L19" s="119">
        <f t="shared" si="1"/>
        <v>0</v>
      </c>
      <c r="M19" s="230">
        <f t="shared" si="2"/>
        <v>1285.7280000000001</v>
      </c>
      <c r="N19" s="277">
        <f t="shared" si="3"/>
        <v>274.57627118644069</v>
      </c>
      <c r="O19" s="239">
        <f t="shared" si="4"/>
        <v>7.8015213559322039</v>
      </c>
      <c r="P19" s="119">
        <f t="shared" si="5"/>
        <v>1568.1057925423729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10</v>
      </c>
      <c r="I21" s="236">
        <f t="shared" si="0"/>
        <v>726.4</v>
      </c>
      <c r="J21" s="272">
        <f t="shared" si="1"/>
        <v>58.112000000000002</v>
      </c>
      <c r="K21" s="128">
        <f t="shared" si="1"/>
        <v>25.424000000000003</v>
      </c>
      <c r="L21" s="119">
        <f t="shared" si="1"/>
        <v>0</v>
      </c>
      <c r="M21" s="230">
        <f t="shared" si="2"/>
        <v>642.86400000000003</v>
      </c>
      <c r="N21" s="277">
        <f t="shared" si="3"/>
        <v>137.28813559322035</v>
      </c>
      <c r="O21" s="239">
        <f t="shared" si="4"/>
        <v>3.9007606779661019</v>
      </c>
      <c r="P21" s="119">
        <f t="shared" si="5"/>
        <v>784.05289627118646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topLeftCell="A5" workbookViewId="0">
      <selection activeCell="I8" sqref="I8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525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526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>
        <v>40</v>
      </c>
      <c r="S16" s="269">
        <v>0.1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112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40</v>
      </c>
      <c r="S17" s="269">
        <f>+S16</f>
        <v>0.1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112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40</v>
      </c>
      <c r="S18" s="269">
        <f>+S17</f>
        <v>0.1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112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40</v>
      </c>
      <c r="S19" s="269">
        <f>+S18</f>
        <v>0.1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112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40</v>
      </c>
      <c r="S20" s="269">
        <f>+S19</f>
        <v>0.1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112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40</v>
      </c>
      <c r="S21" s="269">
        <f>+S20</f>
        <v>0.1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240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46301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46300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Jabbar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46302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46301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2026-10-06T12:44:05Z</dcterms:modified>
</cp:coreProperties>
</file>