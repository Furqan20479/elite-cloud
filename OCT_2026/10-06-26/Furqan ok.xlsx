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E78BE10-C362-4047-A4AC-F0BE59A8079F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8" l="1"/>
  <c r="N5" i="11"/>
  <c r="N4" i="51"/>
  <c r="N4" i="50"/>
  <c r="N5" i="50" s="1"/>
  <c r="N4" i="57"/>
  <c r="N4" i="55"/>
  <c r="N4" i="68"/>
  <c r="N5" i="68" s="1"/>
  <c r="N4" i="67"/>
  <c r="N5" i="67" s="1"/>
  <c r="N4" i="46"/>
  <c r="N4" i="53"/>
  <c r="N4" i="69"/>
  <c r="N5" i="69" s="1"/>
  <c r="N4" i="59"/>
  <c r="N5" i="59" s="1"/>
  <c r="N4" i="61"/>
  <c r="N4" i="64"/>
  <c r="N5" i="64" s="1"/>
  <c r="N4" i="63"/>
  <c r="N4" i="70"/>
  <c r="N5" i="70" s="1"/>
  <c r="N4" i="45"/>
  <c r="N4" i="65"/>
  <c r="N5" i="65" s="1"/>
  <c r="N4" i="60"/>
  <c r="N4" i="52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48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<sst xmlns="http://schemas.openxmlformats.org/spreadsheetml/2006/main" count="3948" uniqueCount="527">
  <si>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</si>
  <si>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</si>
  <si>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</si>
  <si>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</si>
  <si>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</si>
  <si>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</si>
  <si>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</si>
  <si>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</si>
  <si>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</si>
  <si>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</si>
  <si>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</si>
  <si>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</si>
  <si>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</si>
  <si>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</si>
  <si>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</si>
  <si>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</si>
  <si>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</si>
  <si>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</si>
  <si>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</si>
  <si>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</si>
  <si>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</si>
  <si>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</si>
  <si>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</si>
  <si>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</si>
  <si>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</si>
  <si>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</si>
  <si>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</si>
  <si>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</si>
  <si>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</si>
  <si>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</si>
  <si>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</si>
  <si>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</si>
  <si>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</si>
  <si>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</si>
  <si>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</si>
  <si>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</si>
  <si>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</si>
  <si>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</si>
  <si>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</si>
  <si>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</si>
  <si>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</si>
  <si>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</si>
  <si>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</si>
  <si>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</si>
  <si>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</si>
  <si>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</si>
  <si>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</si>
  <si>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</si>
  <si>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</si>
  <si>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</si>
  <si>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</si>
  <si>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</si>
  <si>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</si>
  <si>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</si>
  <si>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</si>
  <si>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</si>
  <si>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</si>
  <si>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</si>
  <si>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</si>
  <si>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</si>
  <si>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</si>
  <si>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</si>
  <si>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</si>
  <si>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</si>
  <si>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</si>
  <si>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</si>
  <si>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</si>
  <si>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</si>
  <si>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</si>
  <si>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</si>
  <si>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</si>
  <si>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</si>
  <si>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</si>
  <si>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</si>
  <si>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</si>
  <si>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</si>
  <si>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</si>
  <si>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</si>
  <si>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</si>
  <si>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</si>
  <si>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</si>
  <si>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</si>
  <si>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</si>
  <si>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</si>
  <si>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</si>
  <si>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</si>
  <si>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</si>
  <si>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</si>
  <si>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</si>
  <si>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</si>
  <si>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</si>
  <si>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</si>
  <si>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</si>
  <si>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</si>
  <si>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</si>
  <si>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</si>
  <si>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</si>
  <si>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</si>
  <si>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</si>
  <si>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</si>
  <si>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</si>
  <si>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</si>
  <si>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</si>
  <si>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</si>
  <si>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</si>
  <si>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</si>
  <si>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</si>
  <si>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</si>
  <si>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</si>
  <si>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</si>
  <si>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</si>
  <si>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</si>
  <si>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</si>
  <si>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</si>
  <si>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</si>
  <si>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</si>
  <si>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</si>
  <si>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</si>
  <si>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</si>
  <si>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</si>
  <si>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</si>
  <si>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</si>
  <si>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</si>
  <si>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</si>
  <si>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</si>
  <si>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</si>
  <si>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</si>
  <si>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</si>
  <si>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</si>
  <si>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</si>
  <si>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</si>
  <si>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</si>
  <si>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</si>
  <si>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</si>
  <si>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</si>
  <si>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</si>
  <si>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</si>
  <si>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</si>
  <si>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</si>
  <si>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</si>
  <si>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</si>
  <si>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</si>
  <si>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</si>
  <si>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</si>
  <si>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</si>
  <si>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</si>
  <si>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</si>
  <si>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</si>
  <si>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</si>
  <si>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</si>
  <si>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</si>
  <si>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</si>
  <si>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</si>
  <si>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</si>
  <si>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</si>
  <si>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</si>
  <si>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</si>
  <si>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</si>
  <si>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</si>
  <si>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</si>
  <si>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</si>
  <si>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</si>
  <si>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</si>
  <si>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</si>
  <si>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</si>
  <si>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</si>
  <si>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</si>
  <si>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</si>
  <si>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</si>
  <si>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</si>
  <si>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</si>
  <si>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</si>
  <si>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</si>
  <si>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</si>
  <si>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</si>
  <si>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</si>
  <si>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</si>
  <si>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</si>
  <si>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</si>
  <si>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</si>
  <si>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</si>
  <si>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</si>
  <si>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</si>
  <si>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</si>
  <si>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</si>
  <si>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</si>
  <si>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</si>
  <si>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</si>
  <si>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</si>
  <si>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</si>
  <si>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</si>
  <si>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</si>
  <si>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</si>
  <si>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</si>
  <si>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</si>
  <si>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</si>
  <si>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</si>
  <si>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</si>
  <si>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</si>
  <si>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</si>
  <si>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</si>
  <si>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</si>
  <si>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</si>
  <si>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</si>
  <si>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</si>
  <si>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</si>
  <si>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</si>
  <si>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</si>
  <si>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</si>
  <si>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</si>
  <si>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</si>
  <si>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</si>
  <si>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</si>
  <si>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</si>
  <si>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</si>
  <si>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</si>
  <si>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</si>
  <si>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</si>
  <si>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</si>
  <si>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</si>
  <si>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</si>
  <si>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</si>
  <si>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</si>
  <si>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</si>
  <si>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</si>
  <si>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</si>
  <si>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</si>
  <si>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</si>
  <si>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</si>
  <si>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</si>
  <si>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</si>
  <si>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</si>
  <si>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</si>
  <si>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</si>
  <si>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</si>
  <si>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</si>
  <si>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</si>
  <si>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</si>
  <si>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</si>
  <si>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</si>
  <si>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</si>
  <si>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</si>
  <si>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</si>
  <si>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</si>
  <si>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</si>
  <si>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</si>
  <si>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</si>
  <si>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</si>
  <si>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</si>
  <si>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</si>
  <si>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</si>
  <si>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</si>
  <si>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</si>
  <si>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</si>
  <si>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</si>
  <si>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</si>
  <si>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</si>
  <si>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</si>
  <si>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</si>
  <si>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</si>
  <si>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</si>
  <si>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</si>
  <si>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</si>
  <si>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</si>
  <si>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</si>
  <si>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</si>
  <si>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</si>
  <si>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</si>
  <si>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</si>
  <si>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</si>
  <si>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</si>
  <si>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</si>
  <si>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</si>
  <si>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</si>
  <si>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</si>
  <si>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</si>
  <si>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</si>
  <si>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</si>
  <si>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</si>
  <si>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</si>
  <si>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</si>
  <si>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</si>
  <si>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</si>
  <si>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</si>
  <si>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</si>
  <si>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</si>
  <si>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</si>
  <si>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</si>
  <si>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</si>
  <si>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</si>
  <si>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</si>
  <si>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</si>
  <si>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</si>
  <si>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</si>
  <si>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</si>
  <si>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</si>
  <si>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</si>
  <si>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</si>
  <si>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</si>
  <si>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</si>
  <si>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</si>
  <si>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</si>
  <si>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</si>
  <si>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</si>
  <si>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</si>
  <si>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</si>
  <si>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</si>
  <si>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</si>
  <si>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</si>
  <si>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</si>
  <si>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</si>
  <si>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</si>
  <si>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</si>
  <si>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</si>
  <si>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</si>
  <si>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</si>
  <si>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</si>
  <si>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</si>
  <si>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</si>
  <si>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</si>
  <si>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</si>
  <si>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</si>
  <si>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</si>
  <si>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</si>
  <si>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</si>
  <si>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</si>
  <si>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</si>
  <si>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</si>
  <si>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</si>
  <si>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</si>
  <si>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</si>
  <si>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</si>
  <si>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</si>
  <si>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</si>
  <si>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</si>
  <si>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</si>
  <si>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</si>
  <si>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</si>
  <si>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</si>
  <si>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</si>
  <si>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</si>
  <si>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</si>
  <si>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</si>
  <si>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</si>
  <si>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</si>
  <si>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</si>
  <si>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</si>
  <si>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</si>
  <si>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</si>
  <si>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</si>
  <si>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</si>
  <si>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</si>
  <si>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</si>
  <si>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</si>
  <si>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</si>
  <si>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</si>
  <si>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</si>
  <si>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</si>
  <si>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</si>
  <si>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</si>
  <si>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</si>
  <si>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</si>
  <si>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</si>
  <si>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</si>
  <si>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</si>
  <si>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</si>
  <si>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</si>
  <si>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</si>
  <si>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</si>
  <si>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</si>
  <si>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</si>
  <si>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</si>
  <si>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</si>
  <si>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</si>
  <si>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</si>
  <si>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</si>
  <si>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</si>
  <si>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</si>
  <si>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</si>
  <si>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</si>
  <si>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</si>
  <si>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</si>
  <si>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</si>
  <si>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</si>
  <si>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</si>
  <si>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</si>
  <si>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</si>
  <si>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</si>
  <si>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</si>
  <si>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</si>
  <si>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</si>
  <si>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</si>
  <si>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</si>
  <si>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</si>
  <si>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</si>
  <si>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</si>
  <si>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</si>
  <si>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</si>
  <si>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</si>
  <si>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</si>
  <si>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</si>
  <si>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</si>
  <si>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</si>
  <si>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</si>
  <si>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</si>
  <si>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</si>
  <si>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</si>
  <si>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</si>
  <si>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</si>
  <si>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</si>
  <si>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</si>
  <si>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</si>
  <si>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</si>
  <si>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</si>
  <si>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</si>
  <si>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</si>
  <si>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</si>
  <si>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</si>
  <si>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</si>
  <si>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</si>
  <si>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</si>
  <si>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</si>
  <si>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</si>
  <si>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</si>
  <si>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</si>
  <si>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</si>
  <si>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</si>
  <si>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</si>
  <si>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</si>
  <si>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</si>
  <si>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</si>
  <si>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</si>
  <si>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</si>
  <si>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</si>
  <si>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</si>
  <si>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</si>
  <si>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</si>
  <si>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</si>
  <si>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</si>
  <si>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</si>
  <si>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</si>
  <si>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</si>
  <si>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</si>
  <si>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</si>
  <si>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</si>
  <si>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</si>
  <si>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</si>
  <si>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</si>
  <si>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</si>
  <si>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</si>
  <si>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</si>
  <si>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</si>
  <si>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</si>
  <si>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</si>
  <si>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</si>
  <si>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</si>
  <si>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</si>
  <si>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</si>
  <si>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</si>
  <si>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</si>
  <si>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</si>
  <si>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</si>
  <si>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</si>
  <si>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</si>
  <si>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</si>
  <si>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</si>
  <si>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</si>
  <si>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</si>
  <si>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</si>
  <si>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</si>
  <si>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</si>
  <si>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</si>
  <si>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</si>
  <si>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</si>
  <si>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</si>
  <si>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</si>
  <si>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</si>
  <si>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</si>
  <si>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</si>
  <si>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</si>
  <si>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</si>
  <si>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</si>
  <si>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</si>
  <si>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</si>
  <si>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</si>
  <si>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</si>
  <si>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</si>
  <si>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</si>
  <si>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</si>
  <si>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</si>
  <si>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</si>
  <si>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</si>
  <si>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</si>
  <si>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</si>
  <si>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</si>
  <si>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</si>
  <si>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</si>
  <si>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</si>
  <si>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</si>
  <si>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</si>
  <si>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</si>
  <si>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</si>
  <si>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</si>
  <si>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</si>
  <si>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</si>
  <si>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</si>
  <si>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</si>
  <si>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</si>
  <si>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</si>
  <si>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</si>
  <si>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</si>
  <si>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</si>
  <si>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</si>
  <si>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</si>
  <si>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</si>
  <si>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Address: Guru Mangat Road</t>
  </si>
  <si>
    <t>SM store</t>
  </si>
  <si>
    <t>Yahya GS</t>
  </si>
  <si>
    <t xml:space="preserve">Address: Ferdos Market </t>
  </si>
  <si>
    <t>Butt \GS</t>
  </si>
  <si>
    <t xml:space="preserve">Fatima Mini Mart </t>
  </si>
  <si>
    <t>Address: Gulberg Main Market</t>
  </si>
  <si>
    <t>Khuaja GS</t>
  </si>
  <si>
    <t>Umer Store</t>
  </si>
  <si>
    <t xml:space="preserve">Kanza Bakery </t>
  </si>
  <si>
    <t>Sadiq Store</t>
  </si>
  <si>
    <t xml:space="preserve">Al Noor Cash And Carry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</si>
</sst>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7" workbookViewId="0">
      <selection activeCell="F30" sqref="F3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46301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SM store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Yahya GS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Butt \GS</v>
      </c>
      <c r="T5" s="301">
        <f>+'3'!P35</f>
        <v>509.63660613877113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Fatima Mini Mart </v>
      </c>
      <c r="T6" s="301">
        <f>+'4'!P35</f>
        <v>679.51547485169476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29</v>
      </c>
      <c r="I7" s="235">
        <f>(G7*D7)*F7+H7*F7</f>
        <v>1521.4124999999999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121.71299999999999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53.249437500000006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1346.4500624999998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287.54237288135579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8.169962176906779</v>
      </c>
      <c r="P7" s="310">
        <f>M7+N7+O7</f>
        <v>1642.1623975582625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2</v>
      </c>
      <c r="R7" s="313">
        <v>5</v>
      </c>
      <c r="S7" s="300" t="str">
        <f>+'5'!A6:A6</f>
        <v>Khuaja GS</v>
      </c>
      <c r="T7" s="301">
        <f>+'5'!P35</f>
        <v>339.75773742584738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24</v>
      </c>
      <c r="I8" s="236">
        <f t="shared" ref="I8:I14" si="0">(G8*D8)*F8+H8*F8</f>
        <v>1259.0999999999999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100.72799999999999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44.0685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1114.3035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237.96610169491515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6.7613480084745756</v>
      </c>
      <c r="P8" s="311">
        <f t="shared" ref="P8:P15" si="2">M8+N8+O8</f>
        <v>1359.0309497033898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Umer Store</v>
      </c>
      <c r="T8" s="301">
        <f>+'6'!P35</f>
        <v>3057.8062954576271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54</v>
      </c>
      <c r="I9" s="236">
        <f t="shared" si="0"/>
        <v>2832.9749999999999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226.63799999999998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99.154124999999993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2507.182875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535.42372881355914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15.213033019067796</v>
      </c>
      <c r="P9" s="311">
        <f t="shared" si="2"/>
        <v>3057.8196368326271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7</v>
      </c>
      <c r="R9" s="313">
        <v>7</v>
      </c>
      <c r="S9" s="300" t="str">
        <f>+'7'!A6:A6</f>
        <v xml:space="preserve">Kanza Bakery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34</v>
      </c>
      <c r="I10" s="236">
        <f t="shared" si="0"/>
        <v>2469.7600000000002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197.58080000000001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86.441600000000008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2185.7376000000004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466.77966101694921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13.262586305084746</v>
      </c>
      <c r="P10" s="311">
        <f t="shared" si="2"/>
        <v>2665.7798473220346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10</v>
      </c>
      <c r="R10" s="313">
        <v>8</v>
      </c>
      <c r="S10" s="300" t="str">
        <f>+'8'!A6:A6</f>
        <v>Sadiq Store</v>
      </c>
      <c r="T10" s="301">
        <f>+'8'!P35</f>
        <v>1568.1057925423729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30</v>
      </c>
      <c r="I11" s="236">
        <f t="shared" si="0"/>
        <v>2179.1999999999998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174.33600000000001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76.272000000000006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1928.5919999999999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411.86440677966107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11.702282033898307</v>
      </c>
      <c r="P11" s="311">
        <f t="shared" si="2"/>
        <v>2352.1586888135594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11</v>
      </c>
      <c r="R11" s="313">
        <v>9</v>
      </c>
      <c r="S11" s="300" t="str">
        <f>+'9'!A6:A6</f>
        <v xml:space="preserve">Al Noor Cash And Carry </v>
      </c>
      <c r="T11" s="301">
        <f>+'9'!P35</f>
        <v>5401.2631679237284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35</v>
      </c>
      <c r="I12" s="236">
        <f t="shared" si="0"/>
        <v>2542.4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203.392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88.984000000000009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2250.0240000000003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480.50847457627123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13.652662372881355</v>
      </c>
      <c r="P12" s="311">
        <f t="shared" si="2"/>
        <v>2744.1851369491528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24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5.15</v>
      </c>
      <c r="H16" s="113">
        <f t="shared" ref="H16:M16" si="3">SUM(H7:H15)</f>
        <v>206</v>
      </c>
      <c r="I16" s="114">
        <f t="shared" si="3"/>
        <v>12804.847499999998</v>
      </c>
      <c r="J16" s="274">
        <f>SUM(J7:J15)</f>
        <v>1024.3878</v>
      </c>
      <c r="K16" s="275">
        <f t="shared" si="3"/>
        <v>448.16966249999996</v>
      </c>
      <c r="L16" s="276">
        <f t="shared" si="3"/>
        <v>0</v>
      </c>
      <c r="M16" s="232">
        <f t="shared" si="3"/>
        <v>11332.290037500003</v>
      </c>
      <c r="N16" s="233">
        <f>SUM(N7:N15)</f>
        <v>2420.0847457627115</v>
      </c>
      <c r="O16" s="101">
        <f>SUM(O7:O15)</f>
        <v>68.761873916313561</v>
      </c>
      <c r="P16" s="113">
        <f>SUM(P7:P15)</f>
        <v>13821.136657179026</v>
      </c>
      <c r="Q16" s="128">
        <f>SUM(Q7:Q15)</f>
        <v>54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12804.847499999998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1024.3878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448.16966249999996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11332.290037499997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2420.0847457627115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13752.374783262709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68.761873916313561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13821.136657179022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13821.136657179024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0"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ref="I18:I21" si="7">(G18*D18)*F18+H18*F18</f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73.447500000000005</v>
      </c>
      <c r="L25" s="276">
        <f t="shared" si="10"/>
        <v>0</v>
      </c>
      <c r="M25" s="232">
        <f t="shared" si="10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8.7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2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9</v>
      </c>
      <c r="I18" s="236">
        <f t="shared" si="0"/>
        <v>472.16249999999997</v>
      </c>
      <c r="J18" s="272">
        <f t="shared" si="1"/>
        <v>37.772999999999996</v>
      </c>
      <c r="K18" s="128">
        <f t="shared" si="1"/>
        <v>16.5256875</v>
      </c>
      <c r="L18" s="119">
        <f t="shared" si="1"/>
        <v>0</v>
      </c>
      <c r="M18" s="230">
        <f t="shared" si="2"/>
        <v>417.86381249999999</v>
      </c>
      <c r="N18" s="277">
        <f t="shared" si="3"/>
        <v>89.23728813559319</v>
      </c>
      <c r="O18" s="239">
        <f t="shared" si="4"/>
        <v>2.5355055031779661</v>
      </c>
      <c r="P18" s="119">
        <f t="shared" si="5"/>
        <v>509.63660613877113</v>
      </c>
      <c r="Q18" s="319">
        <v>1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9</v>
      </c>
      <c r="I25" s="114">
        <f t="shared" si="7"/>
        <v>472.16249999999997</v>
      </c>
      <c r="J25" s="274">
        <f>SUM(J16:J24)</f>
        <v>37.772999999999996</v>
      </c>
      <c r="K25" s="275">
        <f t="shared" si="7"/>
        <v>16.5256875</v>
      </c>
      <c r="L25" s="276">
        <f t="shared" si="7"/>
        <v>0</v>
      </c>
      <c r="M25" s="232">
        <f t="shared" si="7"/>
        <v>417.86381249999999</v>
      </c>
      <c r="N25" s="233">
        <f>SUM(N16:N24)</f>
        <v>89.23728813559319</v>
      </c>
      <c r="O25" s="101">
        <f>SUM(O16:O24)</f>
        <v>2.5355055031779661</v>
      </c>
      <c r="P25" s="234">
        <f>SUM(P16:P24)</f>
        <v>509.63660613877113</v>
      </c>
      <c r="Q25" s="239">
        <f>SUM(Q16:Q24)</f>
        <v>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472.16249999999997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37.772999999999996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16.5256875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417.86381249999999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89.23728813559319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507.10110063559318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2.5355055031779661</v>
      </c>
    </row>
    <row r="35" spans="2:16" ht="15.75" customHeight="1" thickBot="1" x14ac:dyDescent="0.4">
      <c r="N35" s="374" t="s">
        <v>88</v>
      </c>
      <c r="O35" s="375"/>
      <c r="P35" s="297">
        <f>+P33+P34</f>
        <v>509.63660613877113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50.364000000000004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679.51547485169476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629.54999999999995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50.364000000000004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22.03425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557.15174999999988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676.13480084745743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4" t="s">
        <v>88</v>
      </c>
      <c r="O35" s="375"/>
      <c r="P35" s="297">
        <f>+P33+P34</f>
        <v>679.51547485169476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314.77499999999998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25.181999999999999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11.017125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278.57587499999994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338.06740042372871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4" t="s">
        <v>88</v>
      </c>
      <c r="O35" s="375"/>
      <c r="P35" s="297">
        <f>+P33+P34</f>
        <v>339.75773742584738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9</v>
      </c>
      <c r="I19" s="236">
        <f t="shared" si="0"/>
        <v>653.76</v>
      </c>
      <c r="J19" s="272">
        <f t="shared" si="1"/>
        <v>52.300800000000002</v>
      </c>
      <c r="K19" s="128">
        <f t="shared" si="1"/>
        <v>22.881600000000002</v>
      </c>
      <c r="L19" s="119">
        <f t="shared" si="1"/>
        <v>0</v>
      </c>
      <c r="M19" s="230">
        <f t="shared" si="2"/>
        <v>578.57759999999996</v>
      </c>
      <c r="N19" s="277">
        <f t="shared" si="3"/>
        <v>123.55932203389831</v>
      </c>
      <c r="O19" s="239">
        <f t="shared" si="4"/>
        <v>3.5106846101694913</v>
      </c>
      <c r="P19" s="119">
        <f t="shared" si="5"/>
        <v>705.64760664406776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39</v>
      </c>
      <c r="I25" s="114">
        <f t="shared" si="7"/>
        <v>2832.96</v>
      </c>
      <c r="J25" s="274">
        <f>SUM(J16:J24)</f>
        <v>226.63679999999999</v>
      </c>
      <c r="K25" s="275">
        <f t="shared" si="7"/>
        <v>99.153600000000012</v>
      </c>
      <c r="L25" s="276">
        <f t="shared" si="7"/>
        <v>0</v>
      </c>
      <c r="M25" s="232">
        <f t="shared" si="7"/>
        <v>2507.1696000000002</v>
      </c>
      <c r="N25" s="233">
        <f>SUM(N16:N24)</f>
        <v>535.42372881355936</v>
      </c>
      <c r="O25" s="101">
        <f>SUM(O16:O24)</f>
        <v>15.212966644067798</v>
      </c>
      <c r="P25" s="234">
        <f>SUM(P16:P24)</f>
        <v>3057.8062954576271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2832.96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226.63679999999999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99.153600000000012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2507.1695999999997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535.42372881355936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3042.5933288135593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15.212966644067796</v>
      </c>
    </row>
    <row r="35" spans="2:16" ht="15.75" customHeight="1" thickBot="1" x14ac:dyDescent="0.4">
      <c r="N35" s="374" t="s">
        <v>88</v>
      </c>
      <c r="O35" s="375"/>
      <c r="P35" s="297">
        <f>+P33+P34</f>
        <v>3057.8062954576271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8" workbookViewId="0">
      <selection activeCell="H21" sqref="H19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20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4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46302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46301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2026-10-06T12:48:34Z</dcterms:modified>
</cp:coreProperties>
</file>