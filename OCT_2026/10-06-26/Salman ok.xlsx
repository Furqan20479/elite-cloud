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1C2FDF5-CD09-468C-9159-EFBCA4535B06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8" l="1"/>
  <c r="N5" i="11"/>
  <c r="N4" i="51"/>
  <c r="N4" i="50"/>
  <c r="N5" i="50" s="1"/>
  <c r="N4" i="57"/>
  <c r="N4" i="55"/>
  <c r="N4" i="68"/>
  <c r="N5" i="68" s="1"/>
  <c r="N4" i="67"/>
  <c r="N5" i="67" s="1"/>
  <c r="N4" i="46"/>
  <c r="N4" i="53"/>
  <c r="N4" i="69"/>
  <c r="N5" i="69" s="1"/>
  <c r="N4" i="59"/>
  <c r="N5" i="59" s="1"/>
  <c r="N4" i="61"/>
  <c r="N4" i="64"/>
  <c r="N5" i="64" s="1"/>
  <c r="N4" i="63"/>
  <c r="N4" i="70"/>
  <c r="N5" i="70" s="1"/>
  <c r="N4" i="45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<sst xmlns="http://schemas.openxmlformats.org/spreadsheetml/2006/main" count="3948" uniqueCount="521">
  <si>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</si>
  <si>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</si>
  <si>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</si>
  <si>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</si>
  <si>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</si>
  <si>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</si>
  <si>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</si>
  <si>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</si>
  <si>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</si>
  <si>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</si>
  <si>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</si>
  <si>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</si>
  <si>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</si>
  <si>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</si>
  <si>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</si>
  <si>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</si>
  <si>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</si>
  <si>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</si>
  <si>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</si>
  <si>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</si>
  <si>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</si>
  <si>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</si>
  <si>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</si>
  <si>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</si>
  <si>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</si>
  <si>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</si>
  <si>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</si>
  <si>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</si>
  <si>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</si>
  <si>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</si>
  <si>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</si>
  <si>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</si>
  <si>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</si>
  <si>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</si>
  <si>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</si>
  <si>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</si>
  <si>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</si>
  <si>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</si>
  <si>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</si>
  <si>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</si>
  <si>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</si>
  <si>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</si>
  <si>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</si>
  <si>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</si>
  <si>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</si>
  <si>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</si>
  <si>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</si>
  <si>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</si>
  <si>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</si>
  <si>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</si>
  <si>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</si>
  <si>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</si>
  <si>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</si>
  <si>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</si>
  <si>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</si>
  <si>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</si>
  <si>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</si>
  <si>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</si>
  <si>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</si>
  <si>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</si>
  <si>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</si>
  <si>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</si>
  <si>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</si>
  <si>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</si>
  <si>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</si>
  <si>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</si>
  <si>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</si>
  <si>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</si>
  <si>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</si>
  <si>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</si>
  <si>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</si>
  <si>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</si>
  <si>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</si>
  <si>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</si>
  <si>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</si>
  <si>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</si>
  <si>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</si>
  <si>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</si>
  <si>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</si>
  <si>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</si>
  <si>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</si>
  <si>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</si>
  <si>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</si>
  <si>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</si>
  <si>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</si>
  <si>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</si>
  <si>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</si>
  <si>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</si>
  <si>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</si>
  <si>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</si>
  <si>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</si>
  <si>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</si>
  <si>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</si>
  <si>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</si>
  <si>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</si>
  <si>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</si>
  <si>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</si>
  <si>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</si>
  <si>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</si>
  <si>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</si>
  <si>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</si>
  <si>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</si>
  <si>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</si>
  <si>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</si>
  <si>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</si>
  <si>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</si>
  <si>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</si>
  <si>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</si>
  <si>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</si>
  <si>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</si>
  <si>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</si>
  <si>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</si>
  <si>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</si>
  <si>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</si>
  <si>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</si>
  <si>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</si>
  <si>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</si>
  <si>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</si>
  <si>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</si>
  <si>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</si>
  <si>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</si>
  <si>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</si>
  <si>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</si>
  <si>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</si>
  <si>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</si>
  <si>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</si>
  <si>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</si>
  <si>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</si>
  <si>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</si>
  <si>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</si>
  <si>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</si>
  <si>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</si>
  <si>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</si>
  <si>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</si>
  <si>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</si>
  <si>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</si>
  <si>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</si>
  <si>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</si>
  <si>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</si>
  <si>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</si>
  <si>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</si>
  <si>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</si>
  <si>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</si>
  <si>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</si>
  <si>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</si>
  <si>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</si>
  <si>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</si>
  <si>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</si>
  <si>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</si>
  <si>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</si>
  <si>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</si>
  <si>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</si>
  <si>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</si>
  <si>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</si>
  <si>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</si>
  <si>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</si>
  <si>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</si>
  <si>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</si>
  <si>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</si>
  <si>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</si>
  <si>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</si>
  <si>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</si>
  <si>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</si>
  <si>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</si>
  <si>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</si>
  <si>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</si>
  <si>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</si>
  <si>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</si>
  <si>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</si>
  <si>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</si>
  <si>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</si>
  <si>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</si>
  <si>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</si>
  <si>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</si>
  <si>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</si>
  <si>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</si>
  <si>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</si>
  <si>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</si>
  <si>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</si>
  <si>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</si>
  <si>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</si>
  <si>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</si>
  <si>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</si>
  <si>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</si>
  <si>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</si>
  <si>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</si>
  <si>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</si>
  <si>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</si>
  <si>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</si>
  <si>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</si>
  <si>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</si>
  <si>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</si>
  <si>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</si>
  <si>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</si>
  <si>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</si>
  <si>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</si>
  <si>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</si>
  <si>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</si>
  <si>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</si>
  <si>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</si>
  <si>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</si>
  <si>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</si>
  <si>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</si>
  <si>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</si>
  <si>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</si>
  <si>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</si>
  <si>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</si>
  <si>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</si>
  <si>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</si>
  <si>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</si>
  <si>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</si>
  <si>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</si>
  <si>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</si>
  <si>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</si>
  <si>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</si>
  <si>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</si>
  <si>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</si>
  <si>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</si>
  <si>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</si>
  <si>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</si>
  <si>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</si>
  <si>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</si>
  <si>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</si>
  <si>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</si>
  <si>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</si>
  <si>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</si>
  <si>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</si>
  <si>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</si>
  <si>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</si>
  <si>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</si>
  <si>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</si>
  <si>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</si>
  <si>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</si>
  <si>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</si>
  <si>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</si>
  <si>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</si>
  <si>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</si>
  <si>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</si>
  <si>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</si>
  <si>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</si>
  <si>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</si>
  <si>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</si>
  <si>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</si>
  <si>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</si>
  <si>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</si>
  <si>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</si>
  <si>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</si>
  <si>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</si>
  <si>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</si>
  <si>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</si>
  <si>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</si>
  <si>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</si>
  <si>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</si>
  <si>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</si>
  <si>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</si>
  <si>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</si>
  <si>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</si>
  <si>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</si>
  <si>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</si>
  <si>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</si>
  <si>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</si>
  <si>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</si>
  <si>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</si>
  <si>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</si>
  <si>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</si>
  <si>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</si>
  <si>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</si>
  <si>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</si>
  <si>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</si>
  <si>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</si>
  <si>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</si>
  <si>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</si>
  <si>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</si>
  <si>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</si>
  <si>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</si>
  <si>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</si>
  <si>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</si>
  <si>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</si>
  <si>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</si>
  <si>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</si>
  <si>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</si>
  <si>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</si>
  <si>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</si>
  <si>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</si>
  <si>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</si>
  <si>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</si>
  <si>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</si>
  <si>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</si>
  <si>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</si>
  <si>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</si>
  <si>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</si>
  <si>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</si>
  <si>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</si>
  <si>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</si>
  <si>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</si>
  <si>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</si>
  <si>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</si>
  <si>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</si>
  <si>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</si>
  <si>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</si>
  <si>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</si>
  <si>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</si>
  <si>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</si>
  <si>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</si>
  <si>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</si>
  <si>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</si>
  <si>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</si>
  <si>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</si>
  <si>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</si>
  <si>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</si>
  <si>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</si>
  <si>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</si>
  <si>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</si>
  <si>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</si>
  <si>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</si>
  <si>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</si>
  <si>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</si>
  <si>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</si>
  <si>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</si>
  <si>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</si>
  <si>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</si>
  <si>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</si>
  <si>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</si>
  <si>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</si>
  <si>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</si>
  <si>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</si>
  <si>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</si>
  <si>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</si>
  <si>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</si>
  <si>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</si>
  <si>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</si>
  <si>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</si>
  <si>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</si>
  <si>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</si>
  <si>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</si>
  <si>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</si>
  <si>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</si>
  <si>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</si>
  <si>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</si>
  <si>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</si>
  <si>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</si>
  <si>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</si>
  <si>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</si>
  <si>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</si>
  <si>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</si>
  <si>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</si>
  <si>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</si>
  <si>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</si>
  <si>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</si>
  <si>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</si>
  <si>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</si>
  <si>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</si>
  <si>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</si>
  <si>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</si>
  <si>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</si>
  <si>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</si>
  <si>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</si>
  <si>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</si>
  <si>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</si>
  <si>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</si>
  <si>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</si>
  <si>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</si>
  <si>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</si>
  <si>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</si>
  <si>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</si>
  <si>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</si>
  <si>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</si>
  <si>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</si>
  <si>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</si>
  <si>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</si>
  <si>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</si>
  <si>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</si>
  <si>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</si>
  <si>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</si>
  <si>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</si>
  <si>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</si>
  <si>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</si>
  <si>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</si>
  <si>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</si>
  <si>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</si>
  <si>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</si>
  <si>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</si>
  <si>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</si>
  <si>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</si>
  <si>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</si>
  <si>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</si>
  <si>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</si>
  <si>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</si>
  <si>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</si>
  <si>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</si>
  <si>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</si>
  <si>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</si>
  <si>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</si>
  <si>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</si>
  <si>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</si>
  <si>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</si>
  <si>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</si>
  <si>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</si>
  <si>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</si>
  <si>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</si>
  <si>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</si>
  <si>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</si>
  <si>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</si>
  <si>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</si>
  <si>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</si>
  <si>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</si>
  <si>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</si>
  <si>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</si>
  <si>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</si>
  <si>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</si>
  <si>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</si>
  <si>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</si>
  <si>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</si>
  <si>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</si>
  <si>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</si>
  <si>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</si>
  <si>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</si>
  <si>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</si>
  <si>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</si>
  <si>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</si>
  <si>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</si>
  <si>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</si>
  <si>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</si>
  <si>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</si>
  <si>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</si>
  <si>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</si>
  <si>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</si>
  <si>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</si>
  <si>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</si>
  <si>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</si>
  <si>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</si>
  <si>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</si>
  <si>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</si>
  <si>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</si>
  <si>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</si>
  <si>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</si>
  <si>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</si>
  <si>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</si>
  <si>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</si>
  <si>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</si>
  <si>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</si>
  <si>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</si>
  <si>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</si>
  <si>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</si>
  <si>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</si>
  <si>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</si>
  <si>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</si>
  <si>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</si>
  <si>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</si>
  <si>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</si>
  <si>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</si>
  <si>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</si>
  <si>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</si>
  <si>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</si>
  <si>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</si>
  <si>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</si>
  <si>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</si>
  <si>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</si>
  <si>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</si>
  <si>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</si>
  <si>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</si>
  <si>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</si>
  <si>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</si>
  <si>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</si>
  <si>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</si>
  <si>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</si>
  <si>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</si>
  <si>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</si>
  <si>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</si>
  <si>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</si>
  <si>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</si>
  <si>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</si>
  <si>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</si>
  <si>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</si>
  <si>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</si>
  <si>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</si>
  <si>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</si>
  <si>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</si>
  <si>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</si>
  <si>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</si>
  <si>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</si>
  <si>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</si>
  <si>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</si>
  <si>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</si>
  <si>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</si>
  <si>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</si>
  <si>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</si>
  <si>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</si>
  <si>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</si>
  <si>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</si>
  <si>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</si>
  <si>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</si>
  <si>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</si>
  <si>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</si>
  <si>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</si>
  <si>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</si>
  <si>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</si>
  <si>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</si>
  <si>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</si>
  <si>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</si>
  <si>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</si>
  <si>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</si>
  <si>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</si>
  <si>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</si>
  <si>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</si>
  <si>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</si>
  <si>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</si>
  <si>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</si>
  <si>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</si>
  <si>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</si>
  <si>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</si>
  <si>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</si>
  <si>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</si>
  <si>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</si>
  <si>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</si>
  <si>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>Address: Pepsi Road</t>
  </si>
  <si>
    <t>Askari Store</t>
  </si>
  <si>
    <t xml:space="preserve">Classic Mart </t>
  </si>
  <si>
    <t>Cantt Store</t>
  </si>
  <si>
    <t xml:space="preserve">Bin Dawood Mart </t>
  </si>
  <si>
    <t>Food Rite Super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</si>
</sst>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46301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Askari Store</v>
      </c>
      <c r="T3" s="301">
        <f>+'1'!P35</f>
        <v>1359.0309497033895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Classic Mart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Cantt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Bin Dawood Mart </v>
      </c>
      <c r="T6" s="301">
        <f>+'4'!P35</f>
        <v>1568.1057925423729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</v>
      </c>
      <c r="I7" s="235">
        <f>(G7*D7)*F7+H7*F7</f>
        <v>419.7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33.576000000000001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14.689500000000001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371.43449999999996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79.322033898305051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2.2537826694915251</v>
      </c>
      <c r="P7" s="310">
        <f>M7+N7+O7</f>
        <v>453.01031656779651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Food Rite Super Store</v>
      </c>
      <c r="T7" s="301">
        <f>+'5'!P35</f>
        <v>5401.2631679237275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28</v>
      </c>
      <c r="I8" s="236">
        <f t="shared" ref="I8:I14" si="0">(G8*D8)*F8+H8*F8</f>
        <v>1468.95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117.51599999999999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51.413250000000005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1300.0207500000001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277.62711864406765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7.8882393432203379</v>
      </c>
      <c r="P8" s="311">
        <f t="shared" ref="P8:P15" si="2">M8+N8+O8</f>
        <v>1585.5361079872882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28</v>
      </c>
      <c r="I9" s="236">
        <f t="shared" si="0"/>
        <v>1468.95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117.51599999999999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51.413250000000005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1300.0207500000001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277.62711864406765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7.8882393432203379</v>
      </c>
      <c r="P9" s="311">
        <f t="shared" si="2"/>
        <v>1585.5361079872882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25</v>
      </c>
      <c r="I10" s="236">
        <f t="shared" si="0"/>
        <v>1816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145.28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63.56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1607.16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343.22033898305085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9.7519016949152544</v>
      </c>
      <c r="P10" s="311">
        <f t="shared" si="2"/>
        <v>1960.1322406779661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55</v>
      </c>
      <c r="I11" s="236">
        <f t="shared" si="0"/>
        <v>3995.2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319.61599999999999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139.83200000000002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3535.752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755.08474576271192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21.454183728813561</v>
      </c>
      <c r="P11" s="311">
        <f t="shared" si="2"/>
        <v>4312.2909294915253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60</v>
      </c>
      <c r="I12" s="236">
        <f t="shared" si="0"/>
        <v>4358.3999999999996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152.54400000000001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3857.1839999999997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823.72881355932202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23.40456406779661</v>
      </c>
      <c r="P12" s="311">
        <f t="shared" si="2"/>
        <v>4704.3173776271187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5.0999999999999996</v>
      </c>
      <c r="H16" s="113">
        <f t="shared" ref="H16:M16" si="3">SUM(H7:H15)</f>
        <v>204</v>
      </c>
      <c r="I16" s="114">
        <f t="shared" si="3"/>
        <v>13527.199999999999</v>
      </c>
      <c r="J16" s="274">
        <f>SUM(J7:J15)</f>
        <v>1082.1759999999999</v>
      </c>
      <c r="K16" s="275">
        <f t="shared" si="3"/>
        <v>473.452</v>
      </c>
      <c r="L16" s="276">
        <f t="shared" si="3"/>
        <v>0</v>
      </c>
      <c r="M16" s="232">
        <f t="shared" si="3"/>
        <v>11971.572</v>
      </c>
      <c r="N16" s="233">
        <f>SUM(N7:N15)</f>
        <v>2556.6101694915251</v>
      </c>
      <c r="O16" s="101">
        <f>SUM(O7:O15)</f>
        <v>72.640910847457633</v>
      </c>
      <c r="P16" s="113">
        <f>SUM(P7:P15)</f>
        <v>14600.823080338982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13527.199999999999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1082.1759999999999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473.452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11971.572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2556.6101694915251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14528.182169491525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72.640910847457633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14600.823080338983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14600.823080338982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</v>
      </c>
      <c r="I16" s="235">
        <f>(G16*D16)*F16+H16*F16</f>
        <v>419.7</v>
      </c>
      <c r="J16" s="271">
        <f>$I16*S16</f>
        <v>33.576000000000001</v>
      </c>
      <c r="K16" s="127">
        <f>$I16*T16</f>
        <v>14.689500000000001</v>
      </c>
      <c r="L16" s="118">
        <f>$I16*U16</f>
        <v>0</v>
      </c>
      <c r="M16" s="229">
        <f>I16-SUM(J16:L16)</f>
        <v>371.43449999999996</v>
      </c>
      <c r="N16" s="248">
        <f>+(G16*D16+H16)*V16</f>
        <v>79.322033898305051</v>
      </c>
      <c r="O16" s="238">
        <f>(N16+M16)*$O$15</f>
        <v>2.2537826694915251</v>
      </c>
      <c r="P16" s="118">
        <f>M16+N16+O16</f>
        <v>453.01031656779651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</v>
      </c>
      <c r="I17" s="236">
        <f t="shared" ref="I17:I23" si="0">(G17*D17)*F17+H17*F17</f>
        <v>419.7</v>
      </c>
      <c r="J17" s="272">
        <f t="shared" ref="J17:L24" si="1">$I17*S17</f>
        <v>33.576000000000001</v>
      </c>
      <c r="K17" s="128">
        <f>$I17*T17</f>
        <v>14.689500000000001</v>
      </c>
      <c r="L17" s="119">
        <f>$I17*U17</f>
        <v>0</v>
      </c>
      <c r="M17" s="230">
        <f t="shared" ref="M17:M24" si="2">I17-SUM(J17:L17)</f>
        <v>371.43449999999996</v>
      </c>
      <c r="N17" s="277">
        <f t="shared" ref="N17:N24" si="3">+(G17*D17+H17)*V17</f>
        <v>79.322033898305051</v>
      </c>
      <c r="O17" s="239">
        <f t="shared" ref="O17:O24" si="4">(N17+M17)*$O$15</f>
        <v>2.2537826694915251</v>
      </c>
      <c r="P17" s="119">
        <f t="shared" ref="P17:P24" si="5">M17+N17+O17</f>
        <v>453.01031656779651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</v>
      </c>
      <c r="I18" s="236">
        <f t="shared" ref="I18:I21" si="7">(G18*D18)*F18+H18*F18</f>
        <v>419.7</v>
      </c>
      <c r="J18" s="272">
        <f t="shared" si="1"/>
        <v>33.576000000000001</v>
      </c>
      <c r="K18" s="128">
        <f t="shared" si="1"/>
        <v>14.689500000000001</v>
      </c>
      <c r="L18" s="119">
        <f t="shared" si="1"/>
        <v>0</v>
      </c>
      <c r="M18" s="230">
        <f t="shared" si="2"/>
        <v>371.43449999999996</v>
      </c>
      <c r="N18" s="277">
        <f t="shared" si="3"/>
        <v>79.322033898305051</v>
      </c>
      <c r="O18" s="239">
        <f t="shared" si="4"/>
        <v>2.2537826694915251</v>
      </c>
      <c r="P18" s="119">
        <f t="shared" si="5"/>
        <v>453.01031656779651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1259.0999999999999</v>
      </c>
      <c r="J25" s="274">
        <f>SUM(J16:J24)</f>
        <v>100.72800000000001</v>
      </c>
      <c r="K25" s="275">
        <f t="shared" si="10"/>
        <v>44.0685</v>
      </c>
      <c r="L25" s="276">
        <f t="shared" si="10"/>
        <v>0</v>
      </c>
      <c r="M25" s="232">
        <f t="shared" si="10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1259.0999999999999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100.72800000000001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44.0685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1114.3034999999998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1352.2696016949149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74" t="s">
        <v>88</v>
      </c>
      <c r="O35" s="375"/>
      <c r="P35" s="297">
        <f>+P33+P34</f>
        <v>1359.0309497033895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5004.0999999999995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5004.0999999999995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4428.6284999999989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5374.3912118644057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26.871956059322031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46301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2026-10-06T12:41:43Z</dcterms:modified>
</cp:coreProperties>
</file>