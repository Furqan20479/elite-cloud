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27CEAB1-801F-429F-B8C3-DF98FA39B88C}" xr6:coauthVersionLast="47" xr6:coauthVersionMax="47" xr10:uidLastSave="{00000000-0000-0000-0000-000000000000}"/>
  <bookViews>
    <workbookView xWindow="-110" yWindow="-110" windowWidth="19420" windowHeight="10420" tabRatio="878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S25" i="62" l="1"/>
  <c r="S18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1" i="72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1" i="7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1" i="70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1" i="69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1" i="68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1" i="67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1" i="66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1" i="65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1" i="64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1" i="63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1" i="6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1" i="60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1" i="59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1" i="58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1" i="57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1" i="56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1" i="55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1" i="54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1" i="53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1" i="52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1" i="5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1" i="50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1" i="49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1" i="48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1" i="47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1" i="46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1" i="45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1" i="44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1" i="43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48" l="1"/>
  <c r="N16" i="63"/>
  <c r="N16" i="44"/>
  <c r="N16" i="53"/>
  <c r="N24" i="50"/>
  <c r="N16" i="59"/>
  <c r="N24" i="48"/>
  <c r="N16" i="56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O13" i="41" s="1"/>
  <c r="P13" i="41" s="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O9" i="41" s="1"/>
  <c r="P9" i="41" s="1"/>
  <c r="L11" i="41"/>
  <c r="M12" i="41"/>
  <c r="N13" i="4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O34" i="41" s="1"/>
  <c r="P34" i="41" s="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7" i="41"/>
  <c r="P47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9" i="11" l="1"/>
  <c r="N10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K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51" l="1"/>
  <c r="M24" i="56"/>
  <c r="O24" i="56" s="1"/>
  <c r="P24" i="56" s="1"/>
  <c r="M24" i="46"/>
  <c r="O24" i="46" s="1"/>
  <c r="P24" i="46" s="1"/>
  <c r="M24" i="43"/>
  <c r="O24" i="43" s="1"/>
  <c r="P24" i="43" s="1"/>
  <c r="M24" i="48"/>
  <c r="O24" i="48" s="1"/>
  <c r="P24" i="48" s="1"/>
  <c r="M24" i="72"/>
  <c r="M24" i="66"/>
  <c r="O24" i="66" s="1"/>
  <c r="P24" i="66" s="1"/>
  <c r="M24" i="71"/>
  <c r="O24" i="71" s="1"/>
  <c r="M24" i="63"/>
  <c r="O24" i="63" s="1"/>
  <c r="P24" i="63" s="1"/>
  <c r="M23" i="69"/>
  <c r="M18" i="48"/>
  <c r="O18" i="48" s="1"/>
  <c r="P18" i="48" s="1"/>
  <c r="J15" i="62"/>
  <c r="M24" i="47"/>
  <c r="O24" i="47" s="1"/>
  <c r="P24" i="47" s="1"/>
  <c r="L17" i="16"/>
  <c r="L23" i="16"/>
  <c r="M24" i="65"/>
  <c r="O24" i="65" s="1"/>
  <c r="P24" i="65" s="1"/>
  <c r="M24" i="50"/>
  <c r="O24" i="50" s="1"/>
  <c r="P24" i="50" s="1"/>
  <c r="L21" i="16"/>
  <c r="L20" i="16"/>
  <c r="M20" i="16" s="1"/>
  <c r="N20" i="16" s="1"/>
  <c r="O20" i="16" s="1"/>
  <c r="M24" i="58"/>
  <c r="M24" i="45"/>
  <c r="O24" i="45" s="1"/>
  <c r="P24" i="45" s="1"/>
  <c r="M22" i="70"/>
  <c r="M23" i="48"/>
  <c r="M20" i="57"/>
  <c r="O20" i="57" s="1"/>
  <c r="P20" i="57" s="1"/>
  <c r="R20" i="57" s="1"/>
  <c r="M24" i="53"/>
  <c r="O24" i="53" s="1"/>
  <c r="P24" i="53" s="1"/>
  <c r="M24" i="44"/>
  <c r="O24" i="44" s="1"/>
  <c r="P24" i="44" s="1"/>
  <c r="K15" i="62"/>
  <c r="M16" i="72"/>
  <c r="O16" i="72" s="1"/>
  <c r="P16" i="72" s="1"/>
  <c r="M23" i="66"/>
  <c r="O23" i="66" s="1"/>
  <c r="P23" i="66" s="1"/>
  <c r="M23" i="54"/>
  <c r="O23" i="54" s="1"/>
  <c r="P23" i="54" s="1"/>
  <c r="M23" i="49"/>
  <c r="O23" i="49" s="1"/>
  <c r="P23" i="49" s="1"/>
  <c r="M22" i="67"/>
  <c r="O22" i="67" s="1"/>
  <c r="P22" i="67" s="1"/>
  <c r="J25" i="61"/>
  <c r="P29" i="61" s="1"/>
  <c r="M16" i="43"/>
  <c r="M20" i="46"/>
  <c r="O20" i="46" s="1"/>
  <c r="P20" i="46" s="1"/>
  <c r="R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O22" i="43" s="1"/>
  <c r="P22" i="43" s="1"/>
  <c r="M23" i="56"/>
  <c r="O23" i="56" s="1"/>
  <c r="P23" i="56" s="1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O23" i="60" s="1"/>
  <c r="P23" i="60" s="1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3" i="72"/>
  <c r="O23" i="72" s="1"/>
  <c r="P23" i="72" s="1"/>
  <c r="M23" i="64"/>
  <c r="O23" i="64" s="1"/>
  <c r="P23" i="64" s="1"/>
  <c r="M23" i="59"/>
  <c r="O23" i="59" s="1"/>
  <c r="P23" i="59" s="1"/>
  <c r="M23" i="44"/>
  <c r="O23" i="44" s="1"/>
  <c r="P23" i="44" s="1"/>
  <c r="M16" i="66"/>
  <c r="O16" i="66" s="1"/>
  <c r="M16" i="44"/>
  <c r="O16" i="44" s="1"/>
  <c r="M20" i="70"/>
  <c r="O20" i="70" s="1"/>
  <c r="P20" i="70" s="1"/>
  <c r="R20" i="70" s="1"/>
  <c r="M23" i="65"/>
  <c r="M21" i="51"/>
  <c r="O21" i="51" s="1"/>
  <c r="P21" i="51" s="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O16" i="52" s="1"/>
  <c r="P16" i="52" s="1"/>
  <c r="M21" i="44"/>
  <c r="O21" i="44" s="1"/>
  <c r="P21" i="44" s="1"/>
  <c r="M17" i="60"/>
  <c r="O17" i="60" s="1"/>
  <c r="P17" i="60" s="1"/>
  <c r="M21" i="53"/>
  <c r="O21" i="53" s="1"/>
  <c r="P21" i="53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9"/>
  <c r="P23" i="69" s="1"/>
  <c r="O22" i="51"/>
  <c r="P22" i="51" s="1"/>
  <c r="O16" i="64"/>
  <c r="P16" i="64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16" i="65"/>
  <c r="L25" i="65"/>
  <c r="J25" i="44"/>
  <c r="P29" i="44" s="1"/>
  <c r="L25" i="57"/>
  <c r="K25" i="52"/>
  <c r="J25" i="54"/>
  <c r="P29" i="54" s="1"/>
  <c r="O22" i="70"/>
  <c r="P22" i="70" s="1"/>
  <c r="K11" i="62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4" i="71" l="1"/>
  <c r="N24" i="16"/>
  <c r="O24" i="16" s="1"/>
  <c r="P21" i="50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8" i="16"/>
  <c r="O25" i="55"/>
  <c r="O15" i="62"/>
  <c r="P15" i="62" s="1"/>
  <c r="O25" i="64"/>
  <c r="P23" i="55"/>
  <c r="P25" i="55" s="1"/>
  <c r="P12" i="62"/>
  <c r="O25" i="48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P17" i="5" s="1"/>
  <c r="M14" i="62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<sst xmlns="http://schemas.openxmlformats.org/spreadsheetml/2006/main" count="3949" uniqueCount="548">
  <si>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</si>
  <si>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</si>
  <si>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</si>
  <si>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</si>
  <si>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</si>
  <si>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</si>
  <si>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</si>
  <si>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</si>
  <si>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</si>
  <si>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</si>
  <si>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</si>
  <si>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</si>
  <si>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</si>
  <si>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</si>
  <si>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</si>
  <si>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</si>
  <si>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</si>
  <si>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</si>
  <si>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</si>
  <si>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</si>
  <si>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</si>
  <si>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</si>
  <si>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</si>
  <si>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</si>
  <si>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</si>
  <si>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</si>
  <si>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</si>
  <si>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</si>
  <si>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</si>
  <si>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</si>
  <si>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</si>
  <si>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</si>
  <si>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</si>
  <si>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</si>
  <si>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</si>
  <si>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</si>
  <si>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</si>
  <si>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</si>
  <si>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</si>
  <si>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</si>
  <si>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</si>
  <si>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</si>
  <si>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</si>
  <si>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</si>
  <si>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</si>
  <si>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</si>
  <si>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</si>
  <si>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</si>
  <si>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</si>
  <si>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</si>
  <si>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</si>
  <si>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</si>
  <si>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</si>
  <si>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</si>
  <si>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</si>
  <si>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</si>
  <si>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</si>
  <si>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</si>
  <si>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</si>
  <si>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</si>
  <si>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</si>
  <si>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</si>
  <si>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</si>
  <si>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</si>
  <si>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</si>
  <si>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</si>
  <si>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</si>
  <si>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</si>
  <si>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</si>
  <si>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</si>
  <si>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</si>
  <si>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</si>
  <si>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</si>
  <si>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</si>
  <si>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</si>
  <si>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</si>
  <si>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</si>
  <si>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</si>
  <si>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</si>
  <si>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</si>
  <si>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</si>
  <si>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</si>
  <si>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</si>
  <si>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</si>
  <si>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</si>
  <si>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</si>
  <si>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</si>
  <si>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</si>
  <si>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</si>
  <si>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</si>
  <si>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</si>
  <si>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</si>
  <si>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</si>
  <si>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</si>
  <si>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</si>
  <si>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</si>
  <si>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</si>
  <si>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</si>
  <si>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</si>
  <si>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</si>
  <si>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</si>
  <si>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</si>
  <si>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</si>
  <si>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</si>
  <si>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</si>
  <si>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</si>
  <si>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</si>
  <si>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</si>
  <si>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</si>
  <si>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</si>
  <si>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</si>
  <si>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</si>
  <si>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</si>
  <si>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</si>
  <si>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</si>
  <si>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</si>
  <si>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</si>
  <si>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</si>
  <si>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</si>
  <si>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</si>
  <si>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</si>
  <si>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</si>
  <si>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</si>
  <si>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</si>
  <si>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</si>
  <si>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</si>
  <si>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</si>
  <si>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</si>
  <si>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</si>
  <si>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</si>
  <si>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</si>
  <si>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</si>
  <si>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</si>
  <si>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</si>
  <si>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</si>
  <si>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</si>
  <si>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</si>
  <si>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</si>
  <si>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</si>
  <si>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</si>
  <si>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</si>
  <si>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</si>
  <si>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</si>
  <si>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</si>
  <si>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</si>
  <si>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</si>
  <si>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</si>
  <si>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</si>
  <si>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</si>
  <si>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</si>
  <si>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</si>
  <si>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</si>
  <si>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</si>
  <si>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</si>
  <si>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</si>
  <si>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</si>
  <si>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</si>
  <si>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</si>
  <si>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</si>
  <si>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</si>
  <si>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</si>
  <si>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</si>
  <si>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</si>
  <si>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</si>
  <si>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</si>
  <si>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</si>
  <si>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</si>
  <si>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</si>
  <si>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</si>
  <si>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</si>
  <si>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</si>
  <si>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</si>
  <si>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</si>
  <si>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</si>
  <si>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</si>
  <si>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</si>
  <si>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</si>
  <si>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</si>
  <si>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</si>
  <si>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</si>
  <si>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</si>
  <si>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</si>
  <si>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</si>
  <si>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</si>
  <si>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</si>
  <si>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</si>
  <si>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</si>
  <si>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</si>
  <si>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</si>
  <si>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</si>
  <si>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</si>
  <si>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</si>
  <si>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</si>
  <si>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</si>
  <si>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</si>
  <si>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</si>
  <si>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</si>
  <si>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</si>
  <si>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</si>
  <si>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</si>
  <si>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</si>
  <si>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</si>
  <si>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</si>
  <si>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</si>
  <si>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</si>
  <si>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</si>
  <si>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</si>
  <si>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</si>
  <si>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</si>
  <si>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</si>
  <si>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</si>
  <si>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</si>
  <si>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</si>
  <si>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</si>
  <si>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</si>
  <si>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</si>
  <si>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</si>
  <si>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</si>
  <si>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</si>
  <si>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</si>
  <si>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</si>
  <si>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</si>
  <si>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</si>
  <si>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</si>
  <si>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</si>
  <si>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</si>
  <si>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</si>
  <si>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</si>
  <si>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</si>
  <si>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</si>
  <si>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</si>
  <si>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</si>
  <si>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</si>
  <si>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</si>
  <si>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</si>
  <si>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</si>
  <si>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</si>
  <si>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</si>
  <si>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</si>
  <si>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</si>
  <si>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</si>
  <si>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</si>
  <si>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</si>
  <si>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</si>
  <si>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</si>
  <si>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</si>
  <si>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</si>
  <si>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</si>
  <si>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</si>
  <si>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</si>
  <si>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</si>
  <si>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</si>
  <si>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</si>
  <si>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</si>
  <si>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</si>
  <si>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</si>
  <si>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</si>
  <si>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</si>
  <si>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</si>
  <si>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</si>
  <si>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</si>
  <si>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</si>
  <si>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</si>
  <si>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</si>
  <si>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</si>
  <si>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</si>
  <si>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</si>
  <si>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</si>
  <si>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</si>
  <si>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</si>
  <si>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</si>
  <si>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</si>
  <si>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</si>
  <si>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</si>
  <si>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</si>
  <si>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</si>
  <si>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</si>
  <si>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</si>
  <si>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</si>
  <si>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</si>
  <si>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</si>
  <si>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</si>
  <si>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</si>
  <si>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</si>
  <si>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</si>
  <si>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</si>
  <si>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</si>
  <si>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</si>
  <si>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</si>
  <si>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</si>
  <si>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</si>
  <si>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</si>
  <si>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</si>
  <si>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</si>
  <si>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</si>
  <si>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</si>
  <si>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</si>
  <si>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</si>
  <si>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</si>
  <si>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</si>
  <si>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</si>
  <si>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</si>
  <si>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</si>
  <si>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</si>
  <si>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</si>
  <si>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</si>
  <si>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</si>
  <si>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</si>
  <si>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</si>
  <si>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</si>
  <si>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</si>
  <si>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</si>
  <si>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</si>
  <si>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</si>
  <si>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</si>
  <si>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</si>
  <si>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</si>
  <si>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</si>
  <si>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</si>
  <si>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</si>
  <si>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</si>
  <si>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</si>
  <si>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</si>
  <si>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</si>
  <si>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</si>
  <si>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</si>
  <si>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</si>
  <si>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</si>
  <si>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</si>
  <si>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</si>
  <si>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</si>
  <si>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</si>
  <si>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</si>
  <si>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</si>
  <si>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</si>
  <si>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</si>
  <si>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</si>
  <si>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</si>
  <si>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</si>
  <si>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</si>
  <si>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</si>
  <si>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</si>
  <si>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</si>
  <si>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</si>
  <si>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</si>
  <si>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</si>
  <si>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</si>
  <si>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</si>
  <si>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</si>
  <si>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</si>
  <si>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</si>
  <si>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</si>
  <si>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</si>
  <si>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</si>
  <si>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</si>
  <si>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</si>
  <si>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</si>
  <si>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</si>
  <si>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</si>
  <si>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</si>
  <si>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</si>
  <si>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</si>
  <si>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</si>
  <si>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</si>
  <si>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</si>
  <si>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</si>
  <si>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</si>
  <si>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</si>
  <si>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</si>
  <si>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</si>
  <si>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</si>
  <si>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</si>
  <si>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</si>
  <si>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</si>
  <si>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</si>
  <si>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</si>
  <si>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</si>
  <si>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</si>
  <si>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</si>
  <si>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</si>
  <si>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</si>
  <si>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</si>
  <si>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</si>
  <si>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</si>
  <si>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</si>
  <si>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</si>
  <si>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</si>
  <si>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</si>
  <si>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</si>
  <si>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</si>
  <si>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</si>
  <si>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</si>
  <si>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</si>
  <si>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</si>
  <si>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</si>
  <si>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</si>
  <si>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</si>
  <si>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</si>
  <si>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</si>
  <si>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</si>
  <si>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</si>
  <si>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</si>
  <si>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</si>
  <si>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</si>
  <si>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</si>
  <si>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</si>
  <si>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</si>
  <si>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</si>
  <si>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</si>
  <si>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</si>
  <si>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</si>
  <si>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</si>
  <si>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</si>
  <si>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</si>
  <si>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</si>
  <si>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</si>
  <si>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</si>
  <si>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</si>
  <si>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</si>
  <si>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</si>
  <si>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</si>
  <si>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</si>
  <si>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</si>
  <si>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</si>
  <si>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</si>
  <si>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</si>
  <si>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</si>
  <si>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</si>
  <si>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</si>
  <si>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</si>
  <si>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</si>
  <si>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</si>
  <si>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</si>
  <si>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</si>
  <si>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</si>
  <si>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</si>
  <si>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</si>
  <si>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</si>
  <si>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</si>
  <si>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</si>
  <si>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</si>
  <si>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</si>
  <si>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</si>
  <si>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</si>
  <si>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</si>
  <si>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</si>
  <si>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</si>
  <si>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</si>
  <si>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</si>
  <si>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</si>
  <si>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</si>
  <si>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</si>
  <si>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</si>
  <si>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</si>
  <si>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</si>
  <si>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</si>
  <si>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</si>
  <si>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</si>
  <si>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</si>
  <si>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</si>
  <si>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</si>
  <si>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</si>
  <si>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</si>
  <si>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</si>
  <si>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</si>
  <si>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</si>
  <si>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</si>
  <si>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</si>
  <si>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</si>
  <si>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</si>
  <si>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</si>
  <si>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</si>
  <si>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</si>
  <si>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</si>
  <si>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</si>
  <si>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</si>
  <si>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</si>
  <si>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</si>
  <si>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</si>
  <si>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</si>
  <si>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</si>
  <si>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</si>
  <si>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</si>
  <si>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</si>
  <si>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</si>
  <si>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</si>
  <si>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</si>
  <si>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</si>
  <si>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</si>
  <si>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</si>
  <si>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</si>
  <si>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</si>
  <si>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</si>
  <si>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</si>
  <si>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</si>
  <si>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</si>
  <si>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</si>
  <si>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</si>
  <si>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</si>
  <si>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</si>
  <si>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</si>
  <si>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</si>
  <si>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</si>
  <si>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</si>
  <si>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</si>
  <si>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</si>
  <si>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</si>
  <si>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</si>
  <si>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</si>
  <si>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</si>
  <si>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</si>
  <si>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</si>
  <si>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</si>
  <si>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</si>
  <si>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Invoice No # :10012</t>
  </si>
  <si>
    <t xml:space="preserve">Shakoor Husain </t>
  </si>
  <si>
    <t xml:space="preserve"> </t>
  </si>
  <si>
    <t>Invoice No # :0001</t>
  </si>
  <si>
    <t xml:space="preserve">Gourmet Food Dharoghewala </t>
  </si>
  <si>
    <t>Gourmet Food Riwind Road</t>
  </si>
  <si>
    <t xml:space="preserve">Gourmet Food  Chung </t>
  </si>
  <si>
    <t>Gourmet Food Moter Way</t>
  </si>
  <si>
    <t>Gourmet Food K Block DHA</t>
  </si>
  <si>
    <t xml:space="preserve">Gourmet Food Lal Pull </t>
  </si>
  <si>
    <t xml:space="preserve">Gourmet Food Shadbagh </t>
  </si>
  <si>
    <t xml:space="preserve">Gourmet Food Railway Plaza </t>
  </si>
  <si>
    <t xml:space="preserve">Gourmet Food Rustam Park </t>
  </si>
  <si>
    <t>Gourmet Food Awan Market Ferozpur Road</t>
  </si>
  <si>
    <t xml:space="preserve">Gourmet Food Tajbagh </t>
  </si>
  <si>
    <t>Gourmet Food Zaraar Shaheed Road</t>
  </si>
  <si>
    <t>Gourmet Food Bedian Road</t>
  </si>
  <si>
    <t xml:space="preserve">Gourmet Food Ismail Nager </t>
  </si>
  <si>
    <t>Gourmet Food Begum Road</t>
  </si>
  <si>
    <t xml:space="preserve">Gourmet Food Kanah </t>
  </si>
  <si>
    <t xml:space="preserve">Gourmet Food Kot Abdul Malik </t>
  </si>
  <si>
    <t xml:space="preserve">Gourmet Food Shadra Town </t>
  </si>
  <si>
    <t>Gourmet Food Bilal Ganjh</t>
  </si>
  <si>
    <t xml:space="preserve">Gourmet Food Kot Khuaja Saeed </t>
  </si>
  <si>
    <t xml:space="preserve">Gourmet Food Killa Lakshman singh </t>
  </si>
  <si>
    <t>Gourmet Food Imamia Colony</t>
  </si>
  <si>
    <t xml:space="preserve">Gourmet Food Badami bagh </t>
  </si>
  <si>
    <t>Gourmet Food Baghban pura</t>
  </si>
  <si>
    <t>Gourmet Food Nadra Abad</t>
  </si>
  <si>
    <t>Gourmet Food Ghazi Road</t>
  </si>
  <si>
    <t>Gourmet Food FF DHA</t>
  </si>
  <si>
    <t>Gourmet Food Sultanpura</t>
  </si>
  <si>
    <t>Gourmet Food Militery Account</t>
  </si>
  <si>
    <t>Gourmet Food Nishat Colony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</si>
</sst>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opLeftCell="A22" workbookViewId="0">
      <selection activeCell="S22" sqref="S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.36328125" bestFit="1" customWidth="1"/>
    <col min="8" max="8" width="5.453125" customWidth="1"/>
    <col min="9" max="9" width="17.08984375" customWidth="1"/>
    <col min="10" max="10" width="7.3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 t="s">
        <v>513</v>
      </c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v>46300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17" t="str">
        <f>+'1'!A6:A6</f>
        <v>Gourmet Food K Block DHA</v>
      </c>
      <c r="T3" s="300">
        <f>+'1'!P35</f>
        <v>15223.111006271187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413" t="str">
        <f>+'2'!A6:A6</f>
        <v xml:space="preserve">Gourmet Food Lal Pull </v>
      </c>
      <c r="T4" s="300">
        <f>+'2'!P35</f>
        <v>9330.3044761016936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3" t="s">
        <v>507</v>
      </c>
      <c r="R5" s="318">
        <v>3</v>
      </c>
      <c r="S5" s="317" t="str">
        <f>+'3'!A6:A6</f>
        <v xml:space="preserve">Gourmet Food Shadbagh </v>
      </c>
      <c r="T5" s="300">
        <f>+'3'!P35</f>
        <v>10148.740670847459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3" t="s">
        <v>506</v>
      </c>
      <c r="R6" s="318">
        <v>4</v>
      </c>
      <c r="S6" s="317" t="str">
        <f>+'4'!A6:A6</f>
        <v xml:space="preserve">Gourmet Food Railway Plaza </v>
      </c>
      <c r="T6" s="300">
        <f>+'4'!P35</f>
        <v>5074.3703354237296</v>
      </c>
      <c r="XEX6" t="s">
        <v>72</v>
      </c>
    </row>
    <row r="7" spans="1:20 16377:16378" ht="21.75" customHeight="1" x14ac:dyDescent="0.35">
      <c r="A7" s="104" t="s">
        <v>453</v>
      </c>
      <c r="B7" s="305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360</v>
      </c>
      <c r="I7" s="235">
        <f>(G7*D7)*F7+H7*F7</f>
        <v>18886.5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3399.5699999999997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15486.93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3569.4915254237267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95.282107627118634</v>
      </c>
      <c r="P7" s="309">
        <f>M7+N7+O7</f>
        <v>19151.703633050845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8">
        <v>5</v>
      </c>
      <c r="S7" s="317" t="str">
        <f>+'5'!A6:A6</f>
        <v xml:space="preserve">Gourmet Food Rustam Park </v>
      </c>
      <c r="T7" s="300">
        <f>+'5'!P35</f>
        <v>5892.8065301694915</v>
      </c>
      <c r="XEX7" t="s">
        <v>107</v>
      </c>
    </row>
    <row r="8" spans="1:20 16377:16378" ht="21.75" customHeight="1" x14ac:dyDescent="0.35">
      <c r="A8" s="82" t="s">
        <v>455</v>
      </c>
      <c r="B8" s="306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400</v>
      </c>
      <c r="I8" s="236">
        <f t="shared" ref="I8:I14" si="0">(G8*D8)*F8+H8*F8</f>
        <v>20985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3777.2999999999997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17207.7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3966.1016949152518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105.86900847457626</v>
      </c>
      <c r="P8" s="310">
        <f t="shared" ref="P8:P15" si="2">M8+N8+O8</f>
        <v>21279.670703389827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8">
        <v>6</v>
      </c>
      <c r="S8" s="317" t="str">
        <f>+'6'!A6:A6</f>
        <v>Gourmet Food Awan Market Ferozpur Road</v>
      </c>
      <c r="T8" s="300">
        <f>+'6'!P35</f>
        <v>8839.2097952542372</v>
      </c>
      <c r="XEX8" t="s">
        <v>108</v>
      </c>
    </row>
    <row r="9" spans="1:20 16377:16378" ht="21.75" customHeight="1" x14ac:dyDescent="0.35">
      <c r="A9" s="82" t="s">
        <v>457</v>
      </c>
      <c r="B9" s="306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440</v>
      </c>
      <c r="I9" s="236">
        <f t="shared" si="0"/>
        <v>23083.5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4155.03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18928.47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4362.7118644067768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116.45590932203389</v>
      </c>
      <c r="P9" s="310">
        <f t="shared" si="2"/>
        <v>23407.637773728813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8">
        <v>7</v>
      </c>
      <c r="S9" s="413" t="str">
        <f>+'7'!A6:A6</f>
        <v xml:space="preserve">Gourmet Food Tajbagh </v>
      </c>
      <c r="T9" s="300">
        <f>+'7'!P35</f>
        <v>5892.8065301694915</v>
      </c>
    </row>
    <row r="10" spans="1:20 16377:16378" ht="21.75" customHeight="1" x14ac:dyDescent="0.35">
      <c r="A10" s="82" t="s">
        <v>459</v>
      </c>
      <c r="B10" s="306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800</v>
      </c>
      <c r="I10" s="236">
        <f t="shared" si="0"/>
        <v>58112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10460.159999999998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47651.840000000004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10983.050847457631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293.17445423728822</v>
      </c>
      <c r="P10" s="310">
        <f t="shared" si="2"/>
        <v>58928.065301694922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8">
        <v>8</v>
      </c>
      <c r="S10" s="317" t="str">
        <f>+'8'!A6:A6</f>
        <v>Gourmet Food Zaraar Shaheed Road</v>
      </c>
      <c r="T10" s="300">
        <f>+'8'!P35</f>
        <v>8839.2097952542372</v>
      </c>
    </row>
    <row r="11" spans="1:20 16377:16378" ht="21.75" customHeight="1" x14ac:dyDescent="0.35">
      <c r="A11" s="82" t="s">
        <v>461</v>
      </c>
      <c r="B11" s="306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720</v>
      </c>
      <c r="I11" s="236">
        <f t="shared" si="0"/>
        <v>52300.800000000003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9414.1439999999984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42886.656000000003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9884.7457627118674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263.85700881355939</v>
      </c>
      <c r="P11" s="310">
        <f t="shared" si="2"/>
        <v>53035.258771525434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8">
        <v>9</v>
      </c>
      <c r="S11" s="317" t="str">
        <f>+'9'!A6:A6</f>
        <v>Gourmet Food Bedian Road</v>
      </c>
      <c r="T11" s="300">
        <f>+'9'!P35</f>
        <v>13095.143935932207</v>
      </c>
    </row>
    <row r="12" spans="1:20 16377:16378" ht="21.75" customHeight="1" x14ac:dyDescent="0.35">
      <c r="A12" s="82" t="s">
        <v>463</v>
      </c>
      <c r="B12" s="306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960</v>
      </c>
      <c r="I12" s="236">
        <f t="shared" si="0"/>
        <v>69734.399999999994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12552.191999999997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57182.207999999999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13179.661016949158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351.80934508474587</v>
      </c>
      <c r="P12" s="310">
        <f t="shared" si="2"/>
        <v>70713.678362033912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8">
        <v>10</v>
      </c>
      <c r="S12" s="317" t="str">
        <f>+'10'!A6:A6</f>
        <v xml:space="preserve">Gourmet Food Ismail Nager </v>
      </c>
      <c r="T12" s="300">
        <f>+'10'!P35</f>
        <v>8020.7736005084762</v>
      </c>
    </row>
    <row r="13" spans="1:20 16377:16378" ht="21.75" customHeight="1" x14ac:dyDescent="0.35">
      <c r="A13" s="82" t="s">
        <v>465</v>
      </c>
      <c r="B13" s="306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0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8">
        <v>11</v>
      </c>
      <c r="S13" s="317" t="str">
        <f>+'11'!A6:A6</f>
        <v>Gourmet Food Begum Road</v>
      </c>
      <c r="T13" s="300">
        <f>+'11'!P35</f>
        <v>5074.3703354237296</v>
      </c>
    </row>
    <row r="14" spans="1:20 16377:16378" ht="21.75" customHeight="1" x14ac:dyDescent="0.35">
      <c r="A14" s="82" t="s">
        <v>467</v>
      </c>
      <c r="B14" s="306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0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8">
        <v>12</v>
      </c>
      <c r="S14" s="317" t="str">
        <f>+'12'!A6:A6</f>
        <v xml:space="preserve">Gourmet Food Kanah </v>
      </c>
      <c r="T14" s="300">
        <f>+'12'!P35</f>
        <v>13095.143935932207</v>
      </c>
    </row>
    <row r="15" spans="1:20 16377:16378" ht="21.75" customHeight="1" thickBot="1" x14ac:dyDescent="0.4">
      <c r="A15" s="80" t="s">
        <v>469</v>
      </c>
      <c r="B15" s="307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1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8">
        <v>13</v>
      </c>
      <c r="S15" s="317" t="str">
        <f>+'13'!A6:A6</f>
        <v xml:space="preserve">Gourmet Food Kot Abdul Malik </v>
      </c>
      <c r="T15" s="300">
        <f>+'13'!P35</f>
        <v>5892.8065301694915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274">
        <f>H16/40</f>
        <v>92</v>
      </c>
      <c r="H16" s="113">
        <f t="shared" ref="H16:M16" si="3">SUM(H7:H15)</f>
        <v>3680</v>
      </c>
      <c r="I16" s="114">
        <f t="shared" si="3"/>
        <v>243102.19999999998</v>
      </c>
      <c r="J16" s="274">
        <f>SUM(J7:J15)</f>
        <v>43758.395999999993</v>
      </c>
      <c r="K16" s="275">
        <f t="shared" si="3"/>
        <v>0</v>
      </c>
      <c r="L16" s="276">
        <f t="shared" si="3"/>
        <v>0</v>
      </c>
      <c r="M16" s="232">
        <f t="shared" si="3"/>
        <v>199343.804</v>
      </c>
      <c r="N16" s="233">
        <f>SUM(N7:N15)</f>
        <v>45945.762711864416</v>
      </c>
      <c r="O16" s="101">
        <f>SUM(O7:O15)</f>
        <v>1226.4478335593224</v>
      </c>
      <c r="P16" s="113">
        <f>SUM(P7:P15)</f>
        <v>246516.01454542374</v>
      </c>
      <c r="Q16" s="128">
        <f>SUM(Q7:Q15)</f>
        <v>0</v>
      </c>
      <c r="R16" s="318">
        <v>14</v>
      </c>
      <c r="S16" s="317" t="str">
        <f>+'14'!A6:A6</f>
        <v xml:space="preserve">Gourmet Food Shadra Town </v>
      </c>
      <c r="T16" s="300">
        <f>+'14'!P35</f>
        <v>10967.176865593221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17" t="str">
        <f>+'15'!A6:A6</f>
        <v>Gourmet Food Bilal Ganjh</v>
      </c>
      <c r="T17" s="300">
        <f>+'15'!P35</f>
        <v>10967.176865593221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17" t="str">
        <f>+'16'!A6:A6</f>
        <v xml:space="preserve">Gourmet Food Kot Khuaja Saeed </v>
      </c>
      <c r="T18" s="300">
        <f>+'16'!P35</f>
        <v>8839.2097952542372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243102.19999999998</v>
      </c>
      <c r="R19" s="299">
        <v>17</v>
      </c>
      <c r="S19" s="317" t="str">
        <f>+'17'!A6:A6</f>
        <v xml:space="preserve">Gourmet Food Killa Lakshman singh </v>
      </c>
      <c r="T19" s="300">
        <f>+'17'!P35</f>
        <v>12276.707741186441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43758.395999999993</v>
      </c>
      <c r="R20" s="299">
        <v>18</v>
      </c>
      <c r="S20" s="317" t="str">
        <f>+'18'!A6:A6</f>
        <v>Gourmet Food Imamia Colony</v>
      </c>
      <c r="T20" s="300">
        <f>+'18'!P35</f>
        <v>8839.2097952542372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0</v>
      </c>
      <c r="R21" s="299">
        <v>19</v>
      </c>
      <c r="S21" s="317" t="str">
        <f>+'19'!A6:A6</f>
        <v xml:space="preserve">Gourmet Food Badami bagh </v>
      </c>
      <c r="T21" s="300">
        <f>+'19'!P35</f>
        <v>10148.740670847459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199343.804</v>
      </c>
      <c r="R22" s="299">
        <v>20</v>
      </c>
      <c r="S22" s="413" t="str">
        <f>+'20'!A6:A6</f>
        <v>Gourmet Food Baghban pura</v>
      </c>
      <c r="T22" s="300">
        <f>+'20'!P35</f>
        <v>10967.176865593221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45945.762711864416</v>
      </c>
      <c r="R23" s="299">
        <v>21</v>
      </c>
      <c r="S23" s="317" t="str">
        <f>+'21'!A6:A6</f>
        <v>Gourmet Food Nadra Abad</v>
      </c>
      <c r="T23" s="300">
        <f>+'21'!P35</f>
        <v>5892.8065301694915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245289.56671186443</v>
      </c>
      <c r="R24" s="299">
        <v>22</v>
      </c>
      <c r="S24" s="317" t="str">
        <f>+'22'!A6:A6</f>
        <v>Gourmet Food Ghazi Road</v>
      </c>
      <c r="T24" s="300">
        <f>+'22'!P35</f>
        <v>10967.176865593221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1226.4478335593224</v>
      </c>
      <c r="R25" s="299">
        <v>23</v>
      </c>
      <c r="S25" s="317" t="str">
        <f>+'23'!A6:A6</f>
        <v>Gourmet Food FF DHA</v>
      </c>
      <c r="T25" s="300">
        <f>+'23'!P35</f>
        <v>5892.8065301694915</v>
      </c>
    </row>
    <row r="26" spans="1:20" ht="21.75" customHeight="1" thickBot="1" x14ac:dyDescent="0.4">
      <c r="N26" s="372" t="s">
        <v>88</v>
      </c>
      <c r="O26" s="373"/>
      <c r="P26" s="297">
        <f>+P24+P25</f>
        <v>246516.01454542376</v>
      </c>
      <c r="R26" s="299">
        <v>24</v>
      </c>
      <c r="S26" s="317" t="str">
        <f>+'24'!A6:A6</f>
        <v>Gourmet Food Sultanpura</v>
      </c>
      <c r="T26" s="300">
        <f>+'24'!P35</f>
        <v>15223.111006271187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17" t="str">
        <f>+'25'!A6:A6</f>
        <v>Gourmet Food Militery Account</v>
      </c>
      <c r="T27" s="300">
        <f>+'25'!P35</f>
        <v>8020.7736005084762</v>
      </c>
    </row>
    <row r="28" spans="1:20" ht="21.75" customHeight="1" x14ac:dyDescent="0.35">
      <c r="R28" s="299">
        <v>26</v>
      </c>
      <c r="S28" s="317" t="str">
        <f>+'26'!A6:A6</f>
        <v>Gourmet Food Nishat Colony</v>
      </c>
      <c r="T28" s="300">
        <f>+'26'!P35</f>
        <v>13095.143935932207</v>
      </c>
    </row>
    <row r="29" spans="1:20" ht="21.75" customHeight="1" x14ac:dyDescent="0.35">
      <c r="L29">
        <v>0</v>
      </c>
      <c r="R29" s="299">
        <v>27</v>
      </c>
      <c r="S29" s="317" t="str">
        <f>+'27'!A6:A6</f>
        <v xml:space="preserve">Gourmet Food Dharoghewala </v>
      </c>
      <c r="T29" s="300">
        <f>+'27'!P35</f>
        <v>0</v>
      </c>
    </row>
    <row r="30" spans="1:20" ht="21.75" customHeight="1" x14ac:dyDescent="0.35">
      <c r="R30" s="299">
        <v>28</v>
      </c>
      <c r="S30" s="317" t="str">
        <f>+'28'!A6:A6</f>
        <v>Gourmet Food Riwind Road</v>
      </c>
      <c r="T30" s="300">
        <f>+'28'!P35</f>
        <v>0</v>
      </c>
    </row>
    <row r="31" spans="1:20" ht="21.75" customHeight="1" x14ac:dyDescent="0.35">
      <c r="R31" s="299">
        <v>29</v>
      </c>
      <c r="S31" s="317" t="str">
        <f>+'29'!A6:A6</f>
        <v xml:space="preserve">Gourmet Food  Chung </v>
      </c>
      <c r="T31" s="300">
        <f>+'29'!P35</f>
        <v>0</v>
      </c>
    </row>
    <row r="32" spans="1:20" ht="21.75" customHeight="1" x14ac:dyDescent="0.35">
      <c r="R32" s="299">
        <v>30</v>
      </c>
      <c r="S32" s="317" t="str">
        <f>+'30'!A6:A6</f>
        <v>Gourmet Food Moter Way</v>
      </c>
      <c r="T32" s="300">
        <f>+'30'!P35</f>
        <v>0</v>
      </c>
    </row>
    <row r="33" spans="2:20" ht="21.75" customHeight="1" thickBot="1" x14ac:dyDescent="0.6">
      <c r="R33" s="302"/>
      <c r="S33" s="301" t="s">
        <v>496</v>
      </c>
      <c r="T33" s="303">
        <f>SUM(T3:T32)</f>
        <v>246516.01454542374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zoomScaleNormal="100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7.25" customHeight="1" x14ac:dyDescent="0.4">
      <c r="A6" s="398" t="s">
        <v>522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4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ref="I18:I21" si="7">(G18*D18)*F18+H18*F18</f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7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7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7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2702.2139999999995</v>
      </c>
      <c r="K25" s="275">
        <f t="shared" si="10"/>
        <v>0</v>
      </c>
      <c r="L25" s="276">
        <f t="shared" si="10"/>
        <v>0</v>
      </c>
      <c r="M25" s="232">
        <f t="shared" si="10"/>
        <v>12310.086000000001</v>
      </c>
      <c r="N25" s="233">
        <f>SUM(N16:N24)</f>
        <v>2837.2881355932195</v>
      </c>
      <c r="O25" s="101">
        <f>SUM(O16:O24)</f>
        <v>75.736870677966095</v>
      </c>
      <c r="P25" s="113">
        <f>SUM(P16:P24)</f>
        <v>15223.111006271185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15012.300000000001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2702.2139999999995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12310.086000000001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15147.374135593222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75.73687067796611</v>
      </c>
    </row>
    <row r="35" spans="2:16" ht="15.75" customHeight="1" thickBot="1" x14ac:dyDescent="0.4">
      <c r="N35" s="372" t="s">
        <v>88</v>
      </c>
      <c r="O35" s="373"/>
      <c r="P35" s="297">
        <f>+P33+P34</f>
        <v>15223.111006271187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  <c r="F2" t="s">
        <v>516</v>
      </c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523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1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160</v>
      </c>
      <c r="I25" s="114">
        <f t="shared" si="7"/>
        <v>9201.1</v>
      </c>
      <c r="J25" s="274">
        <f>SUM(J16:J24)</f>
        <v>1656.1979999999999</v>
      </c>
      <c r="K25" s="275">
        <f t="shared" si="7"/>
        <v>0</v>
      </c>
      <c r="L25" s="276">
        <f t="shared" si="7"/>
        <v>0</v>
      </c>
      <c r="M25" s="232">
        <f t="shared" si="7"/>
        <v>7544.902</v>
      </c>
      <c r="N25" s="233">
        <f>SUM(N16:N24)</f>
        <v>1738.983050847457</v>
      </c>
      <c r="O25" s="101">
        <f>SUM(O16:O24)</f>
        <v>46.419425254237282</v>
      </c>
      <c r="P25" s="113">
        <f>SUM(P16:P24)</f>
        <v>9330.3044761016936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9201.1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1656.1979999999999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7544.902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1738.983050847457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9283.885050847457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46.419425254237289</v>
      </c>
    </row>
    <row r="35" spans="2:16" ht="15.75" customHeight="1" thickBot="1" x14ac:dyDescent="0.4">
      <c r="N35" s="372" t="s">
        <v>88</v>
      </c>
      <c r="O35" s="373"/>
      <c r="P35" s="297">
        <f>+P33+P34</f>
        <v>9330.3044761016936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8.75" customHeight="1" x14ac:dyDescent="0.4">
      <c r="A6" s="398" t="s">
        <v>524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1801.4759999999997</v>
      </c>
      <c r="K25" s="275">
        <f t="shared" si="7"/>
        <v>0</v>
      </c>
      <c r="L25" s="276">
        <f t="shared" si="7"/>
        <v>0</v>
      </c>
      <c r="M25" s="232">
        <f t="shared" si="7"/>
        <v>8206.7240000000002</v>
      </c>
      <c r="N25" s="233">
        <f>SUM(N16:N24)</f>
        <v>1891.5254237288132</v>
      </c>
      <c r="O25" s="101">
        <f>SUM(O16:O24)</f>
        <v>50.491247118644061</v>
      </c>
      <c r="P25" s="113">
        <f>SUM(P16:P24)</f>
        <v>10148.740670847455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10008.200000000001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1801.4759999999997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8206.724000000002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10098.249423728816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50.491247118644083</v>
      </c>
    </row>
    <row r="35" spans="2:16" ht="15.75" customHeight="1" thickBot="1" x14ac:dyDescent="0.4">
      <c r="N35" s="372" t="s">
        <v>88</v>
      </c>
      <c r="O35" s="373"/>
      <c r="P35" s="297">
        <f>+P33+P34</f>
        <v>10148.740670847459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525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5004.1000000000004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900.73799999999983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4103.362000000001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5049.1247118644078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72" t="s">
        <v>88</v>
      </c>
      <c r="O35" s="373"/>
      <c r="P35" s="297">
        <f>+P33+P34</f>
        <v>5074.3703354237296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zoomScaleNormal="100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526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5811.2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1046.0159999999998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4765.1840000000002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5863.4890847457627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72" t="s">
        <v>88</v>
      </c>
      <c r="O35" s="373"/>
      <c r="P35" s="297">
        <f>+P33+P34</f>
        <v>5892.8065301694915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527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1569.0239999999999</v>
      </c>
      <c r="K25" s="275">
        <f t="shared" si="7"/>
        <v>0</v>
      </c>
      <c r="L25" s="276">
        <f t="shared" si="7"/>
        <v>0</v>
      </c>
      <c r="M25" s="232">
        <f t="shared" si="7"/>
        <v>7147.7759999999998</v>
      </c>
      <c r="N25" s="233">
        <f>SUM(N16:N24)</f>
        <v>1647.4576271186443</v>
      </c>
      <c r="O25" s="101">
        <f>SUM(O16:O24)</f>
        <v>43.97616813559322</v>
      </c>
      <c r="P25" s="113">
        <f>SUM(P16:P24)</f>
        <v>8839.2097952542372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8716.7999999999993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1569.0239999999999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7147.7759999999998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8795.2336271186432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43.97616813559322</v>
      </c>
    </row>
    <row r="35" spans="2:16" ht="15.75" customHeight="1" thickBot="1" x14ac:dyDescent="0.4">
      <c r="N35" s="372" t="s">
        <v>88</v>
      </c>
      <c r="O35" s="373"/>
      <c r="P35" s="297">
        <f>+P33+P34</f>
        <v>8839.2097952542372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abSelected="1"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528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5811.2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1046.0159999999998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4765.1840000000002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5863.4890847457627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72" t="s">
        <v>88</v>
      </c>
      <c r="O35" s="373"/>
      <c r="P35" s="297">
        <f>+P33+P34</f>
        <v>5892.8065301694915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zoomScale="110" zoomScaleNormal="11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529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1569.0239999999999</v>
      </c>
      <c r="K25" s="275">
        <f t="shared" si="7"/>
        <v>0</v>
      </c>
      <c r="L25" s="276">
        <f t="shared" si="7"/>
        <v>0</v>
      </c>
      <c r="M25" s="232">
        <f t="shared" si="7"/>
        <v>7147.7759999999998</v>
      </c>
      <c r="N25" s="233">
        <f>SUM(N16:N24)</f>
        <v>1647.4576271186443</v>
      </c>
      <c r="O25" s="101">
        <f>SUM(O16:O24)</f>
        <v>43.97616813559322</v>
      </c>
      <c r="P25" s="113">
        <f>SUM(P16:P24)</f>
        <v>8839.2097952542372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8716.7999999999993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1569.0239999999999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7147.7759999999998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8795.2336271186432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43.97616813559322</v>
      </c>
    </row>
    <row r="35" spans="2:16" ht="15.75" customHeight="1" thickBot="1" x14ac:dyDescent="0.4">
      <c r="N35" s="372" t="s">
        <v>88</v>
      </c>
      <c r="O35" s="373"/>
      <c r="P35" s="297">
        <f>+P33+P34</f>
        <v>8839.2097952542372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530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200</v>
      </c>
      <c r="I25" s="114">
        <f t="shared" si="7"/>
        <v>12913.800000000001</v>
      </c>
      <c r="J25" s="274">
        <f>SUM(J16:J24)</f>
        <v>2324.4839999999995</v>
      </c>
      <c r="K25" s="275">
        <f t="shared" si="7"/>
        <v>0</v>
      </c>
      <c r="L25" s="276">
        <f t="shared" si="7"/>
        <v>0</v>
      </c>
      <c r="M25" s="232">
        <f t="shared" si="7"/>
        <v>10589.316000000001</v>
      </c>
      <c r="N25" s="233">
        <f>SUM(N16:N24)</f>
        <v>2440.6779661016944</v>
      </c>
      <c r="O25" s="101">
        <f>SUM(O16:O24)</f>
        <v>65.149969830508468</v>
      </c>
      <c r="P25" s="113">
        <f>SUM(P16:P24)</f>
        <v>13095.143935932201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12913.800000000001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2324.4839999999995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10589.316000000003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13029.993966101698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65.149969830508496</v>
      </c>
    </row>
    <row r="35" spans="2:16" ht="15.75" customHeight="1" thickBot="1" x14ac:dyDescent="0.4">
      <c r="N35" s="372" t="s">
        <v>88</v>
      </c>
      <c r="O35" s="373"/>
      <c r="P35" s="297">
        <f>+P33+P34</f>
        <v>13095.143935932207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531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1423.7459999999996</v>
      </c>
      <c r="K25" s="275">
        <f t="shared" si="7"/>
        <v>0</v>
      </c>
      <c r="L25" s="276">
        <f t="shared" si="7"/>
        <v>0</v>
      </c>
      <c r="M25" s="232">
        <f t="shared" si="7"/>
        <v>6485.9539999999997</v>
      </c>
      <c r="N25" s="233">
        <f>SUM(N16:N24)</f>
        <v>1494.9152542372881</v>
      </c>
      <c r="O25" s="101">
        <f>SUM(O16:O24)</f>
        <v>39.904346271186441</v>
      </c>
      <c r="P25" s="113">
        <f>SUM(P16:P24)</f>
        <v>8020.7736005084735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7909.7000000000007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1423.7459999999996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6485.9540000000015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7980.8692542372901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39.904346271186448</v>
      </c>
    </row>
    <row r="35" spans="2:16" ht="15.75" customHeight="1" thickBot="1" x14ac:dyDescent="0.4">
      <c r="N35" s="372" t="s">
        <v>88</v>
      </c>
      <c r="O35" s="373"/>
      <c r="P35" s="297">
        <f>+P33+P34</f>
        <v>8020.7736005084762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532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5004.1000000000004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900.73799999999983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4103.362000000001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5049.1247118644078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72" t="s">
        <v>88</v>
      </c>
      <c r="O35" s="373"/>
      <c r="P35" s="297">
        <f>+P33+P34</f>
        <v>5074.3703354237296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533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200</v>
      </c>
      <c r="I25" s="114">
        <f t="shared" si="7"/>
        <v>12913.800000000001</v>
      </c>
      <c r="J25" s="274">
        <f>SUM(J16:J24)</f>
        <v>2324.4839999999995</v>
      </c>
      <c r="K25" s="275">
        <f t="shared" si="7"/>
        <v>0</v>
      </c>
      <c r="L25" s="276">
        <f t="shared" si="7"/>
        <v>0</v>
      </c>
      <c r="M25" s="232">
        <f t="shared" si="7"/>
        <v>10589.316000000001</v>
      </c>
      <c r="N25" s="233">
        <f>SUM(N16:N24)</f>
        <v>2440.6779661016944</v>
      </c>
      <c r="O25" s="101">
        <f>SUM(O16:O24)</f>
        <v>65.149969830508468</v>
      </c>
      <c r="P25" s="113">
        <f>SUM(P16:P24)</f>
        <v>13095.143935932201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12913.800000000001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2324.4839999999995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10589.316000000003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13029.993966101698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65.149969830508496</v>
      </c>
    </row>
    <row r="35" spans="2:16" ht="15.75" customHeight="1" thickBot="1" x14ac:dyDescent="0.4">
      <c r="N35" s="372" t="s">
        <v>88</v>
      </c>
      <c r="O35" s="373"/>
      <c r="P35" s="297">
        <f>+P33+P34</f>
        <v>13095.143935932207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534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5811.2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1046.0159999999998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4765.1840000000002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5863.4890847457627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72" t="s">
        <v>88</v>
      </c>
      <c r="O35" s="373"/>
      <c r="P35" s="297">
        <f>+P33+P34</f>
        <v>5892.8065301694915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535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9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160</v>
      </c>
      <c r="I25" s="114">
        <f t="shared" si="7"/>
        <v>10815.300000000001</v>
      </c>
      <c r="J25" s="274">
        <f>SUM(J16:J24)</f>
        <v>1946.7539999999995</v>
      </c>
      <c r="K25" s="275">
        <f t="shared" si="7"/>
        <v>0</v>
      </c>
      <c r="L25" s="276">
        <f t="shared" si="7"/>
        <v>0</v>
      </c>
      <c r="M25" s="232">
        <f t="shared" si="7"/>
        <v>8868.5460000000003</v>
      </c>
      <c r="N25" s="233">
        <f>SUM(N16:N24)</f>
        <v>2044.0677966101694</v>
      </c>
      <c r="O25" s="101">
        <f>SUM(O16:O24)</f>
        <v>54.563068983050847</v>
      </c>
      <c r="P25" s="113">
        <f>SUM(P16:P24)</f>
        <v>10967.176865593219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10815.300000000001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1946.7539999999995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8868.5460000000021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10912.613796610171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54.563068983050854</v>
      </c>
    </row>
    <row r="35" spans="2:16" ht="15.75" customHeight="1" thickBot="1" x14ac:dyDescent="0.4">
      <c r="N35" s="372" t="s">
        <v>88</v>
      </c>
      <c r="O35" s="373"/>
      <c r="P35" s="297">
        <f>+P33+P34</f>
        <v>10967.176865593221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536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56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160</v>
      </c>
      <c r="I25" s="114">
        <f t="shared" si="7"/>
        <v>10815.300000000001</v>
      </c>
      <c r="J25" s="274">
        <f>SUM(J16:J24)</f>
        <v>1946.7539999999995</v>
      </c>
      <c r="K25" s="275">
        <f t="shared" si="7"/>
        <v>0</v>
      </c>
      <c r="L25" s="276">
        <f t="shared" si="7"/>
        <v>0</v>
      </c>
      <c r="M25" s="232">
        <f t="shared" si="7"/>
        <v>8868.5460000000003</v>
      </c>
      <c r="N25" s="233">
        <f>SUM(N16:N24)</f>
        <v>2044.0677966101694</v>
      </c>
      <c r="O25" s="101">
        <f>SUM(O16:O24)</f>
        <v>54.563068983050847</v>
      </c>
      <c r="P25" s="113">
        <f>SUM(P16:P24)</f>
        <v>10967.176865593219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10815.300000000001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1946.7539999999995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8868.5460000000021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10912.613796610171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54.563068983050854</v>
      </c>
    </row>
    <row r="35" spans="2:16" ht="15.75" customHeight="1" thickBot="1" x14ac:dyDescent="0.4">
      <c r="N35" s="372" t="s">
        <v>88</v>
      </c>
      <c r="O35" s="373"/>
      <c r="P35" s="297">
        <f>+P33+P34</f>
        <v>10967.176865593221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537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1569.0239999999999</v>
      </c>
      <c r="K25" s="275">
        <f t="shared" si="7"/>
        <v>0</v>
      </c>
      <c r="L25" s="276">
        <f t="shared" si="7"/>
        <v>0</v>
      </c>
      <c r="M25" s="232">
        <f t="shared" si="7"/>
        <v>7147.7759999999998</v>
      </c>
      <c r="N25" s="233">
        <f>SUM(N16:N24)</f>
        <v>1647.4576271186443</v>
      </c>
      <c r="O25" s="101">
        <f>SUM(O16:O24)</f>
        <v>43.97616813559322</v>
      </c>
      <c r="P25" s="113">
        <f>SUM(P16:P24)</f>
        <v>8839.2097952542372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8716.7999999999993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1569.0239999999999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  <c r="S30" s="215"/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7147.7759999999998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8795.2336271186432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43.97616813559322</v>
      </c>
    </row>
    <row r="35" spans="2:16" ht="15.75" customHeight="1" thickBot="1" x14ac:dyDescent="0.4">
      <c r="N35" s="372" t="s">
        <v>88</v>
      </c>
      <c r="O35" s="373"/>
      <c r="P35" s="297">
        <f>+P33+P34</f>
        <v>8839.2097952542372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538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4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200</v>
      </c>
      <c r="I25" s="114">
        <f t="shared" si="7"/>
        <v>12106.7</v>
      </c>
      <c r="J25" s="274">
        <f>SUM(J16:J24)</f>
        <v>2179.2059999999997</v>
      </c>
      <c r="K25" s="275">
        <f t="shared" si="7"/>
        <v>0</v>
      </c>
      <c r="L25" s="276">
        <f t="shared" si="7"/>
        <v>0</v>
      </c>
      <c r="M25" s="232">
        <f t="shared" si="7"/>
        <v>9927.4940000000006</v>
      </c>
      <c r="N25" s="233">
        <f>SUM(N16:N24)</f>
        <v>2288.1355932203383</v>
      </c>
      <c r="O25" s="101">
        <f>SUM(O16:O24)</f>
        <v>61.078147966101689</v>
      </c>
      <c r="P25" s="113">
        <f>SUM(P16:P24)</f>
        <v>12276.707741186439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12106.7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2179.2059999999997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9927.4940000000006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2288.1355932203383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12215.629593220339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61.078147966101696</v>
      </c>
    </row>
    <row r="35" spans="2:16" ht="15.75" customHeight="1" thickBot="1" x14ac:dyDescent="0.4">
      <c r="N35" s="372" t="s">
        <v>88</v>
      </c>
      <c r="O35" s="373"/>
      <c r="P35" s="297">
        <f>+P33+P34</f>
        <v>12276.707741186441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539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9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1569.0239999999999</v>
      </c>
      <c r="K25" s="275">
        <f t="shared" si="7"/>
        <v>0</v>
      </c>
      <c r="L25" s="276">
        <f t="shared" si="7"/>
        <v>0</v>
      </c>
      <c r="M25" s="232">
        <f t="shared" si="7"/>
        <v>7147.7759999999998</v>
      </c>
      <c r="N25" s="233">
        <f>SUM(N16:N24)</f>
        <v>1647.4576271186443</v>
      </c>
      <c r="O25" s="101">
        <f>SUM(O16:O24)</f>
        <v>43.97616813559322</v>
      </c>
      <c r="P25" s="113">
        <f>SUM(P16:P24)</f>
        <v>8839.2097952542372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8716.7999999999993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1569.0239999999999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7147.7759999999998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8795.2336271186432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43.97616813559322</v>
      </c>
    </row>
    <row r="35" spans="2:16" ht="15.75" customHeight="1" thickBot="1" x14ac:dyDescent="0.4">
      <c r="N35" s="372" t="s">
        <v>88</v>
      </c>
      <c r="O35" s="373"/>
      <c r="P35" s="297">
        <f>+P33+P34</f>
        <v>8839.2097952542372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540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1801.4759999999997</v>
      </c>
      <c r="K25" s="275">
        <f t="shared" si="7"/>
        <v>0</v>
      </c>
      <c r="L25" s="276">
        <f t="shared" si="7"/>
        <v>0</v>
      </c>
      <c r="M25" s="232">
        <f t="shared" si="7"/>
        <v>8206.7240000000002</v>
      </c>
      <c r="N25" s="233">
        <f>SUM(N16:N24)</f>
        <v>1891.5254237288132</v>
      </c>
      <c r="O25" s="101">
        <f>SUM(O16:O24)</f>
        <v>50.491247118644061</v>
      </c>
      <c r="P25" s="113">
        <f>SUM(P16:P24)</f>
        <v>10148.740670847455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10008.200000000001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1801.4759999999997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8206.724000000002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10098.249423728816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50.491247118644083</v>
      </c>
    </row>
    <row r="35" spans="2:16" ht="15.75" customHeight="1" thickBot="1" x14ac:dyDescent="0.4">
      <c r="N35" s="372" t="s">
        <v>88</v>
      </c>
      <c r="O35" s="373"/>
      <c r="P35" s="297">
        <f>+P33+P34</f>
        <v>10148.740670847459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abSelected="1"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8.75" customHeight="1" x14ac:dyDescent="0.4">
      <c r="A6" s="398" t="s">
        <v>541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160</v>
      </c>
      <c r="I25" s="114">
        <f t="shared" si="7"/>
        <v>10815.300000000001</v>
      </c>
      <c r="J25" s="274">
        <f>SUM(J16:J24)</f>
        <v>1946.7539999999995</v>
      </c>
      <c r="K25" s="275">
        <f t="shared" si="7"/>
        <v>0</v>
      </c>
      <c r="L25" s="276">
        <f t="shared" si="7"/>
        <v>0</v>
      </c>
      <c r="M25" s="232">
        <f t="shared" si="7"/>
        <v>8868.5460000000003</v>
      </c>
      <c r="N25" s="233">
        <f>SUM(N16:N24)</f>
        <v>2044.0677966101694</v>
      </c>
      <c r="O25" s="101">
        <f>SUM(O16:O24)</f>
        <v>54.563068983050847</v>
      </c>
      <c r="P25" s="113">
        <f>SUM(P16:P24)</f>
        <v>10967.176865593219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10815.300000000001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1946.7539999999995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8868.5460000000021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10912.613796610171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54.563068983050854</v>
      </c>
    </row>
    <row r="35" spans="2:16" ht="15.75" customHeight="1" thickBot="1" x14ac:dyDescent="0.4">
      <c r="N35" s="372" t="s">
        <v>88</v>
      </c>
      <c r="O35" s="373"/>
      <c r="P35" s="297">
        <f>+P33+P34</f>
        <v>10967.176865593221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542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5811.2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1046.0159999999998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4765.1840000000002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5863.4890847457627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72" t="s">
        <v>88</v>
      </c>
      <c r="O35" s="373"/>
      <c r="P35" s="297">
        <f>+P33+P34</f>
        <v>5892.8065301694915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543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160</v>
      </c>
      <c r="I25" s="114">
        <f t="shared" si="7"/>
        <v>10815.300000000001</v>
      </c>
      <c r="J25" s="274">
        <f>SUM(J16:J24)</f>
        <v>1946.7539999999995</v>
      </c>
      <c r="K25" s="275">
        <f t="shared" si="7"/>
        <v>0</v>
      </c>
      <c r="L25" s="276">
        <f t="shared" si="7"/>
        <v>0</v>
      </c>
      <c r="M25" s="232">
        <f t="shared" si="7"/>
        <v>8868.5460000000003</v>
      </c>
      <c r="N25" s="233">
        <f>SUM(N16:N24)</f>
        <v>2044.0677966101694</v>
      </c>
      <c r="O25" s="101">
        <f>SUM(O16:O24)</f>
        <v>54.563068983050847</v>
      </c>
      <c r="P25" s="113">
        <f>SUM(P16:P24)</f>
        <v>10967.176865593219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10815.300000000001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1946.7539999999995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8868.5460000000021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10912.613796610171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54.563068983050854</v>
      </c>
    </row>
    <row r="35" spans="2:16" ht="15.75" customHeight="1" thickBot="1" x14ac:dyDescent="0.4">
      <c r="N35" s="372" t="s">
        <v>88</v>
      </c>
      <c r="O35" s="373"/>
      <c r="P35" s="297">
        <f>+P33+P34</f>
        <v>10967.176865593221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544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5811.2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1046.0159999999998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4765.1840000000002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5863.4890847457627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72" t="s">
        <v>88</v>
      </c>
      <c r="O35" s="373"/>
      <c r="P35" s="297">
        <f>+P33+P34</f>
        <v>5892.8065301694915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545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2702.2139999999995</v>
      </c>
      <c r="K25" s="275">
        <f t="shared" si="7"/>
        <v>0</v>
      </c>
      <c r="L25" s="276">
        <f t="shared" si="7"/>
        <v>0</v>
      </c>
      <c r="M25" s="232">
        <f t="shared" si="7"/>
        <v>12310.086000000001</v>
      </c>
      <c r="N25" s="233">
        <f>SUM(N16:N24)</f>
        <v>2837.2881355932195</v>
      </c>
      <c r="O25" s="101">
        <f>SUM(O16:O24)</f>
        <v>75.736870677966095</v>
      </c>
      <c r="P25" s="113">
        <f>SUM(P16:P24)</f>
        <v>15223.111006271185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15012.300000000001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2702.2139999999995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12310.086000000001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15147.374135593222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75.73687067796611</v>
      </c>
    </row>
    <row r="35" spans="2:16" ht="15.75" customHeight="1" thickBot="1" x14ac:dyDescent="0.4">
      <c r="N35" s="372" t="s">
        <v>88</v>
      </c>
      <c r="O35" s="373"/>
      <c r="P35" s="297">
        <f>+P33+P34</f>
        <v>15223.111006271187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546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1423.7459999999996</v>
      </c>
      <c r="K25" s="275">
        <f t="shared" si="7"/>
        <v>0</v>
      </c>
      <c r="L25" s="276">
        <f t="shared" si="7"/>
        <v>0</v>
      </c>
      <c r="M25" s="232">
        <f t="shared" si="7"/>
        <v>6485.9539999999997</v>
      </c>
      <c r="N25" s="233">
        <f>SUM(N16:N24)</f>
        <v>1494.9152542372881</v>
      </c>
      <c r="O25" s="101">
        <f>SUM(O16:O24)</f>
        <v>39.904346271186441</v>
      </c>
      <c r="P25" s="113">
        <f>SUM(P16:P24)</f>
        <v>8020.7736005084735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7909.7000000000007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1423.7459999999996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6485.9540000000015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7980.8692542372901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39.904346271186448</v>
      </c>
    </row>
    <row r="35" spans="2:16" ht="15.75" customHeight="1" thickBot="1" x14ac:dyDescent="0.4">
      <c r="N35" s="372" t="s">
        <v>88</v>
      </c>
      <c r="O35" s="373"/>
      <c r="P35" s="297">
        <f>+P33+P34</f>
        <v>8020.7736005084762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547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200</v>
      </c>
      <c r="I25" s="114">
        <f t="shared" si="7"/>
        <v>12913.800000000001</v>
      </c>
      <c r="J25" s="274">
        <f>SUM(J16:J24)</f>
        <v>2324.4839999999995</v>
      </c>
      <c r="K25" s="275">
        <f t="shared" si="7"/>
        <v>0</v>
      </c>
      <c r="L25" s="276">
        <f t="shared" si="7"/>
        <v>0</v>
      </c>
      <c r="M25" s="232">
        <f t="shared" si="7"/>
        <v>10589.316000000001</v>
      </c>
      <c r="N25" s="233">
        <f>SUM(N16:N24)</f>
        <v>2440.6779661016944</v>
      </c>
      <c r="O25" s="101">
        <f>SUM(O16:O24)</f>
        <v>65.149969830508468</v>
      </c>
      <c r="P25" s="113">
        <f>SUM(P16:P24)</f>
        <v>13095.143935932201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12913.800000000001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2324.4839999999995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10589.316000000003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13029.993966101698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65.149969830508496</v>
      </c>
    </row>
    <row r="35" spans="2:16" ht="15.75" customHeight="1" thickBot="1" x14ac:dyDescent="0.4">
      <c r="N35" s="372" t="s">
        <v>88</v>
      </c>
      <c r="O35" s="373"/>
      <c r="P35" s="297">
        <f>+P33+P34</f>
        <v>13095.143935932207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6" workbookViewId="0">
      <selection activeCell="Q18" sqref="Q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opLeftCell="A5" workbookViewId="0">
      <selection activeCell="Q18" sqref="Q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opLeftCell="A5" workbookViewId="0">
      <selection activeCell="Q18" sqref="Q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opLeftCell="A5" workbookViewId="0">
      <selection activeCell="Q18" sqref="Q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46302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46301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2026-10-06T05:38:13Z</dcterms:modified>
</cp:coreProperties>
</file>