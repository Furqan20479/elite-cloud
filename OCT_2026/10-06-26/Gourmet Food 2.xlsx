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BB1131C-E527-4E69-9975-0AD8D088C971}" xr6:coauthVersionLast="47" xr6:coauthVersionMax="47" xr10:uidLastSave="{00000000-0000-0000-0000-000000000000}"/>
  <bookViews>
    <workbookView xWindow="-110" yWindow="-110" windowWidth="19420" windowHeight="10420" tabRatio="87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25" i="62" l="1"/>
  <c r="S18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6" l="1"/>
  <c r="O22" i="56" s="1"/>
  <c r="P22" i="56" s="1"/>
  <c r="M22" i="51"/>
  <c r="M24" i="56"/>
  <c r="O24" i="56" s="1"/>
  <c r="P24" i="56" s="1"/>
  <c r="M24" i="46"/>
  <c r="O24" i="46" s="1"/>
  <c r="P24" i="46" s="1"/>
  <c r="M24" i="43"/>
  <c r="O24" i="43" s="1"/>
  <c r="P24" i="43" s="1"/>
  <c r="M24" i="48"/>
  <c r="O24" i="48" s="1"/>
  <c r="P24" i="48" s="1"/>
  <c r="M24" i="72"/>
  <c r="M24" i="66"/>
  <c r="O24" i="66" s="1"/>
  <c r="P24" i="66" s="1"/>
  <c r="M24" i="71"/>
  <c r="O24" i="71" s="1"/>
  <c r="M24" i="63"/>
  <c r="O24" i="63" s="1"/>
  <c r="P24" i="63" s="1"/>
  <c r="M23" i="69"/>
  <c r="O23" i="69" s="1"/>
  <c r="P23" i="69" s="1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O22" i="70" s="1"/>
  <c r="P22" i="70" s="1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O16" i="59" s="1"/>
  <c r="P16" i="59" s="1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O16" i="66" s="1"/>
  <c r="M16" i="44"/>
  <c r="O16" i="44" s="1"/>
  <c r="M20" i="70"/>
  <c r="O20" i="70" s="1"/>
  <c r="P20" i="70" s="1"/>
  <c r="R20" i="70" s="1"/>
  <c r="M23" i="65"/>
  <c r="O23" i="65" s="1"/>
  <c r="P23" i="65" s="1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2" i="51"/>
  <c r="P22" i="51" s="1"/>
  <c r="O16" i="64"/>
  <c r="P16" i="64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K11" i="62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4" i="71" l="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<sst xmlns="http://schemas.openxmlformats.org/spreadsheetml/2006/main" count="3949" uniqueCount="548">
  <si>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</si>
  <si>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</si>
  <si>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</si>
  <si>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</si>
  <si>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</si>
  <si>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</si>
  <si>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</si>
  <si>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</si>
  <si>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</si>
  <si>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</si>
  <si>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</si>
  <si>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</si>
  <si>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</si>
  <si>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</si>
  <si>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</si>
  <si>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</si>
  <si>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</si>
  <si>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</si>
  <si>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</si>
  <si>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</si>
  <si>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</si>
  <si>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</si>
  <si>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</si>
  <si>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</si>
  <si>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</si>
  <si>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</si>
  <si>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</si>
  <si>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</si>
  <si>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</si>
  <si>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</si>
  <si>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</si>
  <si>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</si>
  <si>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</si>
  <si>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</si>
  <si>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</si>
  <si>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</si>
  <si>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</si>
  <si>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</si>
  <si>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</si>
  <si>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</si>
  <si>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</si>
  <si>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</si>
  <si>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</si>
  <si>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</si>
  <si>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</si>
  <si>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</si>
  <si>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</si>
  <si>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</si>
  <si>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</si>
  <si>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</si>
  <si>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</si>
  <si>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</si>
  <si>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</si>
  <si>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</si>
  <si>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</si>
  <si>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</si>
  <si>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</si>
  <si>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</si>
  <si>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</si>
  <si>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</si>
  <si>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</si>
  <si>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</si>
  <si>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</si>
  <si>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</si>
  <si>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</si>
  <si>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</si>
  <si>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</si>
  <si>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</si>
  <si>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</si>
  <si>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</si>
  <si>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</si>
  <si>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</si>
  <si>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</si>
  <si>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</si>
  <si>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</si>
  <si>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</si>
  <si>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</si>
  <si>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</si>
  <si>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</si>
  <si>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</si>
  <si>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</si>
  <si>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</si>
  <si>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</si>
  <si>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</si>
  <si>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</si>
  <si>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</si>
  <si>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</si>
  <si>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</si>
  <si>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</si>
  <si>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</si>
  <si>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</si>
  <si>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</si>
  <si>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</si>
  <si>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</si>
  <si>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</si>
  <si>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</si>
  <si>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</si>
  <si>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</si>
  <si>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</si>
  <si>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</si>
  <si>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</si>
  <si>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</si>
  <si>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</si>
  <si>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</si>
  <si>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</si>
  <si>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</si>
  <si>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</si>
  <si>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</si>
  <si>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</si>
  <si>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</si>
  <si>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</si>
  <si>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</si>
  <si>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</si>
  <si>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</si>
  <si>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</si>
  <si>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</si>
  <si>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</si>
  <si>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</si>
  <si>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</si>
  <si>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</si>
  <si>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</si>
  <si>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</si>
  <si>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</si>
  <si>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</si>
  <si>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</si>
  <si>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</si>
  <si>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</si>
  <si>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</si>
  <si>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</si>
  <si>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</si>
  <si>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</si>
  <si>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</si>
  <si>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</si>
  <si>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</si>
  <si>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</si>
  <si>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</si>
  <si>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</si>
  <si>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</si>
  <si>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</si>
  <si>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</si>
  <si>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</si>
  <si>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</si>
  <si>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</si>
  <si>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</si>
  <si>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</si>
  <si>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</si>
  <si>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</si>
  <si>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</si>
  <si>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</si>
  <si>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</si>
  <si>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</si>
  <si>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</si>
  <si>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</si>
  <si>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</si>
  <si>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</si>
  <si>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</si>
  <si>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</si>
  <si>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</si>
  <si>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</si>
  <si>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</si>
  <si>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</si>
  <si>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</si>
  <si>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</si>
  <si>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</si>
  <si>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</si>
  <si>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</si>
  <si>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</si>
  <si>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</si>
  <si>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</si>
  <si>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</si>
  <si>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</si>
  <si>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</si>
  <si>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</si>
  <si>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</si>
  <si>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</si>
  <si>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</si>
  <si>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</si>
  <si>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</si>
  <si>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</si>
  <si>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</si>
  <si>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</si>
  <si>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</si>
  <si>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</si>
  <si>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</si>
  <si>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</si>
  <si>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</si>
  <si>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</si>
  <si>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</si>
  <si>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</si>
  <si>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</si>
  <si>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</si>
  <si>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</si>
  <si>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</si>
  <si>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</si>
  <si>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</si>
  <si>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</si>
  <si>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</si>
  <si>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</si>
  <si>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</si>
  <si>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</si>
  <si>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</si>
  <si>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</si>
  <si>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</si>
  <si>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</si>
  <si>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</si>
  <si>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</si>
  <si>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</si>
  <si>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</si>
  <si>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</si>
  <si>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</si>
  <si>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</si>
  <si>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</si>
  <si>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</si>
  <si>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</si>
  <si>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</si>
  <si>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</si>
  <si>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</si>
  <si>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</si>
  <si>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</si>
  <si>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</si>
  <si>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</si>
  <si>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</si>
  <si>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</si>
  <si>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</si>
  <si>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</si>
  <si>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</si>
  <si>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</si>
  <si>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</si>
  <si>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</si>
  <si>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</si>
  <si>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</si>
  <si>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</si>
  <si>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</si>
  <si>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</si>
  <si>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</si>
  <si>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</si>
  <si>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</si>
  <si>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</si>
  <si>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</si>
  <si>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</si>
  <si>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</si>
  <si>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</si>
  <si>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</si>
  <si>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</si>
  <si>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</si>
  <si>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</si>
  <si>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</si>
  <si>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</si>
  <si>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</si>
  <si>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</si>
  <si>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</si>
  <si>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</si>
  <si>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</si>
  <si>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</si>
  <si>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</si>
  <si>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</si>
  <si>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</si>
  <si>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</si>
  <si>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</si>
  <si>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</si>
  <si>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</si>
  <si>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</si>
  <si>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</si>
  <si>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</si>
  <si>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</si>
  <si>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</si>
  <si>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</si>
  <si>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</si>
  <si>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</si>
  <si>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</si>
  <si>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</si>
  <si>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</si>
  <si>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</si>
  <si>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</si>
  <si>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</si>
  <si>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</si>
  <si>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</si>
  <si>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</si>
  <si>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</si>
  <si>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</si>
  <si>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</si>
  <si>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</si>
  <si>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</si>
  <si>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</si>
  <si>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</si>
  <si>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</si>
  <si>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</si>
  <si>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</si>
  <si>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</si>
  <si>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</si>
  <si>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</si>
  <si>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</si>
  <si>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</si>
  <si>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</si>
  <si>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</si>
  <si>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</si>
  <si>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</si>
  <si>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</si>
  <si>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</si>
  <si>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</si>
  <si>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</si>
  <si>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</si>
  <si>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</si>
  <si>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</si>
  <si>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</si>
  <si>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</si>
  <si>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</si>
  <si>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</si>
  <si>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</si>
  <si>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</si>
  <si>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</si>
  <si>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</si>
  <si>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</si>
  <si>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</si>
  <si>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</si>
  <si>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</si>
  <si>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</si>
  <si>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</si>
  <si>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</si>
  <si>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</si>
  <si>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</si>
  <si>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</si>
  <si>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</si>
  <si>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</si>
  <si>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</si>
  <si>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</si>
  <si>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</si>
  <si>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</si>
  <si>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</si>
  <si>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</si>
  <si>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</si>
  <si>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</si>
  <si>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</si>
  <si>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</si>
  <si>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</si>
  <si>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</si>
  <si>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</si>
  <si>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</si>
  <si>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</si>
  <si>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</si>
  <si>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</si>
  <si>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</si>
  <si>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</si>
  <si>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</si>
  <si>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</si>
  <si>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</si>
  <si>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</si>
  <si>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</si>
  <si>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</si>
  <si>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</si>
  <si>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</si>
  <si>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</si>
  <si>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</si>
  <si>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</si>
  <si>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</si>
  <si>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</si>
  <si>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</si>
  <si>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</si>
  <si>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</si>
  <si>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</si>
  <si>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</si>
  <si>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</si>
  <si>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</si>
  <si>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</si>
  <si>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</si>
  <si>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</si>
  <si>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</si>
  <si>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</si>
  <si>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</si>
  <si>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</si>
  <si>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</si>
  <si>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</si>
  <si>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</si>
  <si>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</si>
  <si>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</si>
  <si>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</si>
  <si>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</si>
  <si>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</si>
  <si>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</si>
  <si>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</si>
  <si>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</si>
  <si>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</si>
  <si>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</si>
  <si>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</si>
  <si>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</si>
  <si>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</si>
  <si>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</si>
  <si>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</si>
  <si>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</si>
  <si>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</si>
  <si>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</si>
  <si>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</si>
  <si>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</si>
  <si>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</si>
  <si>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</si>
  <si>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</si>
  <si>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</si>
  <si>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</si>
  <si>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</si>
  <si>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</si>
  <si>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</si>
  <si>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</si>
  <si>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</si>
  <si>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</si>
  <si>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</si>
  <si>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</si>
  <si>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</si>
  <si>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</si>
  <si>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</si>
  <si>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</si>
  <si>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</si>
  <si>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</si>
  <si>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</si>
  <si>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</si>
  <si>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</si>
  <si>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</si>
  <si>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</si>
  <si>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</si>
  <si>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</si>
  <si>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</si>
  <si>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</si>
  <si>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</si>
  <si>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</si>
  <si>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</si>
  <si>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</si>
  <si>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</si>
  <si>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</si>
  <si>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</si>
  <si>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</si>
  <si>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</si>
  <si>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</si>
  <si>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</si>
  <si>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</si>
  <si>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</si>
  <si>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</si>
  <si>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</si>
  <si>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</si>
  <si>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</si>
  <si>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</si>
  <si>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</si>
  <si>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</si>
  <si>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</si>
  <si>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</si>
  <si>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</si>
  <si>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</si>
  <si>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</si>
  <si>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</si>
  <si>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</si>
  <si>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</si>
  <si>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</si>
  <si>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</si>
  <si>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</si>
  <si>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</si>
  <si>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</si>
  <si>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</si>
  <si>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</si>
  <si>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</si>
  <si>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</si>
  <si>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</si>
  <si>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</si>
  <si>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</si>
  <si>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</si>
  <si>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</si>
  <si>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</si>
  <si>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</si>
  <si>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</si>
  <si>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</si>
  <si>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</si>
  <si>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</si>
  <si>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</si>
  <si>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</si>
  <si>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</si>
  <si>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</si>
  <si>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</si>
  <si>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</si>
  <si>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</si>
  <si>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</si>
  <si>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</si>
  <si>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</si>
  <si>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</si>
  <si>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</si>
  <si>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</si>
  <si>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</si>
  <si>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</si>
  <si>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</si>
  <si>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</si>
  <si>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</si>
  <si>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</si>
  <si>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</si>
  <si>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</si>
  <si>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</si>
  <si>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</si>
  <si>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</si>
  <si>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</si>
  <si>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</si>
  <si>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</si>
  <si>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</si>
  <si>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</si>
  <si>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</si>
  <si>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</si>
  <si>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</si>
  <si>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</si>
  <si>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</si>
  <si>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</si>
  <si>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</si>
  <si>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</si>
  <si>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</si>
  <si>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</si>
  <si>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</si>
  <si>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</si>
  <si>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</si>
  <si>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</si>
  <si>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</si>
  <si>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</si>
  <si>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</si>
  <si>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 xml:space="preserve">Shakoor Husain </t>
  </si>
  <si>
    <t xml:space="preserve"> </t>
  </si>
  <si>
    <t>Invoice No # :0001</t>
  </si>
  <si>
    <t>Gourmet Food Riwind Road</t>
  </si>
  <si>
    <t xml:space="preserve">Gourmet Food  Chung </t>
  </si>
  <si>
    <t>Gourmet Food Moter Way</t>
  </si>
  <si>
    <t>Gourmet Food K Block DHA</t>
  </si>
  <si>
    <t xml:space="preserve">Gourmet Food Lal Pull </t>
  </si>
  <si>
    <t xml:space="preserve">Gourmet Food Shadbagh </t>
  </si>
  <si>
    <t xml:space="preserve">Gourmet Food Railway Plaza </t>
  </si>
  <si>
    <t xml:space="preserve">Gourmet Food Rustam Park </t>
  </si>
  <si>
    <t>Gourmet Food Awan Market Ferozpur Road</t>
  </si>
  <si>
    <t xml:space="preserve">Gourmet Food Tajbagh </t>
  </si>
  <si>
    <t>Gourmet Food Zaraar Shaheed Road</t>
  </si>
  <si>
    <t>Gourmet Food Bedian Road</t>
  </si>
  <si>
    <t xml:space="preserve">Gourmet Food Ismail Nager </t>
  </si>
  <si>
    <t>Gourmet Food Begum Road</t>
  </si>
  <si>
    <t xml:space="preserve">Gourmet Food Kanah </t>
  </si>
  <si>
    <t xml:space="preserve">Gourmet Food Kot Abdul Malik </t>
  </si>
  <si>
    <t xml:space="preserve">Gourmet Food Shadra Town </t>
  </si>
  <si>
    <t>Gourmet Food Bilal Ganjh</t>
  </si>
  <si>
    <t xml:space="preserve">Gourmet Food Kot Khuaja Saeed </t>
  </si>
  <si>
    <t xml:space="preserve">Gourmet Food Killa Lakshman singh </t>
  </si>
  <si>
    <t>Gourmet Food Imamia Colony</t>
  </si>
  <si>
    <t xml:space="preserve">Gourmet Food Badami bagh </t>
  </si>
  <si>
    <t>Gourmet Food Baghban pura</t>
  </si>
  <si>
    <t>Gourmet Food Nadra Abad</t>
  </si>
  <si>
    <t>Gourmet Food Ghazi Road</t>
  </si>
  <si>
    <t>Gourmet Food FF DHA</t>
  </si>
  <si>
    <t>Gourmet Food Sultanpura</t>
  </si>
  <si>
    <t>Gourmet Food Militery Account</t>
  </si>
  <si>
    <t>Gourmet Food Nishat Colony</t>
  </si>
  <si>
    <t>Gourmet Food Rehmanpura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</si>
</sst>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35" fillId="6" borderId="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7.08984375" customWidth="1"/>
    <col min="10" max="10" width="7.3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513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v>46300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17" t="str">
        <f>+'1'!A6:A6</f>
        <v>Gourmet Food K Block DHA</v>
      </c>
      <c r="T3" s="300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9" t="str">
        <f>+'2'!A6:A6</f>
        <v xml:space="preserve">Gourmet Food Lal Pull </v>
      </c>
      <c r="T4" s="300">
        <f>+'2'!P35</f>
        <v>2127.9670703389825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3" t="s">
        <v>507</v>
      </c>
      <c r="R5" s="318">
        <v>3</v>
      </c>
      <c r="S5" s="414" t="str">
        <f>+'3'!A6:A6</f>
        <v xml:space="preserve">Gourmet Food Shadbagh </v>
      </c>
      <c r="T5" s="300">
        <f>+'3'!P35</f>
        <v>0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3" t="s">
        <v>506</v>
      </c>
      <c r="R6" s="318">
        <v>4</v>
      </c>
      <c r="S6" s="414" t="str">
        <f>+'4'!A6:A6</f>
        <v xml:space="preserve">Gourmet Food Railway Plaza </v>
      </c>
      <c r="T6" s="300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09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40</v>
      </c>
      <c r="R7" s="318">
        <v>5</v>
      </c>
      <c r="S7" s="414" t="str">
        <f>+'5'!A6:A6</f>
        <v xml:space="preserve">Gourmet Food Rustam Park </v>
      </c>
      <c r="T7" s="300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0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40</v>
      </c>
      <c r="R8" s="318">
        <v>6</v>
      </c>
      <c r="S8" s="414" t="str">
        <f>+'6'!A6:A6</f>
        <v>Gourmet Food Awan Market Ferozpur Road</v>
      </c>
      <c r="T8" s="300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755.45999999999992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3441.54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21.173801694915252</v>
      </c>
      <c r="P9" s="310">
        <f t="shared" si="2"/>
        <v>4255.9341406779649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8">
        <v>7</v>
      </c>
      <c r="S9" s="319" t="str">
        <f>+'7'!A6:A6</f>
        <v xml:space="preserve">Gourmet Food Tajbagh </v>
      </c>
      <c r="T9" s="300">
        <f>+'7'!P35</f>
        <v>5892.8065301694915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</v>
      </c>
      <c r="I10" s="236">
        <f t="shared" si="0"/>
        <v>5811.2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1046.0159999999998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4765.1840000000002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1098.3050847457628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29.317445423728813</v>
      </c>
      <c r="P10" s="310">
        <f t="shared" si="2"/>
        <v>5892.8065301694915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8">
        <v>8</v>
      </c>
      <c r="S10" s="414" t="str">
        <f>+'8'!A6:A6</f>
        <v>Gourmet Food Zaraar Shaheed Road</v>
      </c>
      <c r="T10" s="300">
        <f>+'8'!P35</f>
        <v>0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523.00799999999992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2382.5920000000001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14.658722711864407</v>
      </c>
      <c r="P11" s="310">
        <f t="shared" si="2"/>
        <v>2946.4032650847457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8">
        <v>9</v>
      </c>
      <c r="S11" s="414" t="str">
        <f>+'9'!A6:A6</f>
        <v>Gourmet Food Bedian Road</v>
      </c>
      <c r="T11" s="300">
        <f>+'9'!P35</f>
        <v>0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1046.0159999999998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4765.1840000000002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29.317445423728813</v>
      </c>
      <c r="P12" s="310">
        <f t="shared" si="2"/>
        <v>5892.8065301694915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40</v>
      </c>
      <c r="R12" s="318">
        <v>10</v>
      </c>
      <c r="S12" s="414" t="str">
        <f>+'10'!A6:A6</f>
        <v xml:space="preserve">Gourmet Food Ismail Nager </v>
      </c>
      <c r="T12" s="300">
        <f>+'10'!P35</f>
        <v>0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8">
        <v>11</v>
      </c>
      <c r="S13" s="414" t="str">
        <f>+'11'!A6:A6</f>
        <v>Gourmet Food Begum Road</v>
      </c>
      <c r="T13" s="300">
        <f>+'11'!P35</f>
        <v>0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8">
        <v>12</v>
      </c>
      <c r="S14" s="414" t="str">
        <f>+'12'!A6:A6</f>
        <v xml:space="preserve">Gourmet Food Kanah </v>
      </c>
      <c r="T14" s="300">
        <f>+'12'!P35</f>
        <v>0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8">
        <v>13</v>
      </c>
      <c r="S15" s="414" t="str">
        <f>+'13'!A6:A6</f>
        <v xml:space="preserve">Gourmet Food Kot Abdul Malik </v>
      </c>
      <c r="T15" s="300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274">
        <f>H16/40</f>
        <v>7</v>
      </c>
      <c r="H16" s="113">
        <f t="shared" ref="H16:M16" si="3">SUM(H7:H15)</f>
        <v>280</v>
      </c>
      <c r="I16" s="114">
        <f t="shared" si="3"/>
        <v>18725</v>
      </c>
      <c r="J16" s="274">
        <f>SUM(J7:J15)</f>
        <v>3370.4999999999991</v>
      </c>
      <c r="K16" s="275">
        <f t="shared" si="3"/>
        <v>0</v>
      </c>
      <c r="L16" s="276">
        <f t="shared" si="3"/>
        <v>0</v>
      </c>
      <c r="M16" s="232">
        <f t="shared" si="3"/>
        <v>15354.5</v>
      </c>
      <c r="N16" s="233">
        <f>SUM(N7:N15)</f>
        <v>3538.983050847457</v>
      </c>
      <c r="O16" s="101">
        <f>SUM(O7:O15)</f>
        <v>94.467415254237281</v>
      </c>
      <c r="P16" s="113">
        <f>SUM(P7:P15)</f>
        <v>18987.950466101691</v>
      </c>
      <c r="Q16" s="128">
        <f>SUM(Q7:Q15)</f>
        <v>120</v>
      </c>
      <c r="R16" s="318">
        <v>14</v>
      </c>
      <c r="S16" s="414" t="str">
        <f>+'14'!A6:A6</f>
        <v xml:space="preserve">Gourmet Food Shadra Town </v>
      </c>
      <c r="T16" s="300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414" t="str">
        <f>+'15'!A6:A6</f>
        <v>Gourmet Food Bilal Ganjh</v>
      </c>
      <c r="T17" s="300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414" t="str">
        <f>+'16'!A6:A6</f>
        <v xml:space="preserve">Gourmet Food Kot Khuaja Saeed </v>
      </c>
      <c r="T18" s="300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18725</v>
      </c>
      <c r="R19" s="299">
        <v>17</v>
      </c>
      <c r="S19" s="414" t="str">
        <f>+'17'!A6:A6</f>
        <v xml:space="preserve">Gourmet Food Killa Lakshman singh </v>
      </c>
      <c r="T19" s="300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3370.4999999999991</v>
      </c>
      <c r="R20" s="299">
        <v>18</v>
      </c>
      <c r="S20" s="414" t="str">
        <f>+'18'!A6:A6</f>
        <v>Gourmet Food Imamia Colony</v>
      </c>
      <c r="T20" s="300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0</v>
      </c>
      <c r="R21" s="299">
        <v>19</v>
      </c>
      <c r="S21" s="414" t="str">
        <f>+'19'!A6:A6</f>
        <v xml:space="preserve">Gourmet Food Badami bagh </v>
      </c>
      <c r="T21" s="300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15354.5</v>
      </c>
      <c r="R22" s="299">
        <v>20</v>
      </c>
      <c r="S22" s="319" t="str">
        <f>+'20'!A6:A6</f>
        <v>Gourmet Food Baghban pura</v>
      </c>
      <c r="T22" s="300">
        <f>+'20'!P35</f>
        <v>10967.176865593221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3538.983050847457</v>
      </c>
      <c r="R23" s="299">
        <v>21</v>
      </c>
      <c r="S23" s="414" t="str">
        <f>+'21'!A6:A6</f>
        <v>Gourmet Food Nadra Abad</v>
      </c>
      <c r="T23" s="300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18893.483050847455</v>
      </c>
      <c r="R24" s="299">
        <v>22</v>
      </c>
      <c r="S24" s="414" t="str">
        <f>+'22'!A6:A6</f>
        <v>Gourmet Food Ghazi Road</v>
      </c>
      <c r="T24" s="300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94.467415254237281</v>
      </c>
      <c r="R25" s="299">
        <v>23</v>
      </c>
      <c r="S25" s="414" t="str">
        <f>+'23'!A6:A6</f>
        <v>Gourmet Food FF DHA</v>
      </c>
      <c r="T25" s="300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18987.950466101691</v>
      </c>
      <c r="R26" s="299">
        <v>24</v>
      </c>
      <c r="S26" s="414" t="str">
        <f>+'24'!A6:A6</f>
        <v>Gourmet Food Sultanpura</v>
      </c>
      <c r="T26" s="300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414" t="str">
        <f>+'25'!A6:A6</f>
        <v>Gourmet Food Militery Account</v>
      </c>
      <c r="T27" s="300">
        <f>+'25'!P35</f>
        <v>0</v>
      </c>
    </row>
    <row r="28" spans="1:20" ht="21.75" customHeight="1" x14ac:dyDescent="0.35">
      <c r="R28" s="299">
        <v>26</v>
      </c>
      <c r="S28" s="414" t="str">
        <f>+'26'!A6:A6</f>
        <v>Gourmet Food Nishat Colony</v>
      </c>
      <c r="T28" s="300">
        <f>+'26'!P35</f>
        <v>0</v>
      </c>
    </row>
    <row r="29" spans="1:20" ht="21.75" customHeight="1" x14ac:dyDescent="0.35">
      <c r="L29">
        <v>0</v>
      </c>
      <c r="R29" s="299">
        <v>27</v>
      </c>
      <c r="S29" s="414" t="str">
        <f>+'27'!A6:A6</f>
        <v>Gourmet Food Rehmanpura</v>
      </c>
      <c r="T29" s="300">
        <f>+'27'!P35</f>
        <v>0</v>
      </c>
    </row>
    <row r="30" spans="1:20" ht="21.75" customHeight="1" x14ac:dyDescent="0.35">
      <c r="R30" s="299">
        <v>28</v>
      </c>
      <c r="S30" s="414" t="str">
        <f>+'28'!A6:A6</f>
        <v>Gourmet Food Riwind Road</v>
      </c>
      <c r="T30" s="300">
        <f>+'28'!P35</f>
        <v>0</v>
      </c>
    </row>
    <row r="31" spans="1:20" ht="21.75" customHeight="1" x14ac:dyDescent="0.35">
      <c r="R31" s="299">
        <v>29</v>
      </c>
      <c r="S31" s="317" t="str">
        <f>+'29'!A6:A6</f>
        <v xml:space="preserve">Gourmet Food  Chung </v>
      </c>
      <c r="T31" s="300">
        <f>+'29'!P35</f>
        <v>0</v>
      </c>
    </row>
    <row r="32" spans="1:20" ht="21.75" customHeight="1" x14ac:dyDescent="0.35">
      <c r="R32" s="299">
        <v>30</v>
      </c>
      <c r="S32" s="317" t="str">
        <f>+'30'!A6:A6</f>
        <v>Gourmet Food Moter Way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18987.950466101694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6" zoomScaleNormal="10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7.25" customHeight="1" x14ac:dyDescent="0.4">
      <c r="A6" s="398" t="s">
        <v>521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  <c r="F2" t="s">
        <v>516</v>
      </c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522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>
        <v>40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0</v>
      </c>
      <c r="L25" s="276">
        <f t="shared" si="7"/>
        <v>0</v>
      </c>
      <c r="M25" s="232">
        <f t="shared" si="7"/>
        <v>1720.77</v>
      </c>
      <c r="N25" s="233">
        <f>SUM(N16:N24)</f>
        <v>396.61016949152526</v>
      </c>
      <c r="O25" s="101">
        <f>SUM(O16:O24)</f>
        <v>10.586900847457626</v>
      </c>
      <c r="P25" s="113">
        <f>SUM(P16:P24)</f>
        <v>2127.9670703389825</v>
      </c>
      <c r="Q25" s="128">
        <f>SUM(Q16:Q24)</f>
        <v>120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2098.5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377.72999999999996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1720.77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2117.3801694915251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10.586900847457626</v>
      </c>
    </row>
    <row r="35" spans="2:16" ht="15.75" customHeight="1" thickBot="1" x14ac:dyDescent="0.4">
      <c r="N35" s="344" t="s">
        <v>88</v>
      </c>
      <c r="O35" s="345"/>
      <c r="P35" s="297">
        <f>+P33+P34</f>
        <v>2127.9670703389825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9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46302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46301</v>
      </c>
      <c r="O5" s="369"/>
      <c r="P5" s="369"/>
      <c r="R5" s="85"/>
      <c r="S5" s="266"/>
    </row>
    <row r="6" spans="1:22 16383:16384" ht="18.75" customHeight="1" x14ac:dyDescent="0.4">
      <c r="A6" s="398" t="s">
        <v>523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524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zoomScaleNormal="10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525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526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527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5811.2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1046.0159999999998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4765.1840000000002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5863.4890847457627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4" t="s">
        <v>88</v>
      </c>
      <c r="O35" s="345"/>
      <c r="P35" s="297">
        <f>+P33+P34</f>
        <v>5892.8065301694915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zoomScale="110" zoomScaleNormal="11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528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529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530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46302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46301</v>
      </c>
      <c r="O5" s="369"/>
      <c r="P5" s="369"/>
      <c r="R5" s="85"/>
      <c r="S5" s="266"/>
    </row>
    <row r="6" spans="1:22 16383:16384" ht="15" customHeight="1" x14ac:dyDescent="0.4">
      <c r="A6" s="398" t="s">
        <v>531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532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46302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46301</v>
      </c>
      <c r="O5" s="369"/>
      <c r="P5" s="369"/>
      <c r="R5" s="85"/>
      <c r="S5" s="266"/>
    </row>
    <row r="6" spans="1:22 16383:16384" ht="15" customHeight="1" x14ac:dyDescent="0.4">
      <c r="A6" s="398" t="s">
        <v>533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46302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46301</v>
      </c>
      <c r="O5" s="369"/>
      <c r="P5" s="369"/>
      <c r="R5" s="85"/>
      <c r="S5" s="266"/>
    </row>
    <row r="6" spans="1:22 16383:16384" ht="15" customHeight="1" x14ac:dyDescent="0.4">
      <c r="A6" s="398" t="s">
        <v>534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46302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46301</v>
      </c>
      <c r="O5" s="369"/>
      <c r="P5" s="369"/>
      <c r="R5" s="85"/>
      <c r="S5" s="266"/>
    </row>
    <row r="6" spans="1:22 16383:16384" ht="15" customHeight="1" x14ac:dyDescent="0.4">
      <c r="A6" s="398" t="s">
        <v>535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56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536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  <c r="S30" s="215"/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46302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46301</v>
      </c>
      <c r="O5" s="369"/>
      <c r="P5" s="369"/>
      <c r="R5" s="85"/>
      <c r="S5" s="266"/>
    </row>
    <row r="6" spans="1:22 16383:16384" ht="15" customHeight="1" x14ac:dyDescent="0.4">
      <c r="A6" s="398" t="s">
        <v>537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46302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46301</v>
      </c>
      <c r="O5" s="369"/>
      <c r="P5" s="369"/>
      <c r="R5" s="85"/>
      <c r="S5" s="266"/>
    </row>
    <row r="6" spans="1:22 16383:16384" ht="15" customHeight="1" x14ac:dyDescent="0.4">
      <c r="A6" s="398" t="s">
        <v>538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9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46302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46301</v>
      </c>
      <c r="O5" s="369"/>
      <c r="P5" s="369"/>
      <c r="R5" s="85"/>
      <c r="S5" s="266"/>
    </row>
    <row r="6" spans="1:22 16383:16384" ht="15" customHeight="1" x14ac:dyDescent="0.4">
      <c r="A6" s="398" t="s">
        <v>539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8.75" customHeight="1" x14ac:dyDescent="0.4">
      <c r="A6" s="398" t="s">
        <v>540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10815.300000000001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1946.7539999999995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8868.5460000000021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10912.613796610171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44" t="s">
        <v>88</v>
      </c>
      <c r="O35" s="345"/>
      <c r="P35" s="297">
        <f>+P33+P34</f>
        <v>10967.176865593221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6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541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542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543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544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545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6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546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21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46302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46301</v>
      </c>
      <c r="O5" s="369"/>
      <c r="P5" s="369"/>
      <c r="R5" s="85"/>
      <c r="S5" s="266"/>
    </row>
    <row r="6" spans="1:22 16383:16384" ht="15" customHeight="1" x14ac:dyDescent="0.4">
      <c r="A6" s="398" t="s">
        <v>547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519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46295</v>
      </c>
      <c r="O5" s="369"/>
      <c r="P5" s="369"/>
      <c r="R5" s="85"/>
      <c r="S5" s="266"/>
    </row>
    <row r="6" spans="1:22 16383:16384" ht="15" customHeight="1" x14ac:dyDescent="0.4">
      <c r="A6" s="398" t="s">
        <v>520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6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46303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46302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2026-10-07T05:19:58Z</dcterms:modified>
</cp:coreProperties>
</file>