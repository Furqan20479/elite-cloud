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937712D-FECF-4D11-AB14-6549A88E461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5" i="11"/>
  <c r="N4" i="51"/>
  <c r="N4" i="50"/>
  <c r="N5" i="50" s="1"/>
  <c r="N4" i="57"/>
  <c r="N4" i="55"/>
  <c r="N4" i="68"/>
  <c r="N5" i="68" s="1"/>
  <c r="N4" i="67"/>
  <c r="N5" i="67" s="1"/>
  <c r="N4" i="46"/>
  <c r="N4" i="53"/>
  <c r="N4" i="69"/>
  <c r="N5" i="69" s="1"/>
  <c r="N4" i="59"/>
  <c r="N5" i="59" s="1"/>
  <c r="N4" i="61"/>
  <c r="N4" i="64"/>
  <c r="N5" i="64" s="1"/>
  <c r="N4" i="63"/>
  <c r="N4" i="70"/>
  <c r="N5" i="70" s="1"/>
  <c r="N4" i="45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<sst xmlns="http://schemas.openxmlformats.org/spreadsheetml/2006/main" count="3948" uniqueCount="526">
  <si>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</si>
  <si>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</si>
  <si>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</si>
  <si>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</si>
  <si>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</si>
  <si>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</si>
  <si>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</si>
  <si>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</si>
  <si>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</si>
  <si>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</si>
  <si>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</si>
  <si>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</si>
  <si>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</si>
  <si>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</si>
  <si>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</si>
  <si>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</si>
  <si>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</si>
  <si>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</si>
  <si>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</si>
  <si>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</si>
  <si>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</si>
  <si>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</si>
  <si>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</si>
  <si>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</si>
  <si>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</si>
  <si>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</si>
  <si>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</si>
  <si>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</si>
  <si>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</si>
  <si>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</si>
  <si>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</si>
  <si>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</si>
  <si>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</si>
  <si>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</si>
  <si>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</si>
  <si>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</si>
  <si>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</si>
  <si>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</si>
  <si>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</si>
  <si>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</si>
  <si>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</si>
  <si>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</si>
  <si>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</si>
  <si>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</si>
  <si>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</si>
  <si>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</si>
  <si>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</si>
  <si>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</si>
  <si>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</si>
  <si>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</si>
  <si>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</si>
  <si>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</si>
  <si>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</si>
  <si>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</si>
  <si>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</si>
  <si>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</si>
  <si>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</si>
  <si>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</si>
  <si>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</si>
  <si>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</si>
  <si>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</si>
  <si>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</si>
  <si>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</si>
  <si>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</si>
  <si>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</si>
  <si>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</si>
  <si>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</si>
  <si>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</si>
  <si>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</si>
  <si>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</si>
  <si>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</si>
  <si>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</si>
  <si>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</si>
  <si>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</si>
  <si>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</si>
  <si>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</si>
  <si>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</si>
  <si>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</si>
  <si>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</si>
  <si>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</si>
  <si>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</si>
  <si>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</si>
  <si>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</si>
  <si>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</si>
  <si>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</si>
  <si>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</si>
  <si>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</si>
  <si>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</si>
  <si>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</si>
  <si>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</si>
  <si>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</si>
  <si>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</si>
  <si>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</si>
  <si>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</si>
  <si>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</si>
  <si>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</si>
  <si>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</si>
  <si>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</si>
  <si>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</si>
  <si>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</si>
  <si>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</si>
  <si>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</si>
  <si>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</si>
  <si>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</si>
  <si>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</si>
  <si>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</si>
  <si>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</si>
  <si>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</si>
  <si>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</si>
  <si>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</si>
  <si>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</si>
  <si>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</si>
  <si>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</si>
  <si>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</si>
  <si>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</si>
  <si>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</si>
  <si>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</si>
  <si>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</si>
  <si>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</si>
  <si>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</si>
  <si>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</si>
  <si>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</si>
  <si>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</si>
  <si>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</si>
  <si>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</si>
  <si>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</si>
  <si>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</si>
  <si>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</si>
  <si>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</si>
  <si>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</si>
  <si>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</si>
  <si>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</si>
  <si>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</si>
  <si>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</si>
  <si>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</si>
  <si>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</si>
  <si>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</si>
  <si>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</si>
  <si>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</si>
  <si>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</si>
  <si>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</si>
  <si>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</si>
  <si>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</si>
  <si>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</si>
  <si>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</si>
  <si>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</si>
  <si>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</si>
  <si>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</si>
  <si>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</si>
  <si>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</si>
  <si>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</si>
  <si>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</si>
  <si>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</si>
  <si>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</si>
  <si>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</si>
  <si>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</si>
  <si>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</si>
  <si>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</si>
  <si>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</si>
  <si>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</si>
  <si>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</si>
  <si>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</si>
  <si>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</si>
  <si>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</si>
  <si>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</si>
  <si>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</si>
  <si>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</si>
  <si>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</si>
  <si>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</si>
  <si>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</si>
  <si>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</si>
  <si>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</si>
  <si>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</si>
  <si>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</si>
  <si>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</si>
  <si>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</si>
  <si>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</si>
  <si>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</si>
  <si>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</si>
  <si>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</si>
  <si>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</si>
  <si>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</si>
  <si>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</si>
  <si>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</si>
  <si>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</si>
  <si>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</si>
  <si>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</si>
  <si>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</si>
  <si>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</si>
  <si>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</si>
  <si>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</si>
  <si>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</si>
  <si>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</si>
  <si>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</si>
  <si>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</si>
  <si>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</si>
  <si>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</si>
  <si>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</si>
  <si>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</si>
  <si>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</si>
  <si>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</si>
  <si>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</si>
  <si>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</si>
  <si>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</si>
  <si>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</si>
  <si>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</si>
  <si>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</si>
  <si>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</si>
  <si>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</si>
  <si>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</si>
  <si>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</si>
  <si>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</si>
  <si>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</si>
  <si>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</si>
  <si>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</si>
  <si>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</si>
  <si>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</si>
  <si>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</si>
  <si>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</si>
  <si>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</si>
  <si>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</si>
  <si>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</si>
  <si>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</si>
  <si>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</si>
  <si>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</si>
  <si>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</si>
  <si>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</si>
  <si>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</si>
  <si>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</si>
  <si>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</si>
  <si>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</si>
  <si>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</si>
  <si>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</si>
  <si>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</si>
  <si>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</si>
  <si>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</si>
  <si>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</si>
  <si>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</si>
  <si>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</si>
  <si>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</si>
  <si>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</si>
  <si>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</si>
  <si>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</si>
  <si>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</si>
  <si>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</si>
  <si>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</si>
  <si>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</si>
  <si>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</si>
  <si>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</si>
  <si>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</si>
  <si>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</si>
  <si>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</si>
  <si>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</si>
  <si>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</si>
  <si>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</si>
  <si>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</si>
  <si>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</si>
  <si>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</si>
  <si>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</si>
  <si>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</si>
  <si>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</si>
  <si>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</si>
  <si>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</si>
  <si>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</si>
  <si>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</si>
  <si>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</si>
  <si>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</si>
  <si>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</si>
  <si>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</si>
  <si>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</si>
  <si>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</si>
  <si>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</si>
  <si>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</si>
  <si>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</si>
  <si>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</si>
  <si>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</si>
  <si>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</si>
  <si>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</si>
  <si>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</si>
  <si>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</si>
  <si>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</si>
  <si>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</si>
  <si>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</si>
  <si>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</si>
  <si>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</si>
  <si>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</si>
  <si>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</si>
  <si>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</si>
  <si>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</si>
  <si>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</si>
  <si>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</si>
  <si>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</si>
  <si>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</si>
  <si>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</si>
  <si>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</si>
  <si>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</si>
  <si>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</si>
  <si>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</si>
  <si>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</si>
  <si>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</si>
  <si>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</si>
  <si>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</si>
  <si>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</si>
  <si>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</si>
  <si>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</si>
  <si>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</si>
  <si>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</si>
  <si>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</si>
  <si>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</si>
  <si>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</si>
  <si>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</si>
  <si>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</si>
  <si>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</si>
  <si>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</si>
  <si>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</si>
  <si>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</si>
  <si>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</si>
  <si>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</si>
  <si>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</si>
  <si>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</si>
  <si>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</si>
  <si>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</si>
  <si>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</si>
  <si>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</si>
  <si>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</si>
  <si>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</si>
  <si>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</si>
  <si>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</si>
  <si>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</si>
  <si>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</si>
  <si>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</si>
  <si>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</si>
  <si>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</si>
  <si>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</si>
  <si>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</si>
  <si>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</si>
  <si>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</si>
  <si>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</si>
  <si>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</si>
  <si>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</si>
  <si>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</si>
  <si>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</si>
  <si>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</si>
  <si>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</si>
  <si>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</si>
  <si>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</si>
  <si>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</si>
  <si>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</si>
  <si>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</si>
  <si>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</si>
  <si>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</si>
  <si>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</si>
  <si>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</si>
  <si>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</si>
  <si>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</si>
  <si>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</si>
  <si>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</si>
  <si>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</si>
  <si>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</si>
  <si>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</si>
  <si>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</si>
  <si>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</si>
  <si>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</si>
  <si>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</si>
  <si>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</si>
  <si>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</si>
  <si>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</si>
  <si>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</si>
  <si>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</si>
  <si>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</si>
  <si>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</si>
  <si>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</si>
  <si>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</si>
  <si>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</si>
  <si>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</si>
  <si>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</si>
  <si>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</si>
  <si>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</si>
  <si>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</si>
  <si>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</si>
  <si>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</si>
  <si>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</si>
  <si>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</si>
  <si>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</si>
  <si>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</si>
  <si>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</si>
  <si>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</si>
  <si>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</si>
  <si>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</si>
  <si>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</si>
  <si>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</si>
  <si>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</si>
  <si>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</si>
  <si>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</si>
  <si>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</si>
  <si>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</si>
  <si>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</si>
  <si>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</si>
  <si>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</si>
  <si>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</si>
  <si>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</si>
  <si>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</si>
  <si>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</si>
  <si>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</si>
  <si>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</si>
  <si>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</si>
  <si>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</si>
  <si>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</si>
  <si>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</si>
  <si>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</si>
  <si>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</si>
  <si>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</si>
  <si>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</si>
  <si>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</si>
  <si>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</si>
  <si>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</si>
  <si>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</si>
  <si>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</si>
  <si>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</si>
  <si>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</si>
  <si>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</si>
  <si>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</si>
  <si>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</si>
  <si>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</si>
  <si>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</si>
  <si>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</si>
  <si>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</si>
  <si>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</si>
  <si>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</si>
  <si>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</si>
  <si>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</si>
  <si>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</si>
  <si>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</si>
  <si>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</si>
  <si>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</si>
  <si>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</si>
  <si>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</si>
  <si>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</si>
  <si>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</si>
  <si>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</si>
  <si>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</si>
  <si>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</si>
  <si>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</si>
  <si>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</si>
  <si>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</si>
  <si>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</si>
  <si>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</si>
  <si>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</si>
  <si>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</si>
  <si>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</si>
  <si>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</si>
  <si>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</si>
  <si>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</si>
  <si>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</si>
  <si>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</si>
  <si>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</si>
  <si>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</si>
  <si>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</si>
  <si>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</si>
  <si>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</si>
  <si>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</si>
  <si>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</si>
  <si>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</si>
  <si>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</si>
  <si>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</si>
  <si>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</si>
  <si>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</si>
  <si>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</si>
  <si>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</si>
  <si>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</si>
  <si>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</si>
  <si>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</si>
  <si>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</si>
  <si>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</si>
  <si>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</si>
  <si>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</si>
  <si>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</si>
  <si>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</si>
  <si>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</si>
  <si>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</si>
  <si>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</si>
  <si>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</si>
  <si>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</si>
  <si>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</si>
  <si>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</si>
  <si>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</si>
  <si>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</si>
  <si>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</si>
  <si>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</si>
  <si>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</si>
  <si>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</si>
  <si>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</si>
  <si>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</si>
  <si>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</si>
  <si>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</si>
  <si>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</si>
  <si>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</si>
  <si>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</si>
  <si>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</si>
  <si>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</si>
  <si>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</si>
  <si>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</si>
  <si>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</si>
  <si>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</si>
  <si>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</si>
  <si>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</si>
  <si>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</si>
  <si>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</si>
  <si>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</si>
  <si>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</si>
  <si>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</si>
  <si>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</si>
  <si>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</si>
  <si>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</si>
  <si>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</si>
  <si>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Rifal Range Road</t>
  </si>
  <si>
    <t xml:space="preserve">Mirch Mahal </t>
  </si>
  <si>
    <t>Daim Store</t>
  </si>
  <si>
    <t>786 Store</t>
  </si>
  <si>
    <t>Ahmad Store</t>
  </si>
  <si>
    <t>Al Makkah Store</t>
  </si>
  <si>
    <t>Essa G Store</t>
  </si>
  <si>
    <t>Address: Bedian Road</t>
  </si>
  <si>
    <t>Hikers Store</t>
  </si>
  <si>
    <t>Best Mart</t>
  </si>
  <si>
    <t xml:space="preserve">Shamza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</si>
</sst>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Mirch Mahal </v>
      </c>
      <c r="T3" s="301">
        <f>+'1'!P35</f>
        <v>675.15789599046616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Daim Store</v>
      </c>
      <c r="T4" s="301">
        <f>+'2'!P35</f>
        <v>675.15789599046616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786 Store</v>
      </c>
      <c r="T5" s="301">
        <f>+'3'!P35</f>
        <v>675.15789599046616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Ahmad Store</v>
      </c>
      <c r="T6" s="301">
        <f>+'4'!P35</f>
        <v>675.15789599046616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100</v>
      </c>
      <c r="I7" s="235">
        <f>(G7*D7)*F7+H7*F7</f>
        <v>5246.25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545.61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183.61875000000001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4517.0212499999998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991.52542372881317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27.542733368644068</v>
      </c>
      <c r="P7" s="310">
        <f>M7+N7+O7</f>
        <v>5536.0894070974573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Makkah Store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272.80500000000001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2258.5106249999999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13.771366684322034</v>
      </c>
      <c r="P8" s="311">
        <f t="shared" ref="P8:P15" si="2">M8+N8+O8</f>
        <v>2768.0447035487286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Essa G Store</v>
      </c>
      <c r="T8" s="301">
        <f>+'6'!P35</f>
        <v>43696.768297881361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130</v>
      </c>
      <c r="I9" s="236">
        <f t="shared" si="0"/>
        <v>6820.125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734.47500000000002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238.70437500000003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5846.9456250000003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1288.983050847457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35.679643379237291</v>
      </c>
      <c r="P9" s="311">
        <f t="shared" si="2"/>
        <v>7171.6083192266942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Hikers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125</v>
      </c>
      <c r="I10" s="236">
        <f t="shared" si="0"/>
        <v>9080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987.904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317.8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7774.2960000000003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1716.1016949152545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47.451988474576268</v>
      </c>
      <c r="P10" s="311">
        <f t="shared" si="2"/>
        <v>9537.8496833898316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Best Mart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90</v>
      </c>
      <c r="I11" s="236">
        <f t="shared" si="0"/>
        <v>6537.6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228.81600000000003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5611.4400000000005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1235.5932203389832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34.235166101694915</v>
      </c>
      <c r="P11" s="311">
        <f t="shared" si="2"/>
        <v>6881.2683864406781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Shamza Mart 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220</v>
      </c>
      <c r="I12" s="236">
        <f t="shared" si="0"/>
        <v>15980.8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1714.3039999999999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559.32800000000009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13707.168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3020.3389830508477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83.63753491525425</v>
      </c>
      <c r="P12" s="311">
        <f t="shared" si="2"/>
        <v>16811.144517966102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17.875</v>
      </c>
      <c r="H16" s="113">
        <f t="shared" ref="H16:M16" si="3">SUM(H7:H15)</f>
        <v>715</v>
      </c>
      <c r="I16" s="114">
        <f t="shared" si="3"/>
        <v>46287.899999999994</v>
      </c>
      <c r="J16" s="274">
        <f>SUM(J7:J15)</f>
        <v>4952.442</v>
      </c>
      <c r="K16" s="275">
        <f t="shared" si="3"/>
        <v>1620.0765000000001</v>
      </c>
      <c r="L16" s="276">
        <f t="shared" si="3"/>
        <v>0</v>
      </c>
      <c r="M16" s="232">
        <f t="shared" si="3"/>
        <v>39715.381500000003</v>
      </c>
      <c r="N16" s="233">
        <f>SUM(N7:N15)</f>
        <v>8748.3050847457616</v>
      </c>
      <c r="O16" s="101">
        <f>SUM(O7:O15)</f>
        <v>242.31843292372884</v>
      </c>
      <c r="P16" s="113">
        <f>SUM(P7:P15)</f>
        <v>48706.005017669493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46287.899999999994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4952.442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1620.0765000000001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39715.381499999989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8748.3050847457616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48463.686584745752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242.31843292372884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48706.005017669479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48706.0050176695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7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625.51250000000005</v>
      </c>
      <c r="J25" s="274">
        <f>SUM(J16:J24)</f>
        <v>50.040999999999997</v>
      </c>
      <c r="K25" s="275">
        <f t="shared" si="10"/>
        <v>21.892937500000002</v>
      </c>
      <c r="L25" s="276">
        <f t="shared" si="10"/>
        <v>0</v>
      </c>
      <c r="M25" s="232">
        <f t="shared" si="10"/>
        <v>553.57856250000009</v>
      </c>
      <c r="N25" s="233">
        <f>SUM(N16:N24)</f>
        <v>118.22033898305082</v>
      </c>
      <c r="O25" s="101">
        <f>SUM(O16:O24)</f>
        <v>3.3589945074152543</v>
      </c>
      <c r="P25" s="234">
        <f>SUM(P16:P24)</f>
        <v>675.15789599046616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625.51250000000005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50.040999999999997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21.892937500000002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553.57856250000009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118.22033898305082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671.79890148305094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3.3589945074152547</v>
      </c>
    </row>
    <row r="35" spans="2:16" ht="15.75" customHeight="1" thickBot="1" x14ac:dyDescent="0.4">
      <c r="N35" s="374" t="s">
        <v>88</v>
      </c>
      <c r="O35" s="375"/>
      <c r="P35" s="297">
        <f>+P33+P34</f>
        <v>675.15789599046616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625.51250000000005</v>
      </c>
      <c r="J25" s="274">
        <f>SUM(J16:J24)</f>
        <v>50.040999999999997</v>
      </c>
      <c r="K25" s="275">
        <f t="shared" si="7"/>
        <v>21.892937500000002</v>
      </c>
      <c r="L25" s="276">
        <f t="shared" si="7"/>
        <v>0</v>
      </c>
      <c r="M25" s="232">
        <f t="shared" si="7"/>
        <v>553.57856250000009</v>
      </c>
      <c r="N25" s="233">
        <f>SUM(N16:N24)</f>
        <v>118.22033898305082</v>
      </c>
      <c r="O25" s="101">
        <f>SUM(O16:O24)</f>
        <v>3.3589945074152543</v>
      </c>
      <c r="P25" s="234">
        <f>SUM(P16:P24)</f>
        <v>675.15789599046616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625.51250000000005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50.040999999999997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21.892937500000002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553.57856250000009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118.22033898305082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671.79890148305094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3.3589945074152547</v>
      </c>
    </row>
    <row r="35" spans="2:16" ht="15.75" customHeight="1" thickBot="1" x14ac:dyDescent="0.4">
      <c r="N35" s="374" t="s">
        <v>88</v>
      </c>
      <c r="O35" s="375"/>
      <c r="P35" s="297">
        <f>+P33+P34</f>
        <v>675.15789599046616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625.51250000000005</v>
      </c>
      <c r="J25" s="274">
        <f>SUM(J16:J24)</f>
        <v>50.040999999999997</v>
      </c>
      <c r="K25" s="275">
        <f t="shared" si="7"/>
        <v>21.892937500000002</v>
      </c>
      <c r="L25" s="276">
        <f t="shared" si="7"/>
        <v>0</v>
      </c>
      <c r="M25" s="232">
        <f t="shared" si="7"/>
        <v>553.57856250000009</v>
      </c>
      <c r="N25" s="233">
        <f>SUM(N16:N24)</f>
        <v>118.22033898305082</v>
      </c>
      <c r="O25" s="101">
        <f>SUM(O16:O24)</f>
        <v>3.3589945074152543</v>
      </c>
      <c r="P25" s="234">
        <f>SUM(P16:P24)</f>
        <v>675.15789599046616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625.51250000000005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50.040999999999997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21.892937500000002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553.57856250000009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118.22033898305082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671.79890148305094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3.3589945074152547</v>
      </c>
    </row>
    <row r="35" spans="2:16" ht="15.75" customHeight="1" thickBot="1" x14ac:dyDescent="0.4">
      <c r="N35" s="374" t="s">
        <v>88</v>
      </c>
      <c r="O35" s="375"/>
      <c r="P35" s="297">
        <f>+P33+P34</f>
        <v>675.15789599046616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625.51250000000005</v>
      </c>
      <c r="J25" s="274">
        <f>SUM(J16:J24)</f>
        <v>50.040999999999997</v>
      </c>
      <c r="K25" s="275">
        <f t="shared" si="7"/>
        <v>21.892937500000002</v>
      </c>
      <c r="L25" s="276">
        <f t="shared" si="7"/>
        <v>0</v>
      </c>
      <c r="M25" s="232">
        <f t="shared" si="7"/>
        <v>553.57856250000009</v>
      </c>
      <c r="N25" s="233">
        <f>SUM(N16:N24)</f>
        <v>118.22033898305082</v>
      </c>
      <c r="O25" s="101">
        <f>SUM(O16:O24)</f>
        <v>3.3589945074152543</v>
      </c>
      <c r="P25" s="234">
        <f>SUM(P16:P24)</f>
        <v>675.15789599046616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625.51250000000005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50.040999999999997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21.892937500000002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553.57856250000009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118.22033898305082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671.79890148305094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3.3589945074152547</v>
      </c>
    </row>
    <row r="35" spans="2:16" ht="15.75" customHeight="1" thickBot="1" x14ac:dyDescent="0.4">
      <c r="N35" s="374" t="s">
        <v>88</v>
      </c>
      <c r="O35" s="375"/>
      <c r="P35" s="297">
        <f>+P33+P34</f>
        <v>675.15789599046616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461.67</v>
      </c>
      <c r="K16" s="127">
        <f>$I16*T16</f>
        <v>146.89500000000001</v>
      </c>
      <c r="L16" s="118">
        <f>$I16*U16</f>
        <v>0</v>
      </c>
      <c r="M16" s="229">
        <f>I16-SUM(J16:L16)</f>
        <v>3588.4349999999999</v>
      </c>
      <c r="N16" s="248">
        <f>+(G16*D16+H16)*V16</f>
        <v>793.22033898305051</v>
      </c>
      <c r="O16" s="238">
        <f>(N16+M16)*$O$15</f>
        <v>21.908276694915255</v>
      </c>
      <c r="P16" s="118">
        <f>M16+N16+O16</f>
        <v>4403.5636156779656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230.83500000000001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1794.2175</v>
      </c>
      <c r="N17" s="277">
        <f t="shared" ref="N17:N24" si="3">+(G17*D17+H17)*V17</f>
        <v>396.61016949152526</v>
      </c>
      <c r="O17" s="239">
        <f t="shared" ref="O17:O24" si="4">(N17+M17)*$O$15</f>
        <v>10.954138347457627</v>
      </c>
      <c r="P17" s="119">
        <f t="shared" ref="P17:P24" si="5">M17+N17+O17</f>
        <v>2201.7818078389828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692.505</v>
      </c>
      <c r="K18" s="128">
        <f t="shared" si="1"/>
        <v>220.34250000000003</v>
      </c>
      <c r="L18" s="119">
        <f t="shared" si="1"/>
        <v>0</v>
      </c>
      <c r="M18" s="230">
        <f t="shared" si="2"/>
        <v>5382.6525000000001</v>
      </c>
      <c r="N18" s="277">
        <f t="shared" si="3"/>
        <v>1189.8305084745757</v>
      </c>
      <c r="O18" s="239">
        <f t="shared" si="4"/>
        <v>32.862415042372881</v>
      </c>
      <c r="P18" s="119">
        <f t="shared" si="5"/>
        <v>6605.3454235169484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958.84799999999996</v>
      </c>
      <c r="K19" s="128">
        <f t="shared" si="1"/>
        <v>305.08800000000002</v>
      </c>
      <c r="L19" s="119">
        <f t="shared" si="1"/>
        <v>0</v>
      </c>
      <c r="M19" s="230">
        <f t="shared" si="2"/>
        <v>7452.8639999999996</v>
      </c>
      <c r="N19" s="277">
        <f t="shared" si="3"/>
        <v>1647.4576271186443</v>
      </c>
      <c r="O19" s="239">
        <f t="shared" si="4"/>
        <v>45.501608135593216</v>
      </c>
      <c r="P19" s="119">
        <f t="shared" si="5"/>
        <v>9145.8232352542364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639.23199999999997</v>
      </c>
      <c r="K20" s="128">
        <f t="shared" si="1"/>
        <v>203.39200000000002</v>
      </c>
      <c r="L20" s="119">
        <f t="shared" si="1"/>
        <v>0</v>
      </c>
      <c r="M20" s="230">
        <f t="shared" si="2"/>
        <v>4968.576</v>
      </c>
      <c r="N20" s="277">
        <f t="shared" si="3"/>
        <v>1098.3050847457628</v>
      </c>
      <c r="O20" s="239">
        <f t="shared" si="4"/>
        <v>30.334405423728814</v>
      </c>
      <c r="P20" s="119">
        <f t="shared" si="5"/>
        <v>6097.2154901694912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1598.08</v>
      </c>
      <c r="K21" s="128">
        <f t="shared" si="1"/>
        <v>508.48000000000008</v>
      </c>
      <c r="L21" s="119">
        <f t="shared" si="1"/>
        <v>0</v>
      </c>
      <c r="M21" s="230">
        <f t="shared" si="2"/>
        <v>12421.44</v>
      </c>
      <c r="N21" s="277">
        <f t="shared" si="3"/>
        <v>2745.7627118644068</v>
      </c>
      <c r="O21" s="239">
        <f t="shared" si="4"/>
        <v>75.836013559322041</v>
      </c>
      <c r="P21" s="119">
        <f t="shared" si="5"/>
        <v>15243.038725423728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640</v>
      </c>
      <c r="I25" s="114">
        <f t="shared" si="7"/>
        <v>41647</v>
      </c>
      <c r="J25" s="274">
        <f>SUM(J16:J24)</f>
        <v>4581.17</v>
      </c>
      <c r="K25" s="275">
        <f t="shared" si="7"/>
        <v>1457.6450000000002</v>
      </c>
      <c r="L25" s="276">
        <f t="shared" si="7"/>
        <v>0</v>
      </c>
      <c r="M25" s="232">
        <f t="shared" si="7"/>
        <v>35608.185000000005</v>
      </c>
      <c r="N25" s="233">
        <f>SUM(N16:N24)</f>
        <v>7871.186440677965</v>
      </c>
      <c r="O25" s="101">
        <f>SUM(O16:O24)</f>
        <v>217.39685720338986</v>
      </c>
      <c r="P25" s="234">
        <f>SUM(P16:P24)</f>
        <v>43696.768297881354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41647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4581.17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1457.6450000000002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35608.185000000005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7871.186440677965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43479.371440677969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217.39685720338986</v>
      </c>
    </row>
    <row r="35" spans="2:16" ht="15.75" customHeight="1" thickBot="1" x14ac:dyDescent="0.4">
      <c r="N35" s="374" t="s">
        <v>88</v>
      </c>
      <c r="O35" s="375"/>
      <c r="P35" s="297">
        <f>+P33+P34</f>
        <v>43696.768297881361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2026-10-06T12:49:07Z</dcterms:modified>
</cp:coreProperties>
</file>