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8D39849-C016-4F82-BF54-5FA3B340A6F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13" i="62" l="1"/>
  <c r="H14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<sst xmlns="http://schemas.openxmlformats.org/spreadsheetml/2006/main" count="3974" uniqueCount="520">
  <si>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</si>
  <si>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</si>
  <si>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</si>
  <si>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</si>
  <si>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</si>
  <si>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</si>
  <si>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</si>
  <si>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</si>
  <si>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</si>
  <si>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</si>
  <si>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</si>
  <si>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</si>
  <si>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</si>
  <si>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</si>
  <si>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</si>
  <si>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</si>
  <si>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</si>
  <si>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</si>
  <si>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</si>
  <si>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</si>
  <si>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</si>
  <si>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</si>
  <si>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</si>
  <si>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</si>
  <si>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</si>
  <si>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</si>
  <si>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</si>
  <si>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</si>
  <si>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</si>
  <si>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</si>
  <si>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</si>
  <si>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</si>
  <si>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</si>
  <si>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</si>
  <si>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</si>
  <si>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</si>
  <si>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</si>
  <si>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</si>
  <si>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</si>
  <si>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</si>
  <si>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</si>
  <si>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</si>
  <si>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</si>
  <si>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</si>
  <si>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</si>
  <si>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</si>
  <si>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</si>
  <si>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</si>
  <si>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</si>
  <si>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</si>
  <si>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</si>
  <si>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</si>
  <si>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</si>
  <si>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</si>
  <si>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</si>
  <si>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</si>
  <si>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</si>
  <si>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</si>
  <si>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</si>
  <si>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</si>
  <si>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</si>
  <si>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</si>
  <si>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</si>
  <si>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</si>
  <si>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</si>
  <si>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</si>
  <si>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</si>
  <si>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</si>
  <si>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</si>
  <si>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</si>
  <si>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</si>
  <si>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</si>
  <si>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</si>
  <si>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</si>
  <si>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</si>
  <si>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</si>
  <si>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</si>
  <si>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</si>
  <si>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</si>
  <si>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</si>
  <si>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</si>
  <si>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</si>
  <si>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</si>
  <si>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</si>
  <si>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</si>
  <si>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</si>
  <si>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</si>
  <si>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</si>
  <si>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</si>
  <si>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</si>
  <si>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</si>
  <si>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</si>
  <si>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</si>
  <si>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</si>
  <si>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</si>
  <si>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</si>
  <si>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</si>
  <si>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</si>
  <si>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</si>
  <si>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</si>
  <si>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</si>
  <si>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</si>
  <si>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</si>
  <si>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</si>
  <si>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</si>
  <si>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</si>
  <si>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</si>
  <si>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</si>
  <si>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</si>
  <si>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</si>
  <si>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</si>
  <si>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</si>
  <si>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</si>
  <si>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</si>
  <si>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</si>
  <si>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</si>
  <si>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</si>
  <si>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</si>
  <si>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</si>
  <si>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</si>
  <si>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</si>
  <si>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</si>
  <si>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</si>
  <si>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</si>
  <si>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</si>
  <si>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</si>
  <si>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</si>
  <si>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</si>
  <si>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</si>
  <si>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</si>
  <si>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</si>
  <si>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</si>
  <si>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</si>
  <si>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</si>
  <si>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</si>
  <si>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</si>
  <si>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</si>
  <si>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</si>
  <si>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</si>
  <si>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</si>
  <si>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</si>
  <si>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</si>
  <si>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</si>
  <si>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</si>
  <si>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</si>
  <si>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</si>
  <si>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</si>
  <si>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</si>
  <si>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</si>
  <si>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</si>
  <si>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</si>
  <si>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</si>
  <si>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</si>
  <si>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</si>
  <si>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</si>
  <si>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</si>
  <si>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</si>
  <si>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</si>
  <si>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</si>
  <si>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</si>
  <si>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</si>
  <si>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</si>
  <si>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</si>
  <si>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</si>
  <si>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</si>
  <si>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</si>
  <si>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</si>
  <si>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</si>
  <si>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</si>
  <si>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</si>
  <si>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</si>
  <si>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</si>
  <si>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</si>
  <si>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</si>
  <si>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</si>
  <si>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</si>
  <si>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</si>
  <si>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</si>
  <si>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</si>
  <si>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</si>
  <si>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</si>
  <si>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</si>
  <si>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</si>
  <si>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</si>
  <si>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</si>
  <si>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</si>
  <si>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</si>
  <si>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</si>
  <si>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</si>
  <si>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</si>
  <si>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</si>
  <si>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</si>
  <si>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</si>
  <si>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</si>
  <si>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</si>
  <si>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</si>
  <si>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</si>
  <si>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</si>
  <si>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</si>
  <si>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</si>
  <si>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</si>
  <si>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</si>
  <si>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</si>
  <si>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</si>
  <si>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</si>
  <si>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</si>
  <si>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</si>
  <si>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</si>
  <si>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</si>
  <si>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</si>
  <si>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</si>
  <si>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</si>
  <si>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</si>
  <si>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</si>
  <si>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</si>
  <si>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</si>
  <si>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</si>
  <si>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</si>
  <si>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</si>
  <si>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</si>
  <si>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</si>
  <si>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</si>
  <si>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</si>
  <si>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</si>
  <si>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</si>
  <si>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</si>
  <si>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</si>
  <si>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</si>
  <si>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</si>
  <si>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</si>
  <si>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</si>
  <si>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</si>
  <si>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</si>
  <si>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</si>
  <si>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</si>
  <si>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</si>
  <si>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</si>
  <si>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</si>
  <si>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</si>
  <si>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</si>
  <si>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</si>
  <si>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</si>
  <si>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</si>
  <si>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</si>
  <si>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</si>
  <si>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</si>
  <si>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</si>
  <si>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</si>
  <si>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</si>
  <si>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</si>
  <si>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</si>
  <si>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</si>
  <si>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</si>
  <si>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</si>
  <si>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</si>
  <si>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</si>
  <si>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</si>
  <si>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</si>
  <si>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</si>
  <si>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</si>
  <si>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</si>
  <si>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</si>
  <si>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</si>
  <si>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</si>
  <si>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</si>
  <si>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</si>
  <si>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</si>
  <si>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</si>
  <si>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</si>
  <si>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</si>
  <si>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</si>
  <si>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</si>
  <si>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</si>
  <si>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</si>
  <si>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</si>
  <si>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</si>
  <si>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</si>
  <si>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</si>
  <si>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</si>
  <si>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</si>
  <si>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</si>
  <si>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</si>
  <si>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</si>
  <si>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</si>
  <si>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</si>
  <si>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</si>
  <si>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</si>
  <si>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</si>
  <si>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</si>
  <si>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</si>
  <si>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</si>
  <si>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</si>
  <si>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</si>
  <si>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</si>
  <si>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</si>
  <si>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</si>
  <si>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</si>
  <si>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</si>
  <si>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</si>
  <si>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</si>
  <si>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</si>
  <si>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</si>
  <si>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</si>
  <si>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</si>
  <si>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</si>
  <si>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</si>
  <si>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</si>
  <si>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</si>
  <si>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</si>
  <si>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</si>
  <si>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</si>
  <si>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</si>
  <si>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</si>
  <si>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</si>
  <si>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</si>
  <si>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</si>
  <si>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</si>
  <si>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</si>
  <si>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</si>
  <si>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</si>
  <si>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</si>
  <si>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</si>
  <si>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</si>
  <si>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</si>
  <si>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</si>
  <si>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</si>
  <si>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</si>
  <si>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</si>
  <si>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</si>
  <si>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</si>
  <si>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</si>
  <si>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</si>
  <si>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</si>
  <si>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</si>
  <si>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</si>
  <si>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</si>
  <si>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</si>
  <si>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</si>
  <si>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</si>
  <si>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</si>
  <si>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</si>
  <si>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</si>
  <si>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</si>
  <si>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</si>
  <si>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</si>
  <si>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</si>
  <si>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</si>
  <si>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</si>
  <si>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</si>
  <si>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</si>
  <si>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</si>
  <si>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</si>
  <si>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</si>
  <si>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</si>
  <si>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</si>
  <si>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</si>
  <si>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</si>
  <si>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</si>
  <si>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</si>
  <si>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</si>
  <si>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</si>
  <si>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</si>
  <si>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</si>
  <si>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</si>
  <si>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</si>
  <si>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</si>
  <si>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</si>
  <si>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</si>
  <si>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</si>
  <si>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</si>
  <si>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</si>
  <si>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</si>
  <si>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</si>
  <si>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</si>
  <si>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</si>
  <si>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</si>
  <si>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</si>
  <si>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</si>
  <si>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</si>
  <si>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</si>
  <si>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</si>
  <si>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</si>
  <si>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</si>
  <si>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</si>
  <si>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</si>
  <si>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</si>
  <si>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</si>
  <si>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</si>
  <si>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</si>
  <si>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</si>
  <si>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</si>
  <si>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</si>
  <si>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</si>
  <si>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</si>
  <si>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</si>
  <si>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</si>
  <si>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</si>
  <si>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</si>
  <si>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</si>
  <si>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</si>
  <si>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</si>
  <si>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</si>
  <si>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</si>
  <si>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</si>
  <si>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</si>
  <si>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</si>
  <si>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</si>
  <si>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</si>
  <si>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</si>
  <si>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</si>
  <si>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</si>
  <si>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</si>
  <si>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</si>
  <si>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</si>
  <si>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</si>
  <si>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</si>
  <si>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</si>
  <si>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</si>
  <si>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</si>
  <si>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</si>
  <si>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</si>
  <si>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</si>
  <si>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</si>
  <si>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</si>
  <si>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</si>
  <si>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</si>
  <si>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</si>
  <si>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</si>
  <si>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</si>
  <si>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</si>
  <si>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</si>
  <si>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</si>
  <si>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</si>
  <si>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</si>
  <si>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</si>
  <si>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</si>
  <si>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</si>
  <si>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</si>
  <si>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</si>
  <si>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</si>
  <si>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</si>
  <si>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</si>
  <si>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</si>
  <si>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</si>
  <si>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</si>
  <si>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</si>
  <si>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</si>
  <si>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</si>
  <si>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</si>
  <si>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</si>
  <si>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</si>
  <si>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</si>
  <si>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</si>
  <si>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</si>
  <si>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</si>
  <si>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</si>
  <si>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</si>
  <si>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</si>
  <si>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</si>
  <si>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</si>
  <si>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</si>
  <si>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</si>
  <si>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</si>
  <si>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</si>
  <si>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</si>
  <si>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</si>
  <si>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</si>
  <si>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</si>
  <si>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</si>
  <si>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</si>
  <si>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</si>
  <si>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</si>
  <si>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</si>
  <si>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</si>
  <si>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</si>
  <si>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</si>
  <si>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</si>
  <si>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</si>
  <si>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</si>
  <si>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</si>
  <si>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</si>
  <si>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</si>
  <si>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</si>
  <si>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</si>
  <si>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</si>
  <si>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</si>
  <si>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</si>
  <si>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</si>
  <si>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</si>
  <si>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</si>
  <si>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</si>
  <si>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</si>
  <si>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</si>
  <si>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</si>
  <si>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</si>
  <si>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</si>
  <si>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</si>
  <si>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</si>
  <si>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</si>
  <si>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</si>
  <si>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</si>
  <si>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</si>
  <si>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</si>
  <si>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</si>
  <si>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</si>
  <si>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</si>
  <si>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</si>
  <si>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</si>
  <si>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</si>
  <si>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</si>
  <si>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</si>
  <si>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</si>
  <si>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</si>
  <si>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</si>
  <si>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</si>
  <si>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 xml:space="preserve">Sohail Traders </t>
  </si>
  <si>
    <t>Sohail Traders (SD)</t>
  </si>
  <si>
    <t>NTN #: 1013549-9</t>
  </si>
  <si>
    <t>Address: Kasoor City</t>
  </si>
  <si>
    <t>Invoice No # :0001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</si>
</sst>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499</v>
      </c>
      <c r="F2" s="386"/>
      <c r="G2" s="386"/>
      <c r="H2" s="383" t="s">
        <v>515</v>
      </c>
      <c r="I2" s="383"/>
      <c r="J2" s="384"/>
      <c r="R2" s="380" t="s">
        <v>498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514</v>
      </c>
      <c r="F3" s="390"/>
      <c r="G3" s="390"/>
      <c r="H3" s="387">
        <v>46237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Sohail Traders (SD)</v>
      </c>
      <c r="T3" s="301">
        <f>+'1'!P35</f>
        <v>249140.08362394068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15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31477.5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5036.4000000000005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1101.7125000000001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25339.387499999997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5949.152542372879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156.44270021186438</v>
      </c>
      <c r="P9" s="311">
        <f t="shared" si="2"/>
        <v>31444.98274258474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20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58112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9297.92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2033.9200000000003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46780.160000000003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10983.050847457627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288.81605423728814</v>
      </c>
      <c r="P10" s="311">
        <f t="shared" si="2"/>
        <v>58052.026901694917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30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87168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13946.880000000001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3050.88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70170.239999999991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16474.576271186441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433.22408135593213</v>
      </c>
      <c r="P11" s="311">
        <f t="shared" si="2"/>
        <v>87078.040352542361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25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72640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11622.4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2542.4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58475.199999999997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13728.813559322034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361.02006779661019</v>
      </c>
      <c r="P12" s="311">
        <f t="shared" si="2"/>
        <v>72565.033627118639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249397.5</v>
      </c>
      <c r="J16" s="274">
        <f>SUM(J7:J15)</f>
        <v>39903.599999999999</v>
      </c>
      <c r="K16" s="275">
        <f t="shared" si="3"/>
        <v>8728.9125000000004</v>
      </c>
      <c r="L16" s="276">
        <f t="shared" si="3"/>
        <v>0</v>
      </c>
      <c r="M16" s="232">
        <f t="shared" si="3"/>
        <v>200764.98749999999</v>
      </c>
      <c r="N16" s="233">
        <f>SUM(N7:N15)</f>
        <v>47135.593220338982</v>
      </c>
      <c r="O16" s="101">
        <f>SUM(O7:O15)</f>
        <v>1239.5029036016949</v>
      </c>
      <c r="P16" s="113">
        <f>SUM(P7:P15)</f>
        <v>249140.08362394065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249397.5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39903.599999999999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8728.9125000000004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200764.98749999999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47135.593220338982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247900.58072033897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1239.5029036016949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249140.08362394068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249140.08362394068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10" width="8.36328125" bestFit="1" customWidth="1"/>
    <col min="11" max="12" width="7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8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519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">
        <v>510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517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8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7">
        <v>0.16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8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9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0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15</v>
      </c>
      <c r="H18" s="96"/>
      <c r="I18" s="236">
        <f t="shared" ref="I18:I21" si="7">(G18*D18)*F18+H18*F18</f>
        <v>31477.5</v>
      </c>
      <c r="J18" s="272">
        <f t="shared" si="1"/>
        <v>5036.4000000000005</v>
      </c>
      <c r="K18" s="128">
        <f t="shared" si="1"/>
        <v>1101.7125000000001</v>
      </c>
      <c r="L18" s="119">
        <f t="shared" si="1"/>
        <v>0</v>
      </c>
      <c r="M18" s="230">
        <f t="shared" si="2"/>
        <v>25339.387499999997</v>
      </c>
      <c r="N18" s="277">
        <f t="shared" si="3"/>
        <v>5949.152542372879</v>
      </c>
      <c r="O18" s="239">
        <f t="shared" si="4"/>
        <v>156.44270021186438</v>
      </c>
      <c r="P18" s="119">
        <f t="shared" si="5"/>
        <v>31444.98274258474</v>
      </c>
      <c r="Q18" s="320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20</v>
      </c>
      <c r="H19" s="96"/>
      <c r="I19" s="236">
        <f t="shared" si="7"/>
        <v>58112</v>
      </c>
      <c r="J19" s="272">
        <f t="shared" si="1"/>
        <v>9297.92</v>
      </c>
      <c r="K19" s="128">
        <f t="shared" si="1"/>
        <v>2033.9200000000003</v>
      </c>
      <c r="L19" s="119">
        <f t="shared" si="1"/>
        <v>0</v>
      </c>
      <c r="M19" s="230">
        <f t="shared" si="2"/>
        <v>46780.160000000003</v>
      </c>
      <c r="N19" s="277">
        <f t="shared" si="3"/>
        <v>10983.050847457627</v>
      </c>
      <c r="O19" s="239">
        <f t="shared" si="4"/>
        <v>288.81605423728814</v>
      </c>
      <c r="P19" s="119">
        <f t="shared" si="5"/>
        <v>58052.026901694917</v>
      </c>
      <c r="Q19" s="320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30</v>
      </c>
      <c r="H20" s="96"/>
      <c r="I20" s="236">
        <f t="shared" si="7"/>
        <v>87168</v>
      </c>
      <c r="J20" s="272">
        <f t="shared" si="1"/>
        <v>13946.880000000001</v>
      </c>
      <c r="K20" s="128">
        <f t="shared" si="1"/>
        <v>3050.88</v>
      </c>
      <c r="L20" s="119">
        <f t="shared" si="1"/>
        <v>0</v>
      </c>
      <c r="M20" s="230">
        <f t="shared" si="2"/>
        <v>70170.239999999991</v>
      </c>
      <c r="N20" s="277">
        <f t="shared" si="3"/>
        <v>16474.576271186441</v>
      </c>
      <c r="O20" s="239">
        <f t="shared" si="4"/>
        <v>433.22408135593213</v>
      </c>
      <c r="P20" s="119">
        <f t="shared" si="5"/>
        <v>87078.040352542361</v>
      </c>
      <c r="Q20" s="320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25</v>
      </c>
      <c r="H21" s="96"/>
      <c r="I21" s="236">
        <f t="shared" si="7"/>
        <v>72640</v>
      </c>
      <c r="J21" s="272">
        <f t="shared" si="1"/>
        <v>11622.4</v>
      </c>
      <c r="K21" s="128">
        <f t="shared" si="1"/>
        <v>2542.4</v>
      </c>
      <c r="L21" s="119">
        <f t="shared" si="1"/>
        <v>0</v>
      </c>
      <c r="M21" s="230">
        <f t="shared" si="2"/>
        <v>58475.199999999997</v>
      </c>
      <c r="N21" s="277">
        <f t="shared" si="3"/>
        <v>13728.813559322034</v>
      </c>
      <c r="O21" s="239">
        <f t="shared" si="4"/>
        <v>361.02006779661019</v>
      </c>
      <c r="P21" s="119">
        <f t="shared" si="5"/>
        <v>72565.033627118639</v>
      </c>
      <c r="Q21" s="320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0"/>
      <c r="S22" s="269">
        <v>0.1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0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0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90</v>
      </c>
      <c r="H25" s="113">
        <f t="shared" ref="H25" si="9">SUM(H16:H24)</f>
        <v>0</v>
      </c>
      <c r="I25" s="114">
        <f t="shared" ref="I25:M25" si="10">SUM(I16:I24)</f>
        <v>249397.5</v>
      </c>
      <c r="J25" s="274">
        <f>SUM(J16:J24)</f>
        <v>39903.599999999999</v>
      </c>
      <c r="K25" s="275">
        <f t="shared" si="10"/>
        <v>8728.9125000000004</v>
      </c>
      <c r="L25" s="276">
        <f t="shared" si="10"/>
        <v>0</v>
      </c>
      <c r="M25" s="232">
        <f t="shared" si="10"/>
        <v>200764.98749999999</v>
      </c>
      <c r="N25" s="233">
        <f>SUM(N16:N24)</f>
        <v>47135.593220338982</v>
      </c>
      <c r="O25" s="101">
        <f>SUM(O16:O24)</f>
        <v>1239.5029036016949</v>
      </c>
      <c r="P25" s="234">
        <f>SUM(P16:P24)</f>
        <v>249140.08362394065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249397.5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39903.599999999999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8728.9125000000004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200764.98749999999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47135.593220338982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247900.58072033897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1239.5029036016949</v>
      </c>
    </row>
    <row r="35" spans="2:16" ht="15.75" customHeight="1" thickBot="1" x14ac:dyDescent="0.4">
      <c r="N35" s="374" t="s">
        <v>88</v>
      </c>
      <c r="O35" s="375"/>
      <c r="P35" s="297">
        <f>+P33+P34</f>
        <v>249140.08362394068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3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8.75" customHeight="1" x14ac:dyDescent="0.4">
      <c r="A6" s="400" t="s">
        <v>500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501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3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502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503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8.75" customHeight="1" x14ac:dyDescent="0.4">
      <c r="A6" s="400" t="s">
        <v>504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46237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46236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46302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2026-10-07T05:22:00Z</dcterms:modified>
</cp:coreProperties>
</file>