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3F5309F-EFE4-4911-8BD9-BFEA5D63CF96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16" i="66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12" i="62" l="1"/>
  <c r="P12" i="62" s="1"/>
  <c r="O25" i="48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<sst xmlns="http://schemas.openxmlformats.org/spreadsheetml/2006/main" count="3976" uniqueCount="516">
  <si>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</si>
  <si>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</si>
  <si>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</si>
  <si>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</si>
  <si>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</si>
  <si>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</si>
  <si>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</si>
  <si>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</si>
  <si>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</si>
  <si>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</si>
  <si>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</si>
  <si>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</si>
  <si>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</si>
  <si>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</si>
  <si>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</si>
  <si>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</si>
  <si>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</si>
  <si>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</si>
  <si>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</si>
  <si>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</si>
  <si>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</si>
  <si>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</si>
  <si>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</si>
  <si>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</si>
  <si>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</si>
  <si>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</si>
  <si>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</si>
  <si>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</si>
  <si>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</si>
  <si>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</si>
  <si>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</si>
  <si>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</si>
  <si>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</si>
  <si>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</si>
  <si>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</si>
  <si>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</si>
  <si>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</si>
  <si>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</si>
  <si>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</si>
  <si>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</si>
  <si>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</si>
  <si>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</si>
  <si>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</si>
  <si>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</si>
  <si>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</si>
  <si>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</si>
  <si>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</si>
  <si>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</si>
  <si>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</si>
  <si>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</si>
  <si>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</si>
  <si>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</si>
  <si>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</si>
  <si>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</si>
  <si>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</si>
  <si>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</si>
  <si>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</si>
  <si>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</si>
  <si>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</si>
  <si>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</si>
  <si>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</si>
  <si>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</si>
  <si>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</si>
  <si>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</si>
  <si>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</si>
  <si>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</si>
  <si>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</si>
  <si>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</si>
  <si>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</si>
  <si>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</si>
  <si>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</si>
  <si>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</si>
  <si>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</si>
  <si>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</si>
  <si>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</si>
  <si>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</si>
  <si>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</si>
  <si>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</si>
  <si>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</si>
  <si>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</si>
  <si>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</si>
  <si>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</si>
  <si>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</si>
  <si>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</si>
  <si>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</si>
  <si>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</si>
  <si>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</si>
  <si>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</si>
  <si>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</si>
  <si>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</si>
  <si>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</si>
  <si>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</si>
  <si>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</si>
  <si>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</si>
  <si>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</si>
  <si>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</si>
  <si>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</si>
  <si>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</si>
  <si>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</si>
  <si>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</si>
  <si>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</si>
  <si>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</si>
  <si>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</si>
  <si>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</si>
  <si>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</si>
  <si>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</si>
  <si>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</si>
  <si>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</si>
  <si>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</si>
  <si>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</si>
  <si>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</si>
  <si>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</si>
  <si>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</si>
  <si>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</si>
  <si>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</si>
  <si>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</si>
  <si>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</si>
  <si>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</si>
  <si>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</si>
  <si>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</si>
  <si>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</si>
  <si>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</si>
  <si>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</si>
  <si>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</si>
  <si>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</si>
  <si>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</si>
  <si>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</si>
  <si>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</si>
  <si>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</si>
  <si>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</si>
  <si>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</si>
  <si>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</si>
  <si>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</si>
  <si>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</si>
  <si>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</si>
  <si>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</si>
  <si>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</si>
  <si>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</si>
  <si>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</si>
  <si>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</si>
  <si>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</si>
  <si>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</si>
  <si>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</si>
  <si>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</si>
  <si>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</si>
  <si>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</si>
  <si>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</si>
  <si>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</si>
  <si>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</si>
  <si>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</si>
  <si>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</si>
  <si>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</si>
  <si>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</si>
  <si>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</si>
  <si>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</si>
  <si>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</si>
  <si>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</si>
  <si>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</si>
  <si>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</si>
  <si>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</si>
  <si>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</si>
  <si>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</si>
  <si>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</si>
  <si>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</si>
  <si>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</si>
  <si>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</si>
  <si>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</si>
  <si>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</si>
  <si>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</si>
  <si>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</si>
  <si>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</si>
  <si>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</si>
  <si>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</si>
  <si>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</si>
  <si>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</si>
  <si>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</si>
  <si>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</si>
  <si>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</si>
  <si>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</si>
  <si>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</si>
  <si>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</si>
  <si>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</si>
  <si>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</si>
  <si>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</si>
  <si>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</si>
  <si>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</si>
  <si>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</si>
  <si>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</si>
  <si>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</si>
  <si>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</si>
  <si>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</si>
  <si>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</si>
  <si>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</si>
  <si>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</si>
  <si>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</si>
  <si>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</si>
  <si>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</si>
  <si>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</si>
  <si>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</si>
  <si>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</si>
  <si>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</si>
  <si>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</si>
  <si>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</si>
  <si>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</si>
  <si>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</si>
  <si>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</si>
  <si>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</si>
  <si>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</si>
  <si>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</si>
  <si>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</si>
  <si>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</si>
  <si>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</si>
  <si>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</si>
  <si>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</si>
  <si>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</si>
  <si>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</si>
  <si>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</si>
  <si>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</si>
  <si>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</si>
  <si>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</si>
  <si>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</si>
  <si>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</si>
  <si>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</si>
  <si>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</si>
  <si>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</si>
  <si>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</si>
  <si>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</si>
  <si>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</si>
  <si>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</si>
  <si>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</si>
  <si>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</si>
  <si>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</si>
  <si>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</si>
  <si>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</si>
  <si>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</si>
  <si>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</si>
  <si>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</si>
  <si>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</si>
  <si>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</si>
  <si>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</si>
  <si>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</si>
  <si>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</si>
  <si>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</si>
  <si>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</si>
  <si>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</si>
  <si>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</si>
  <si>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</si>
  <si>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</si>
  <si>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</si>
  <si>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</si>
  <si>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</si>
  <si>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</si>
  <si>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</si>
  <si>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</si>
  <si>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</si>
  <si>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</si>
  <si>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</si>
  <si>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</si>
  <si>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</si>
  <si>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</si>
  <si>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</si>
  <si>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</si>
  <si>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</si>
  <si>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</si>
  <si>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</si>
  <si>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</si>
  <si>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</si>
  <si>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</si>
  <si>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</si>
  <si>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</si>
  <si>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</si>
  <si>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</si>
  <si>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</si>
  <si>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</si>
  <si>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</si>
  <si>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</si>
  <si>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</si>
  <si>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</si>
  <si>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</si>
  <si>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</si>
  <si>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</si>
  <si>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</si>
  <si>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</si>
  <si>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</si>
  <si>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</si>
  <si>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</si>
  <si>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</si>
  <si>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</si>
  <si>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</si>
  <si>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</si>
  <si>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</si>
  <si>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</si>
  <si>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</si>
  <si>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</si>
  <si>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</si>
  <si>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</si>
  <si>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</si>
  <si>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</si>
  <si>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</si>
  <si>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</si>
  <si>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</si>
  <si>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</si>
  <si>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</si>
  <si>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</si>
  <si>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</si>
  <si>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</si>
  <si>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</si>
  <si>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</si>
  <si>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</si>
  <si>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</si>
  <si>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</si>
  <si>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</si>
  <si>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</si>
  <si>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</si>
  <si>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</si>
  <si>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</si>
  <si>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</si>
  <si>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</si>
  <si>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</si>
  <si>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</si>
  <si>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</si>
  <si>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</si>
  <si>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</si>
  <si>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</si>
  <si>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</si>
  <si>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</si>
  <si>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</si>
  <si>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</si>
  <si>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</si>
  <si>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</si>
  <si>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</si>
  <si>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</si>
  <si>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</si>
  <si>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</si>
  <si>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</si>
  <si>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</si>
  <si>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</si>
  <si>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</si>
  <si>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</si>
  <si>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</si>
  <si>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</si>
  <si>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</si>
  <si>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</si>
  <si>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</si>
  <si>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</si>
  <si>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</si>
  <si>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</si>
  <si>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</si>
  <si>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</si>
  <si>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</si>
  <si>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</si>
  <si>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</si>
  <si>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</si>
  <si>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</si>
  <si>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</si>
  <si>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</si>
  <si>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</si>
  <si>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</si>
  <si>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</si>
  <si>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</si>
  <si>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</si>
  <si>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</si>
  <si>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</si>
  <si>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</si>
  <si>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</si>
  <si>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</si>
  <si>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</si>
  <si>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</si>
  <si>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</si>
  <si>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</si>
  <si>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</si>
  <si>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</si>
  <si>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</si>
  <si>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</si>
  <si>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</si>
  <si>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</si>
  <si>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</si>
  <si>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</si>
  <si>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</si>
  <si>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</si>
  <si>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</si>
  <si>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</si>
  <si>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</si>
  <si>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</si>
  <si>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</si>
  <si>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</si>
  <si>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</si>
  <si>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</si>
  <si>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</si>
  <si>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</si>
  <si>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</si>
  <si>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</si>
  <si>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</si>
  <si>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</si>
  <si>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</si>
  <si>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</si>
  <si>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</si>
  <si>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</si>
  <si>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</si>
  <si>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</si>
  <si>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</si>
  <si>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</si>
  <si>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</si>
  <si>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</si>
  <si>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</si>
  <si>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</si>
  <si>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</si>
  <si>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</si>
  <si>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</si>
  <si>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</si>
  <si>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</si>
  <si>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</si>
  <si>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</si>
  <si>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</si>
  <si>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</si>
  <si>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</si>
  <si>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</si>
  <si>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</si>
  <si>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</si>
  <si>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</si>
  <si>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</si>
  <si>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</si>
  <si>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</si>
  <si>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</si>
  <si>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</si>
  <si>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</si>
  <si>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</si>
  <si>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</si>
  <si>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</si>
  <si>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</si>
  <si>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</si>
  <si>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</si>
  <si>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</si>
  <si>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</si>
  <si>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</si>
  <si>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</si>
  <si>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</si>
  <si>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</si>
  <si>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</si>
  <si>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</si>
  <si>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</si>
  <si>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</si>
  <si>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</si>
  <si>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</si>
  <si>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</si>
  <si>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</si>
  <si>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</si>
  <si>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</si>
  <si>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</si>
  <si>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</si>
  <si>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</si>
  <si>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</si>
  <si>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</si>
  <si>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</si>
  <si>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</si>
  <si>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</si>
  <si>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</si>
  <si>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</si>
  <si>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</si>
  <si>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</si>
  <si>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</si>
  <si>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</si>
  <si>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</si>
  <si>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</si>
  <si>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</si>
  <si>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</si>
  <si>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</si>
  <si>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</si>
  <si>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</si>
  <si>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</si>
  <si>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</si>
  <si>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</si>
  <si>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</si>
  <si>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</si>
  <si>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</si>
  <si>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</si>
  <si>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</si>
  <si>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</si>
  <si>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</si>
  <si>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</si>
  <si>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</si>
  <si>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</si>
  <si>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</si>
  <si>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</si>
  <si>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</si>
  <si>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</si>
  <si>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</si>
  <si>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</si>
  <si>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</si>
  <si>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</si>
  <si>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</si>
  <si>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</si>
  <si>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</si>
  <si>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</si>
  <si>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</si>
  <si>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</si>
  <si>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</si>
  <si>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</si>
  <si>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</si>
  <si>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</si>
  <si>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</si>
  <si>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</si>
  <si>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</si>
  <si>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</si>
  <si>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</si>
  <si>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</si>
  <si>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</si>
  <si>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</si>
  <si>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</si>
  <si>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</si>
  <si>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</si>
  <si>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</si>
  <si>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Crown Super Market</t>
  </si>
  <si>
    <t>NTN #: G727712-0</t>
  </si>
  <si>
    <t>Address: Singh Pura</t>
  </si>
  <si>
    <t>Invoice No # : 00124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</si>
</sst>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/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46302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Crown Super Market</v>
      </c>
      <c r="T3" s="301">
        <f>+'1'!P35</f>
        <v>26839.206321864407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Crown Super Market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Crown Super Market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Crown Super Market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3546.4650000000001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21.698426694915252</v>
      </c>
      <c r="P7" s="310">
        <f>M7+N7+O7</f>
        <v>4361.3837656779651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Crown Super Market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1773.2325000000001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10.849213347457626</v>
      </c>
      <c r="P8" s="311">
        <f t="shared" ref="P8:P15" si="2">M8+N8+O8</f>
        <v>2180.6918828389826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Crown Super Market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251.82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1773.2325000000001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10.849213347457626</v>
      </c>
      <c r="P9" s="311">
        <f t="shared" si="2"/>
        <v>2180.6918828389826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Crown Super Market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Crown Super Market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Crown Super Market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697.34399999999994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4910.4639999999999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30.043845423728811</v>
      </c>
      <c r="P12" s="311">
        <f t="shared" si="2"/>
        <v>6038.8129301694917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Crown Super Market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Crown Super Market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Crown Super Market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Crown Super Market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10</v>
      </c>
      <c r="H16" s="113">
        <f t="shared" ref="H16:M16" si="3">SUM(H7:H15)</f>
        <v>400</v>
      </c>
      <c r="I16" s="114">
        <f t="shared" si="3"/>
        <v>25827.600000000002</v>
      </c>
      <c r="J16" s="274">
        <f>SUM(J7:J15)</f>
        <v>3099.3119999999999</v>
      </c>
      <c r="K16" s="275">
        <f t="shared" si="3"/>
        <v>903.96600000000012</v>
      </c>
      <c r="L16" s="276">
        <f t="shared" si="3"/>
        <v>0</v>
      </c>
      <c r="M16" s="232">
        <f t="shared" si="3"/>
        <v>21824.322</v>
      </c>
      <c r="N16" s="233">
        <f>SUM(N7:N15)</f>
        <v>4881.3559322033889</v>
      </c>
      <c r="O16" s="101">
        <f>SUM(O7:O15)</f>
        <v>133.52838966101694</v>
      </c>
      <c r="P16" s="113">
        <f>SUM(P7:P15)</f>
        <v>26839.206321864403</v>
      </c>
      <c r="Q16" s="128">
        <f>SUM(Q7:Q15)</f>
        <v>0</v>
      </c>
      <c r="R16" s="314">
        <v>14</v>
      </c>
      <c r="S16" s="300" t="str">
        <f>+'14'!A6:A6</f>
        <v>Crown Super Market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Crown Super Market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Crown Super Market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25827.600000000002</v>
      </c>
      <c r="R19" s="299">
        <v>17</v>
      </c>
      <c r="S19" s="300" t="str">
        <f>+'17'!A6:A6</f>
        <v>Crown Super Market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3099.3119999999999</v>
      </c>
      <c r="R20" s="299">
        <v>18</v>
      </c>
      <c r="S20" s="300" t="str">
        <f>+'18'!A6:A6</f>
        <v>Crown Super Market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903.96600000000012</v>
      </c>
      <c r="R21" s="299">
        <v>19</v>
      </c>
      <c r="S21" s="300" t="str">
        <f>+'19'!A6:A6</f>
        <v>Crown Super Market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21824.322</v>
      </c>
      <c r="R22" s="299">
        <v>20</v>
      </c>
      <c r="S22" s="300" t="str">
        <f>+'20'!A6:A6</f>
        <v>Crown Super Market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4881.3559322033889</v>
      </c>
      <c r="R23" s="299">
        <v>21</v>
      </c>
      <c r="S23" s="300" t="str">
        <f>+'21'!A6:A6</f>
        <v>Crown Super Market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26705.677932203391</v>
      </c>
      <c r="R24" s="299">
        <v>22</v>
      </c>
      <c r="S24" s="300" t="str">
        <f>+'22'!A6:A6</f>
        <v>Crown Super Market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133.52838966101694</v>
      </c>
      <c r="R25" s="299">
        <v>23</v>
      </c>
      <c r="S25" s="300" t="str">
        <f>+'23'!A6:A6</f>
        <v>Crown Super Market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26839.206321864407</v>
      </c>
      <c r="R26" s="299">
        <v>24</v>
      </c>
      <c r="S26" s="300" t="str">
        <f>+'24'!A6:A6</f>
        <v>Crown Super Market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Crown Super Market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Crown Super Market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Crown Super Market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Crown Super Market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Crown Super Market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Crown Super Market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26839.206321864407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515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46300</v>
      </c>
      <c r="O5" s="368"/>
      <c r="P5" s="368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503.64</v>
      </c>
      <c r="K16" s="127">
        <f>$I16*T16</f>
        <v>146.89500000000001</v>
      </c>
      <c r="L16" s="118">
        <f>$I16*U16</f>
        <v>0</v>
      </c>
      <c r="M16" s="229">
        <f>I16-SUM(J16:L16)</f>
        <v>3546.4650000000001</v>
      </c>
      <c r="N16" s="248">
        <f>+(G16*D16+H16)*V16</f>
        <v>793.22033898305051</v>
      </c>
      <c r="O16" s="238">
        <f>(N16+M16)*$O$15</f>
        <v>21.698426694915252</v>
      </c>
      <c r="P16" s="310">
        <f>M16+N16+O16</f>
        <v>4361.3837656779651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251.82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1773.2325000000001</v>
      </c>
      <c r="N17" s="277">
        <f t="shared" ref="N17:N24" si="3">+(G17*D17+H17)*V17</f>
        <v>396.61016949152526</v>
      </c>
      <c r="O17" s="239">
        <f t="shared" ref="O17:O24" si="4">(N17+M17)*$O$15</f>
        <v>10.849213347457626</v>
      </c>
      <c r="P17" s="311">
        <f t="shared" ref="P17:P24" si="5">M17+N17+O17</f>
        <v>2180.6918828389826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251.82</v>
      </c>
      <c r="K18" s="128">
        <f t="shared" si="1"/>
        <v>73.447500000000005</v>
      </c>
      <c r="L18" s="119">
        <f t="shared" si="1"/>
        <v>0</v>
      </c>
      <c r="M18" s="230">
        <f t="shared" si="2"/>
        <v>1773.2325000000001</v>
      </c>
      <c r="N18" s="277">
        <f t="shared" si="3"/>
        <v>396.61016949152526</v>
      </c>
      <c r="O18" s="239">
        <f t="shared" si="4"/>
        <v>10.849213347457626</v>
      </c>
      <c r="P18" s="311">
        <f t="shared" si="5"/>
        <v>2180.6918828389826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311">
        <f t="shared" si="5"/>
        <v>6038.8129301694917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311">
        <f t="shared" si="5"/>
        <v>6038.8129301694917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697.34399999999994</v>
      </c>
      <c r="K21" s="128">
        <f t="shared" si="1"/>
        <v>203.39200000000002</v>
      </c>
      <c r="L21" s="119">
        <f t="shared" si="1"/>
        <v>0</v>
      </c>
      <c r="M21" s="230">
        <f t="shared" si="2"/>
        <v>4910.4639999999999</v>
      </c>
      <c r="N21" s="277">
        <f t="shared" si="3"/>
        <v>1098.3050847457628</v>
      </c>
      <c r="O21" s="239">
        <f t="shared" si="4"/>
        <v>30.043845423728811</v>
      </c>
      <c r="P21" s="311">
        <f t="shared" si="5"/>
        <v>6038.8129301694917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400</v>
      </c>
      <c r="I25" s="114">
        <f t="shared" ref="I25:M25" si="10">SUM(I16:I24)</f>
        <v>25827.600000000002</v>
      </c>
      <c r="J25" s="274">
        <f>SUM(J16:J24)</f>
        <v>3099.3119999999999</v>
      </c>
      <c r="K25" s="275">
        <f t="shared" si="10"/>
        <v>903.96600000000012</v>
      </c>
      <c r="L25" s="276">
        <f t="shared" si="10"/>
        <v>0</v>
      </c>
      <c r="M25" s="232">
        <f t="shared" si="10"/>
        <v>21824.322</v>
      </c>
      <c r="N25" s="233">
        <f>SUM(N16:N24)</f>
        <v>4881.3559322033889</v>
      </c>
      <c r="O25" s="101">
        <f>SUM(O16:O24)</f>
        <v>133.52838966101694</v>
      </c>
      <c r="P25" s="113">
        <f>SUM(P16:P24)</f>
        <v>26839.206321864403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25827.600000000002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3099.3119999999999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903.96600000000012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21824.322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4881.3559322033889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26705.677932203391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133.52838966101694</v>
      </c>
    </row>
    <row r="35" spans="2:16" ht="15.75" customHeight="1" thickBot="1" x14ac:dyDescent="0.4">
      <c r="N35" s="343" t="s">
        <v>88</v>
      </c>
      <c r="O35" s="344"/>
      <c r="P35" s="297">
        <f>+P33+P34</f>
        <v>26839.206321864407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46303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46302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2026-10-07T05:11:29Z</dcterms:modified>
</cp:coreProperties>
</file>