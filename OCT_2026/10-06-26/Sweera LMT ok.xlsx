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CED8032-7D20-48B8-A672-38E8DD0BF873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<sst xmlns="http://schemas.openxmlformats.org/spreadsheetml/2006/main" count="3918" uniqueCount="519">
  <si>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</si>
  <si>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</si>
  <si>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</si>
  <si>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</si>
  <si>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</si>
  <si>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</si>
  <si>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</si>
  <si>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</si>
  <si>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</si>
  <si>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</si>
  <si>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</si>
  <si>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</si>
  <si>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</si>
  <si>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</si>
  <si>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</si>
  <si>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</si>
  <si>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</si>
  <si>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</si>
  <si>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</si>
  <si>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</si>
  <si>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</si>
  <si>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</si>
  <si>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</si>
  <si>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</si>
  <si>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</si>
  <si>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</si>
  <si>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</si>
  <si>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</si>
  <si>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</si>
  <si>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</si>
  <si>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</si>
  <si>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</si>
  <si>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</si>
  <si>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</si>
  <si>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</si>
  <si>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</si>
  <si>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</si>
  <si>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</si>
  <si>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</si>
  <si>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</si>
  <si>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</si>
  <si>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</si>
  <si>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</si>
  <si>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</si>
  <si>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</si>
  <si>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</si>
  <si>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</si>
  <si>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</si>
  <si>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</si>
  <si>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</si>
  <si>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</si>
  <si>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</si>
  <si>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</si>
  <si>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</si>
  <si>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</si>
  <si>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</si>
  <si>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</si>
  <si>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</si>
  <si>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</si>
  <si>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</si>
  <si>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</si>
  <si>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</si>
  <si>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</si>
  <si>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</si>
  <si>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</si>
  <si>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</si>
  <si>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</si>
  <si>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</si>
  <si>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</si>
  <si>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</si>
  <si>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</si>
  <si>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</si>
  <si>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</si>
  <si>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</si>
  <si>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</si>
  <si>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</si>
  <si>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</si>
  <si>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</si>
  <si>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</si>
  <si>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</si>
  <si>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</si>
  <si>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</si>
  <si>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</si>
  <si>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</si>
  <si>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</si>
  <si>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</si>
  <si>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</si>
  <si>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</si>
  <si>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</si>
  <si>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</si>
  <si>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</si>
  <si>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</si>
  <si>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</si>
  <si>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</si>
  <si>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</si>
  <si>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</si>
  <si>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</si>
  <si>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</si>
  <si>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</si>
  <si>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</si>
  <si>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</si>
  <si>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</si>
  <si>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</si>
  <si>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</si>
  <si>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</si>
  <si>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</si>
  <si>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</si>
  <si>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</si>
  <si>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</si>
  <si>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</si>
  <si>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</si>
  <si>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</si>
  <si>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</si>
  <si>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</si>
  <si>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</si>
  <si>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</si>
  <si>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</si>
  <si>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</si>
  <si>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</si>
  <si>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</si>
  <si>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</si>
  <si>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</si>
  <si>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</si>
  <si>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</si>
  <si>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</si>
  <si>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</si>
  <si>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</si>
  <si>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</si>
  <si>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</si>
  <si>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</si>
  <si>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</si>
  <si>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</si>
  <si>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</si>
  <si>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</si>
  <si>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</si>
  <si>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</si>
  <si>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</si>
  <si>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</si>
  <si>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</si>
  <si>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</si>
  <si>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</si>
  <si>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</si>
  <si>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</si>
  <si>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</si>
  <si>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</si>
  <si>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</si>
  <si>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</si>
  <si>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</si>
  <si>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</si>
  <si>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</si>
  <si>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</si>
  <si>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</si>
  <si>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</si>
  <si>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</si>
  <si>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</si>
  <si>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</si>
  <si>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</si>
  <si>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</si>
  <si>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</si>
  <si>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</si>
  <si>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</si>
  <si>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</si>
  <si>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</si>
  <si>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</si>
  <si>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</si>
  <si>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</si>
  <si>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</si>
  <si>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</si>
  <si>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</si>
  <si>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</si>
  <si>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</si>
  <si>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</si>
  <si>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</si>
  <si>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</si>
  <si>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</si>
  <si>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</si>
  <si>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</si>
  <si>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</si>
  <si>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</si>
  <si>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</si>
  <si>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</si>
  <si>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</si>
  <si>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</si>
  <si>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</si>
  <si>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</si>
  <si>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</si>
  <si>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</si>
  <si>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</si>
  <si>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</si>
  <si>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</si>
  <si>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</si>
  <si>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</si>
  <si>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</si>
  <si>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</si>
  <si>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</si>
  <si>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</si>
  <si>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</si>
  <si>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</si>
  <si>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</si>
  <si>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</si>
  <si>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</si>
  <si>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</si>
  <si>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</si>
  <si>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</si>
  <si>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</si>
  <si>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</si>
  <si>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</si>
  <si>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</si>
  <si>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</si>
  <si>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</si>
  <si>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</si>
  <si>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</si>
  <si>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</si>
  <si>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</si>
  <si>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</si>
  <si>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</si>
  <si>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</si>
  <si>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</si>
  <si>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</si>
  <si>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</si>
  <si>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</si>
  <si>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</si>
  <si>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</si>
  <si>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</si>
  <si>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</si>
  <si>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</si>
  <si>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</si>
  <si>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</si>
  <si>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</si>
  <si>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</si>
  <si>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</si>
  <si>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</si>
  <si>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</si>
  <si>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</si>
  <si>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</si>
  <si>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</si>
  <si>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</si>
  <si>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</si>
  <si>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</si>
  <si>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</si>
  <si>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</si>
  <si>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</si>
  <si>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</si>
  <si>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</si>
  <si>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</si>
  <si>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</si>
  <si>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</si>
  <si>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</si>
  <si>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</si>
  <si>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</si>
  <si>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</si>
  <si>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</si>
  <si>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</si>
  <si>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</si>
  <si>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</si>
  <si>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</si>
  <si>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</si>
  <si>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</si>
  <si>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</si>
  <si>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</si>
  <si>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</si>
  <si>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</si>
  <si>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</si>
  <si>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</si>
  <si>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</si>
  <si>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</si>
  <si>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</si>
  <si>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</si>
  <si>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</si>
  <si>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</si>
  <si>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</si>
  <si>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</si>
  <si>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</si>
  <si>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</si>
  <si>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</si>
  <si>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</si>
  <si>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</si>
  <si>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</si>
  <si>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</si>
  <si>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</si>
  <si>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</si>
  <si>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</si>
  <si>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</si>
  <si>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</si>
  <si>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</si>
  <si>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</si>
  <si>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</si>
  <si>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</si>
  <si>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</si>
  <si>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</si>
  <si>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</si>
  <si>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</si>
  <si>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</si>
  <si>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</si>
  <si>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</si>
  <si>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</si>
  <si>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</si>
  <si>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</si>
  <si>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</si>
  <si>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</si>
  <si>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</si>
  <si>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</si>
  <si>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</si>
  <si>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</si>
  <si>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</si>
  <si>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</si>
  <si>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</si>
  <si>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</si>
  <si>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</si>
  <si>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</si>
  <si>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</si>
  <si>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</si>
  <si>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</si>
  <si>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</si>
  <si>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</si>
  <si>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</si>
  <si>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</si>
  <si>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</si>
  <si>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</si>
  <si>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</si>
  <si>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</si>
  <si>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</si>
  <si>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</si>
  <si>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</si>
  <si>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</si>
  <si>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</si>
  <si>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</si>
  <si>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</si>
  <si>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</si>
  <si>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</si>
  <si>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</si>
  <si>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</si>
  <si>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</si>
  <si>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</si>
  <si>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</si>
  <si>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</si>
  <si>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</si>
  <si>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</si>
  <si>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</si>
  <si>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</si>
  <si>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</si>
  <si>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</si>
  <si>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</si>
  <si>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</si>
  <si>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</si>
  <si>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</si>
  <si>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</si>
  <si>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</si>
  <si>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</si>
  <si>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</si>
  <si>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</si>
  <si>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</si>
  <si>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</si>
  <si>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</si>
  <si>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</si>
  <si>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</si>
  <si>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</si>
  <si>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</si>
  <si>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</si>
  <si>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</si>
  <si>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</si>
  <si>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</si>
  <si>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</si>
  <si>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</si>
  <si>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</si>
  <si>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</si>
  <si>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</si>
  <si>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</si>
  <si>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</si>
  <si>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</si>
  <si>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</si>
  <si>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</si>
  <si>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</si>
  <si>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</si>
  <si>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</si>
  <si>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</si>
  <si>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</si>
  <si>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</si>
  <si>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</si>
  <si>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</si>
  <si>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</si>
  <si>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</si>
  <si>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</si>
  <si>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</si>
  <si>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</si>
  <si>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</si>
  <si>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</si>
  <si>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</si>
  <si>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</si>
  <si>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</si>
  <si>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</si>
  <si>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</si>
  <si>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</si>
  <si>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</si>
  <si>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</si>
  <si>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</si>
  <si>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</si>
  <si>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</si>
  <si>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</si>
  <si>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</si>
  <si>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</si>
  <si>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</si>
  <si>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</si>
  <si>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</si>
  <si>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</si>
  <si>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</si>
  <si>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</si>
  <si>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</si>
  <si>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</si>
  <si>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</si>
  <si>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</si>
  <si>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</si>
  <si>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</si>
  <si>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</si>
  <si>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</si>
  <si>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</si>
  <si>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</si>
  <si>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</si>
  <si>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</si>
  <si>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</si>
  <si>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</si>
  <si>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</si>
  <si>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</si>
  <si>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</si>
  <si>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</si>
  <si>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</si>
  <si>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</si>
  <si>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</si>
  <si>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</si>
  <si>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</si>
  <si>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</si>
  <si>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</si>
  <si>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</si>
  <si>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</si>
  <si>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</si>
  <si>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</si>
  <si>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</si>
  <si>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</si>
  <si>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</si>
  <si>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</si>
  <si>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</si>
  <si>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</si>
  <si>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</si>
  <si>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</si>
  <si>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</si>
  <si>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</si>
  <si>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</si>
  <si>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</si>
  <si>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</si>
  <si>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</si>
  <si>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</si>
  <si>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</si>
  <si>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</si>
  <si>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</si>
  <si>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</si>
  <si>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</si>
  <si>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</si>
  <si>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</si>
  <si>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</si>
  <si>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</si>
  <si>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</si>
  <si>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</si>
  <si>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</si>
  <si>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</si>
  <si>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</si>
  <si>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</si>
  <si>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</si>
  <si>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</si>
  <si>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</si>
  <si>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</si>
  <si>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</si>
  <si>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</si>
  <si>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</si>
  <si>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</si>
  <si>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</si>
  <si>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</si>
  <si>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</si>
  <si>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</si>
  <si>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</si>
  <si>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</si>
  <si>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</si>
  <si>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</si>
  <si>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</si>
  <si>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</si>
  <si>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</si>
  <si>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</si>
  <si>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</si>
  <si>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</si>
  <si>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</si>
  <si>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</si>
  <si>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</si>
  <si>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</si>
  <si>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</si>
  <si>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</si>
  <si>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</si>
  <si>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</si>
  <si>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</si>
  <si>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</si>
  <si>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</si>
  <si>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</si>
  <si>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</si>
  <si>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</si>
  <si>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</si>
  <si>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</si>
  <si>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</si>
  <si>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</si>
  <si>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</si>
  <si>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</si>
  <si>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</si>
  <si>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</si>
  <si>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</si>
  <si>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</si>
  <si>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</si>
  <si>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Swera Store</t>
  </si>
  <si>
    <t>Address: Shadman</t>
  </si>
  <si>
    <t>NTN #:1265416-7 / STRN : 3520268948847</t>
  </si>
  <si>
    <t>Invoice No # :15131</t>
  </si>
  <si>
    <t>Invoice No # :000134</t>
  </si>
  <si>
    <t>Address: GT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</si>
</sst>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F10" sqref="F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512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46268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Swera Store</v>
      </c>
      <c r="T3" s="301">
        <f>+'1'!P35</f>
        <v>38078.117599957623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Swera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Swera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Swera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Swera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Swera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1259.0999999999999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8866.1625000000004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54.246066737288132</v>
      </c>
      <c r="P9" s="311">
        <f t="shared" si="2"/>
        <v>10903.459414194915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Swera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Swera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Swera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1743.36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12276.16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75.109613559322028</v>
      </c>
      <c r="P12" s="311">
        <f t="shared" si="2"/>
        <v>15097.032325423728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Swera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Swera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Swera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Swera Store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14</v>
      </c>
      <c r="H16" s="113">
        <f t="shared" ref="H16:M16" si="3">SUM(H7:H15)</f>
        <v>560</v>
      </c>
      <c r="I16" s="114">
        <f t="shared" si="3"/>
        <v>36642.9</v>
      </c>
      <c r="J16" s="274">
        <f>SUM(J7:J15)</f>
        <v>4397.1480000000001</v>
      </c>
      <c r="K16" s="275">
        <f t="shared" si="3"/>
        <v>1282.5015000000001</v>
      </c>
      <c r="L16" s="276">
        <f t="shared" si="3"/>
        <v>0</v>
      </c>
      <c r="M16" s="232">
        <f t="shared" si="3"/>
        <v>30963.250499999998</v>
      </c>
      <c r="N16" s="233">
        <f>SUM(N7:N15)</f>
        <v>6925.4237288135582</v>
      </c>
      <c r="O16" s="101">
        <f>SUM(O7:O15)</f>
        <v>189.44337114406778</v>
      </c>
      <c r="P16" s="113">
        <f>SUM(P7:P15)</f>
        <v>38078.11759995763</v>
      </c>
      <c r="Q16" s="128">
        <f>SUM(Q7:Q15)</f>
        <v>0</v>
      </c>
      <c r="R16" s="314">
        <v>14</v>
      </c>
      <c r="S16" s="318" t="str">
        <f>+'14'!A6:A6</f>
        <v>Swera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Swera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Swera Store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36642.9</v>
      </c>
      <c r="R19" s="299">
        <v>17</v>
      </c>
      <c r="S19" s="300" t="str">
        <f>+'17'!A6:A6</f>
        <v>Swera Store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4397.1480000000001</v>
      </c>
      <c r="R20" s="299">
        <v>18</v>
      </c>
      <c r="S20" s="300" t="str">
        <f>+'18'!A6:A6</f>
        <v>Swera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1282.5015000000001</v>
      </c>
      <c r="R21" s="299">
        <v>19</v>
      </c>
      <c r="S21" s="300" t="str">
        <f>+'19'!A6:A6</f>
        <v>Swera Store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30963.250500000002</v>
      </c>
      <c r="R22" s="299">
        <v>20</v>
      </c>
      <c r="S22" s="300" t="str">
        <f>+'20'!A6:A6</f>
        <v>Swera Store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6925.4237288135582</v>
      </c>
      <c r="R23" s="299">
        <v>21</v>
      </c>
      <c r="S23" s="300" t="str">
        <f>+'21'!A6:A6</f>
        <v>Swera Store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37888.674228813557</v>
      </c>
      <c r="R24" s="299">
        <v>22</v>
      </c>
      <c r="S24" s="300" t="str">
        <f>+'22'!A6:A6</f>
        <v>Swera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189.44337114406778</v>
      </c>
      <c r="R25" s="299">
        <v>23</v>
      </c>
      <c r="S25" s="300" t="str">
        <f>+'23'!A6:A6</f>
        <v>Swera Store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38078.117599957623</v>
      </c>
      <c r="R26" s="299">
        <v>24</v>
      </c>
      <c r="S26" s="300" t="str">
        <f>+'24'!A6:A6</f>
        <v>Swera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Swera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Swera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Swera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Swera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Swera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Swera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38078.117599957623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7.2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1259.0999999999999</v>
      </c>
      <c r="K18" s="128">
        <f t="shared" si="1"/>
        <v>367.23750000000001</v>
      </c>
      <c r="L18" s="119">
        <f t="shared" si="1"/>
        <v>0</v>
      </c>
      <c r="M18" s="230">
        <f t="shared" si="2"/>
        <v>8866.1625000000004</v>
      </c>
      <c r="N18" s="277">
        <f t="shared" si="3"/>
        <v>1983.0508474576263</v>
      </c>
      <c r="O18" s="239">
        <f t="shared" si="4"/>
        <v>54.246066737288132</v>
      </c>
      <c r="P18" s="311">
        <f t="shared" si="5"/>
        <v>10903.459414194915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311">
        <f t="shared" si="5"/>
        <v>6038.8129301694917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1743.36</v>
      </c>
      <c r="K21" s="128">
        <f t="shared" si="1"/>
        <v>508.48000000000008</v>
      </c>
      <c r="L21" s="119">
        <f t="shared" si="1"/>
        <v>0</v>
      </c>
      <c r="M21" s="230">
        <f t="shared" si="2"/>
        <v>12276.16</v>
      </c>
      <c r="N21" s="277">
        <f t="shared" si="3"/>
        <v>2745.7627118644068</v>
      </c>
      <c r="O21" s="239">
        <f t="shared" si="4"/>
        <v>75.109613559322028</v>
      </c>
      <c r="P21" s="311">
        <f t="shared" si="5"/>
        <v>15097.032325423728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560</v>
      </c>
      <c r="I25" s="114">
        <f t="shared" ref="I25:M25" si="10">SUM(I16:I24)</f>
        <v>36642.9</v>
      </c>
      <c r="J25" s="274">
        <f>SUM(J16:J24)</f>
        <v>4397.1480000000001</v>
      </c>
      <c r="K25" s="275">
        <f t="shared" si="10"/>
        <v>1282.5015000000001</v>
      </c>
      <c r="L25" s="276">
        <f t="shared" si="10"/>
        <v>0</v>
      </c>
      <c r="M25" s="232">
        <f t="shared" si="10"/>
        <v>30963.250499999998</v>
      </c>
      <c r="N25" s="233">
        <f>SUM(N16:N24)</f>
        <v>6925.4237288135582</v>
      </c>
      <c r="O25" s="101">
        <f>SUM(O16:O24)</f>
        <v>189.44337114406778</v>
      </c>
      <c r="P25" s="113">
        <f>SUM(P16:P24)</f>
        <v>38078.11759995763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36642.9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4397.1480000000001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1282.5015000000001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30963.250500000002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6925.4237288135582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37888.674228813557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189.44337114406778</v>
      </c>
    </row>
    <row r="35" spans="2:16" ht="15.75" customHeight="1" thickBot="1" x14ac:dyDescent="0.4">
      <c r="N35" s="345" t="s">
        <v>88</v>
      </c>
      <c r="O35" s="346"/>
      <c r="P35" s="297">
        <f>+P33+P34</f>
        <v>38078.117599957623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8.7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8.7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46303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46302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2026-10-07T05:23:04Z</dcterms:modified>
</cp:coreProperties>
</file>