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0083BB-5D45-4DBA-9DF4-FB4F8484A48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<sst xmlns="http://schemas.openxmlformats.org/spreadsheetml/2006/main" count="3976" uniqueCount="516">
  <si>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</si>
  <si>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</si>
  <si>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</si>
  <si>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</si>
  <si>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</si>
  <si>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</si>
  <si>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</si>
  <si>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</si>
  <si>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</si>
  <si>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</si>
  <si>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</si>
  <si>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</si>
  <si>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</si>
  <si>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</si>
  <si>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</si>
  <si>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</si>
  <si>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</si>
  <si>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</si>
  <si>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</si>
  <si>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</si>
  <si>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</si>
  <si>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</si>
  <si>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</si>
  <si>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</si>
  <si>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</si>
  <si>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</si>
  <si>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</si>
  <si>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</si>
  <si>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</si>
  <si>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</si>
  <si>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</si>
  <si>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</si>
  <si>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</si>
  <si>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</si>
  <si>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</si>
  <si>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</si>
  <si>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</si>
  <si>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</si>
  <si>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</si>
  <si>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</si>
  <si>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</si>
  <si>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</si>
  <si>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</si>
  <si>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</si>
  <si>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</si>
  <si>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</si>
  <si>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</si>
  <si>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</si>
  <si>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</si>
  <si>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</si>
  <si>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</si>
  <si>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</si>
  <si>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</si>
  <si>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</si>
  <si>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</si>
  <si>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</si>
  <si>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</si>
  <si>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</si>
  <si>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</si>
  <si>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</si>
  <si>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</si>
  <si>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</si>
  <si>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</si>
  <si>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</si>
  <si>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</si>
  <si>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</si>
  <si>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</si>
  <si>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</si>
  <si>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</si>
  <si>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</si>
  <si>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</si>
  <si>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</si>
  <si>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</si>
  <si>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</si>
  <si>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</si>
  <si>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</si>
  <si>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</si>
  <si>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</si>
  <si>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</si>
  <si>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</si>
  <si>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</si>
  <si>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</si>
  <si>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</si>
  <si>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</si>
  <si>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</si>
  <si>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</si>
  <si>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</si>
  <si>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</si>
  <si>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</si>
  <si>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</si>
  <si>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</si>
  <si>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</si>
  <si>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</si>
  <si>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</si>
  <si>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</si>
  <si>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</si>
  <si>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</si>
  <si>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</si>
  <si>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</si>
  <si>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</si>
  <si>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</si>
  <si>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</si>
  <si>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</si>
  <si>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</si>
  <si>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</si>
  <si>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</si>
  <si>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</si>
  <si>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</si>
  <si>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</si>
  <si>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</si>
  <si>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</si>
  <si>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</si>
  <si>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</si>
  <si>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</si>
  <si>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</si>
  <si>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</si>
  <si>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</si>
  <si>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</si>
  <si>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</si>
  <si>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</si>
  <si>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</si>
  <si>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</si>
  <si>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</si>
  <si>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</si>
  <si>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</si>
  <si>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</si>
  <si>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</si>
  <si>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</si>
  <si>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</si>
  <si>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</si>
  <si>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</si>
  <si>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</si>
  <si>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</si>
  <si>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</si>
  <si>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</si>
  <si>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</si>
  <si>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</si>
  <si>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</si>
  <si>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</si>
  <si>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</si>
  <si>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</si>
  <si>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</si>
  <si>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</si>
  <si>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</si>
  <si>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</si>
  <si>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</si>
  <si>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</si>
  <si>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</si>
  <si>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</si>
  <si>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</si>
  <si>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</si>
  <si>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</si>
  <si>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</si>
  <si>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</si>
  <si>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</si>
  <si>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</si>
  <si>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</si>
  <si>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</si>
  <si>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</si>
  <si>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</si>
  <si>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</si>
  <si>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</si>
  <si>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</si>
  <si>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</si>
  <si>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</si>
  <si>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</si>
  <si>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</si>
  <si>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</si>
  <si>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</si>
  <si>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</si>
  <si>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</si>
  <si>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</si>
  <si>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</si>
  <si>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</si>
  <si>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</si>
  <si>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</si>
  <si>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</si>
  <si>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</si>
  <si>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</si>
  <si>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</si>
  <si>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</si>
  <si>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</si>
  <si>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</si>
  <si>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</si>
  <si>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</si>
  <si>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</si>
  <si>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</si>
  <si>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</si>
  <si>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</si>
  <si>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</si>
  <si>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</si>
  <si>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</si>
  <si>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</si>
  <si>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</si>
  <si>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</si>
  <si>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</si>
  <si>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</si>
  <si>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</si>
  <si>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</si>
  <si>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</si>
  <si>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</si>
  <si>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</si>
  <si>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</si>
  <si>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</si>
  <si>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</si>
  <si>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</si>
  <si>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</si>
  <si>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</si>
  <si>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</si>
  <si>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</si>
  <si>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</si>
  <si>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</si>
  <si>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</si>
  <si>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</si>
  <si>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</si>
  <si>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</si>
  <si>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</si>
  <si>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</si>
  <si>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</si>
  <si>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</si>
  <si>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</si>
  <si>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</si>
  <si>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</si>
  <si>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</si>
  <si>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</si>
  <si>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</si>
  <si>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</si>
  <si>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</si>
  <si>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</si>
  <si>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</si>
  <si>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</si>
  <si>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</si>
  <si>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</si>
  <si>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</si>
  <si>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</si>
  <si>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</si>
  <si>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</si>
  <si>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</si>
  <si>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</si>
  <si>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</si>
  <si>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</si>
  <si>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</si>
  <si>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</si>
  <si>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</si>
  <si>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</si>
  <si>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</si>
  <si>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</si>
  <si>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</si>
  <si>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</si>
  <si>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</si>
  <si>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</si>
  <si>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</si>
  <si>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</si>
  <si>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</si>
  <si>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</si>
  <si>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</si>
  <si>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</si>
  <si>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</si>
  <si>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</si>
  <si>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</si>
  <si>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</si>
  <si>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</si>
  <si>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</si>
  <si>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</si>
  <si>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</si>
  <si>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</si>
  <si>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</si>
  <si>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</si>
  <si>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</si>
  <si>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</si>
  <si>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</si>
  <si>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</si>
  <si>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</si>
  <si>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</si>
  <si>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</si>
  <si>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</si>
  <si>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</si>
  <si>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</si>
  <si>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</si>
  <si>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</si>
  <si>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</si>
  <si>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</si>
  <si>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</si>
  <si>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</si>
  <si>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</si>
  <si>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</si>
  <si>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</si>
  <si>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</si>
  <si>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</si>
  <si>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</si>
  <si>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</si>
  <si>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</si>
  <si>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</si>
  <si>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</si>
  <si>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</si>
  <si>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</si>
  <si>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</si>
  <si>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</si>
  <si>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</si>
  <si>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</si>
  <si>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</si>
  <si>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</si>
  <si>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</si>
  <si>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</si>
  <si>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</si>
  <si>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</si>
  <si>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</si>
  <si>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</si>
  <si>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</si>
  <si>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</si>
  <si>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</si>
  <si>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</si>
  <si>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</si>
  <si>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</si>
  <si>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</si>
  <si>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</si>
  <si>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</si>
  <si>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</si>
  <si>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</si>
  <si>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</si>
  <si>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</si>
  <si>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</si>
  <si>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</si>
  <si>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</si>
  <si>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</si>
  <si>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</si>
  <si>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</si>
  <si>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</si>
  <si>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</si>
  <si>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</si>
  <si>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</si>
  <si>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</si>
  <si>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</si>
  <si>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</si>
  <si>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</si>
  <si>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</si>
  <si>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</si>
  <si>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</si>
  <si>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</si>
  <si>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</si>
  <si>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</si>
  <si>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</si>
  <si>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</si>
  <si>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</si>
  <si>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</si>
  <si>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</si>
  <si>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</si>
  <si>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</si>
  <si>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</si>
  <si>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</si>
  <si>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</si>
  <si>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</si>
  <si>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</si>
  <si>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</si>
  <si>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</si>
  <si>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</si>
  <si>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</si>
  <si>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</si>
  <si>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</si>
  <si>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</si>
  <si>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</si>
  <si>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</si>
  <si>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</si>
  <si>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</si>
  <si>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</si>
  <si>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</si>
  <si>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</si>
  <si>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</si>
  <si>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</si>
  <si>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</si>
  <si>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</si>
  <si>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</si>
  <si>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</si>
  <si>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</si>
  <si>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</si>
  <si>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</si>
  <si>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</si>
  <si>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</si>
  <si>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</si>
  <si>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</si>
  <si>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</si>
  <si>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</si>
  <si>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</si>
  <si>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</si>
  <si>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</si>
  <si>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</si>
  <si>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</si>
  <si>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</si>
  <si>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</si>
  <si>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</si>
  <si>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</si>
  <si>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</si>
  <si>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</si>
  <si>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</si>
  <si>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</si>
  <si>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</si>
  <si>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</si>
  <si>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</si>
  <si>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</si>
  <si>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</si>
  <si>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</si>
  <si>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</si>
  <si>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</si>
  <si>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</si>
  <si>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</si>
  <si>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</si>
  <si>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</si>
  <si>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</si>
  <si>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</si>
  <si>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</si>
  <si>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</si>
  <si>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</si>
  <si>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</si>
  <si>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</si>
  <si>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</si>
  <si>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</si>
  <si>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</si>
  <si>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</si>
  <si>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</si>
  <si>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</si>
  <si>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</si>
  <si>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</si>
  <si>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</si>
  <si>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</si>
  <si>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</si>
  <si>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</si>
  <si>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</si>
  <si>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</si>
  <si>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</si>
  <si>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</si>
  <si>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</si>
  <si>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</si>
  <si>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</si>
  <si>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</si>
  <si>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</si>
  <si>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</si>
  <si>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</si>
  <si>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</si>
  <si>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</si>
  <si>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</si>
  <si>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</si>
  <si>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</si>
  <si>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</si>
  <si>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</si>
  <si>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</si>
  <si>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</si>
  <si>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</si>
  <si>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</si>
  <si>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</si>
  <si>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</si>
  <si>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</si>
  <si>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</si>
  <si>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</si>
  <si>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</si>
  <si>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</si>
  <si>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</si>
  <si>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</si>
  <si>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</si>
  <si>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</si>
  <si>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</si>
  <si>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</si>
  <si>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</si>
  <si>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</si>
  <si>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</si>
  <si>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</si>
  <si>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</si>
  <si>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</si>
  <si>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</si>
  <si>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</si>
  <si>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</si>
  <si>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</si>
  <si>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</si>
  <si>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</si>
  <si>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</si>
  <si>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</si>
  <si>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</si>
  <si>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</si>
  <si>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</si>
  <si>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</si>
  <si>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</si>
  <si>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</si>
  <si>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</si>
  <si>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</si>
  <si>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</si>
  <si>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</si>
  <si>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</si>
  <si>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</si>
  <si>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</si>
  <si>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</si>
  <si>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</si>
  <si>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</si>
  <si>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</si>
  <si>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</si>
  <si>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</si>
  <si>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</si>
  <si>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</si>
  <si>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</si>
  <si>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</si>
  <si>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</si>
  <si>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</si>
  <si>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</si>
  <si>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</si>
  <si>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</si>
  <si>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</si>
  <si>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</si>
  <si>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</si>
  <si>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</si>
  <si>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</si>
  <si>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</si>
  <si>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</si>
  <si>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</si>
  <si>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</si>
  <si>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Crown Super Market</t>
  </si>
  <si>
    <t>NTN #: G727712-0</t>
  </si>
  <si>
    <t>Address: Singh Pura</t>
  </si>
  <si>
    <t>Invoice No # : 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</si>
</sst>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46301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Crown Super Market</v>
      </c>
      <c r="T3" s="301">
        <f>+'1'!P35</f>
        <v>26839.206321864407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10</v>
      </c>
      <c r="H16" s="113">
        <f t="shared" ref="H16:M16" si="3">SUM(H7:H15)</f>
        <v>400</v>
      </c>
      <c r="I16" s="114">
        <f t="shared" si="3"/>
        <v>25827.600000000002</v>
      </c>
      <c r="J16" s="274">
        <f>SUM(J7:J15)</f>
        <v>3099.3119999999999</v>
      </c>
      <c r="K16" s="275">
        <f t="shared" si="3"/>
        <v>903.96600000000012</v>
      </c>
      <c r="L16" s="276">
        <f t="shared" si="3"/>
        <v>0</v>
      </c>
      <c r="M16" s="232">
        <f t="shared" si="3"/>
        <v>21824.322</v>
      </c>
      <c r="N16" s="233">
        <f>SUM(N7:N15)</f>
        <v>4881.3559322033889</v>
      </c>
      <c r="O16" s="101">
        <f>SUM(O7:O15)</f>
        <v>133.52838966101694</v>
      </c>
      <c r="P16" s="113">
        <f>SUM(P7:P15)</f>
        <v>26839.206321864403</v>
      </c>
      <c r="Q16" s="128">
        <f>SUM(Q7:Q15)</f>
        <v>0</v>
      </c>
      <c r="R16" s="314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25827.600000000002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3099.3119999999999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903.96600000000012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21824.322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26705.677932203391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133.52838966101694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26839.206321864407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26839.206321864407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46301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46300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3099.3119999999999</v>
      </c>
      <c r="K25" s="275">
        <f t="shared" si="10"/>
        <v>903.96600000000012</v>
      </c>
      <c r="L25" s="276">
        <f t="shared" si="10"/>
        <v>0</v>
      </c>
      <c r="M25" s="232">
        <f t="shared" si="10"/>
        <v>21824.322</v>
      </c>
      <c r="N25" s="233">
        <f>SUM(N16:N24)</f>
        <v>4881.3559322033889</v>
      </c>
      <c r="O25" s="101">
        <f>SUM(O16:O24)</f>
        <v>133.52838966101694</v>
      </c>
      <c r="P25" s="113">
        <f>SUM(P16:P24)</f>
        <v>26839.206321864403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25827.600000000002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3099.3119999999999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903.96600000000012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21824.322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26705.677932203391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133.52838966101694</v>
      </c>
    </row>
    <row r="35" spans="2:16" ht="15.75" customHeight="1" thickBot="1" x14ac:dyDescent="0.4">
      <c r="N35" s="371" t="s">
        <v>88</v>
      </c>
      <c r="O35" s="372"/>
      <c r="P35" s="297">
        <f>+P33+P34</f>
        <v>26839.206321864407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46302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46301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2026-10-06T05:11:43Z</dcterms:modified>
</cp:coreProperties>
</file>