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A3D4476-1A1D-41E3-8D39-C34D1AE8F6D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5" i="11"/>
  <c r="N4" i="51"/>
  <c r="N4" i="50"/>
  <c r="N5" i="50" s="1"/>
  <c r="N4" i="57"/>
  <c r="N4" i="55"/>
  <c r="N4" i="68"/>
  <c r="N5" i="68" s="1"/>
  <c r="N4" i="67"/>
  <c r="N5" i="67" s="1"/>
  <c r="N4" i="46"/>
  <c r="N4" i="53"/>
  <c r="N4" i="69"/>
  <c r="N5" i="69" s="1"/>
  <c r="N4" i="59"/>
  <c r="N5" i="59" s="1"/>
  <c r="N4" i="61"/>
  <c r="N4" i="64"/>
  <c r="N5" i="64" s="1"/>
  <c r="N4" i="63"/>
  <c r="N4" i="70"/>
  <c r="N5" i="70" s="1"/>
  <c r="N4" i="45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17" i="44"/>
  <c r="O17" i="44" s="1"/>
  <c r="P17" i="44" s="1"/>
  <c r="J7" i="62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<sst xmlns="http://schemas.openxmlformats.org/spreadsheetml/2006/main" count="3948" uniqueCount="525">
  <si>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</si>
  <si>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</si>
  <si>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</si>
  <si>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</si>
  <si>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</si>
  <si>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</si>
  <si>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</si>
  <si>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</si>
  <si>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</si>
  <si>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</si>
  <si>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</si>
  <si>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</si>
  <si>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</si>
  <si>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</si>
  <si>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</si>
  <si>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</si>
  <si>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</si>
  <si>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</si>
  <si>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</si>
  <si>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</si>
  <si>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</si>
  <si>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</si>
  <si>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</si>
  <si>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</si>
  <si>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</si>
  <si>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</si>
  <si>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</si>
  <si>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</si>
  <si>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</si>
  <si>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</si>
  <si>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</si>
  <si>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</si>
  <si>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</si>
  <si>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</si>
  <si>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</si>
  <si>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</si>
  <si>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</si>
  <si>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</si>
  <si>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</si>
  <si>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</si>
  <si>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</si>
  <si>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</si>
  <si>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</si>
  <si>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</si>
  <si>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</si>
  <si>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</si>
  <si>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</si>
  <si>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</si>
  <si>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</si>
  <si>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</si>
  <si>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</si>
  <si>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</si>
  <si>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</si>
  <si>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</si>
  <si>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</si>
  <si>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</si>
  <si>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</si>
  <si>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</si>
  <si>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</si>
  <si>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</si>
  <si>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</si>
  <si>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</si>
  <si>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</si>
  <si>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</si>
  <si>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</si>
  <si>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</si>
  <si>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</si>
  <si>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</si>
  <si>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</si>
  <si>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</si>
  <si>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</si>
  <si>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</si>
  <si>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</si>
  <si>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</si>
  <si>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</si>
  <si>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</si>
  <si>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</si>
  <si>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</si>
  <si>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</si>
  <si>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</si>
  <si>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</si>
  <si>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</si>
  <si>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</si>
  <si>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</si>
  <si>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</si>
  <si>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</si>
  <si>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</si>
  <si>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</si>
  <si>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</si>
  <si>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</si>
  <si>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</si>
  <si>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</si>
  <si>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</si>
  <si>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</si>
  <si>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</si>
  <si>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</si>
  <si>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</si>
  <si>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</si>
  <si>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</si>
  <si>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</si>
  <si>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</si>
  <si>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</si>
  <si>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</si>
  <si>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</si>
  <si>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</si>
  <si>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</si>
  <si>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</si>
  <si>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</si>
  <si>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</si>
  <si>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</si>
  <si>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</si>
  <si>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</si>
  <si>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</si>
  <si>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</si>
  <si>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</si>
  <si>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</si>
  <si>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</si>
  <si>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</si>
  <si>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</si>
  <si>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</si>
  <si>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</si>
  <si>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</si>
  <si>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</si>
  <si>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</si>
  <si>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</si>
  <si>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</si>
  <si>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</si>
  <si>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</si>
  <si>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</si>
  <si>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</si>
  <si>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</si>
  <si>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</si>
  <si>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</si>
  <si>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</si>
  <si>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</si>
  <si>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</si>
  <si>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</si>
  <si>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</si>
  <si>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</si>
  <si>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</si>
  <si>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</si>
  <si>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</si>
  <si>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</si>
  <si>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</si>
  <si>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</si>
  <si>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</si>
  <si>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</si>
  <si>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</si>
  <si>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</si>
  <si>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</si>
  <si>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</si>
  <si>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</si>
  <si>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</si>
  <si>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</si>
  <si>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</si>
  <si>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</si>
  <si>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</si>
  <si>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</si>
  <si>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</si>
  <si>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</si>
  <si>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</si>
  <si>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</si>
  <si>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</si>
  <si>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</si>
  <si>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</si>
  <si>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</si>
  <si>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</si>
  <si>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</si>
  <si>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</si>
  <si>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</si>
  <si>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</si>
  <si>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</si>
  <si>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</si>
  <si>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</si>
  <si>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</si>
  <si>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</si>
  <si>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</si>
  <si>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</si>
  <si>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</si>
  <si>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</si>
  <si>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</si>
  <si>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</si>
  <si>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</si>
  <si>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</si>
  <si>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</si>
  <si>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</si>
  <si>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</si>
  <si>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</si>
  <si>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</si>
  <si>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</si>
  <si>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</si>
  <si>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</si>
  <si>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</si>
  <si>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</si>
  <si>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</si>
  <si>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</si>
  <si>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</si>
  <si>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</si>
  <si>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</si>
  <si>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</si>
  <si>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</si>
  <si>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</si>
  <si>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</si>
  <si>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</si>
  <si>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</si>
  <si>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</si>
  <si>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</si>
  <si>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</si>
  <si>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</si>
  <si>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</si>
  <si>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</si>
  <si>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</si>
  <si>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</si>
  <si>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</si>
  <si>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</si>
  <si>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</si>
  <si>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</si>
  <si>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</si>
  <si>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</si>
  <si>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</si>
  <si>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</si>
  <si>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</si>
  <si>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</si>
  <si>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</si>
  <si>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</si>
  <si>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</si>
  <si>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</si>
  <si>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</si>
  <si>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</si>
  <si>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</si>
  <si>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</si>
  <si>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</si>
  <si>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</si>
  <si>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</si>
  <si>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</si>
  <si>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</si>
  <si>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</si>
  <si>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</si>
  <si>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</si>
  <si>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</si>
  <si>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</si>
  <si>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</si>
  <si>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</si>
  <si>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</si>
  <si>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</si>
  <si>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</si>
  <si>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</si>
  <si>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</si>
  <si>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</si>
  <si>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</si>
  <si>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</si>
  <si>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</si>
  <si>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</si>
  <si>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</si>
  <si>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</si>
  <si>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</si>
  <si>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</si>
  <si>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</si>
  <si>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</si>
  <si>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</si>
  <si>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</si>
  <si>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</si>
  <si>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</si>
  <si>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</si>
  <si>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</si>
  <si>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</si>
  <si>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</si>
  <si>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</si>
  <si>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</si>
  <si>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</si>
  <si>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</si>
  <si>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</si>
  <si>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</si>
  <si>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</si>
  <si>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</si>
  <si>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</si>
  <si>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</si>
  <si>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</si>
  <si>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</si>
  <si>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</si>
  <si>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</si>
  <si>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</si>
  <si>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</si>
  <si>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</si>
  <si>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</si>
  <si>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</si>
  <si>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</si>
  <si>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</si>
  <si>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</si>
  <si>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</si>
  <si>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</si>
  <si>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</si>
  <si>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</si>
  <si>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</si>
  <si>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</si>
  <si>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</si>
  <si>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</si>
  <si>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</si>
  <si>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</si>
  <si>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</si>
  <si>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</si>
  <si>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</si>
  <si>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</si>
  <si>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</si>
  <si>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</si>
  <si>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</si>
  <si>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</si>
  <si>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</si>
  <si>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</si>
  <si>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</si>
  <si>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</si>
  <si>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</si>
  <si>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</si>
  <si>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</si>
  <si>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</si>
  <si>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</si>
  <si>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</si>
  <si>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</si>
  <si>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</si>
  <si>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</si>
  <si>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</si>
  <si>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</si>
  <si>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</si>
  <si>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</si>
  <si>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</si>
  <si>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</si>
  <si>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</si>
  <si>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</si>
  <si>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</si>
  <si>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</si>
  <si>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</si>
  <si>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</si>
  <si>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</si>
  <si>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</si>
  <si>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</si>
  <si>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</si>
  <si>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</si>
  <si>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</si>
  <si>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</si>
  <si>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</si>
  <si>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</si>
  <si>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</si>
  <si>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</si>
  <si>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</si>
  <si>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</si>
  <si>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</si>
  <si>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</si>
  <si>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</si>
  <si>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</si>
  <si>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</si>
  <si>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</si>
  <si>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</si>
  <si>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</si>
  <si>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</si>
  <si>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</si>
  <si>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</si>
  <si>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</si>
  <si>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</si>
  <si>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</si>
  <si>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</si>
  <si>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</si>
  <si>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</si>
  <si>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</si>
  <si>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</si>
  <si>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</si>
  <si>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</si>
  <si>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</si>
  <si>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</si>
  <si>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</si>
  <si>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</si>
  <si>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</si>
  <si>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</si>
  <si>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</si>
  <si>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</si>
  <si>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</si>
  <si>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</si>
  <si>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</si>
  <si>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</si>
  <si>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</si>
  <si>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</si>
  <si>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</si>
  <si>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</si>
  <si>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</si>
  <si>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</si>
  <si>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</si>
  <si>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</si>
  <si>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</si>
  <si>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</si>
  <si>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</si>
  <si>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</si>
  <si>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</si>
  <si>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</si>
  <si>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</si>
  <si>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</si>
  <si>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</si>
  <si>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</si>
  <si>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</si>
  <si>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</si>
  <si>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</si>
  <si>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</si>
  <si>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</si>
  <si>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</si>
  <si>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</si>
  <si>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</si>
  <si>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</si>
  <si>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</si>
  <si>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</si>
  <si>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</si>
  <si>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</si>
  <si>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</si>
  <si>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</si>
  <si>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</si>
  <si>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</si>
  <si>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</si>
  <si>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</si>
  <si>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</si>
  <si>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</si>
  <si>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</si>
  <si>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</si>
  <si>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</si>
  <si>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</si>
  <si>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</si>
  <si>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</si>
  <si>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</si>
  <si>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</si>
  <si>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</si>
  <si>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</si>
  <si>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</si>
  <si>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</si>
  <si>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</si>
  <si>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</si>
  <si>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</si>
  <si>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</si>
  <si>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</si>
  <si>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</si>
  <si>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</si>
  <si>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</si>
  <si>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</si>
  <si>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</si>
  <si>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</si>
  <si>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</si>
  <si>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</si>
  <si>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</si>
  <si>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</si>
  <si>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</si>
  <si>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</si>
  <si>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</si>
  <si>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</si>
  <si>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</si>
  <si>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</si>
  <si>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</si>
  <si>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</si>
  <si>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</si>
  <si>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</si>
  <si>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</si>
  <si>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</si>
  <si>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</si>
  <si>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</si>
  <si>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</si>
  <si>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</si>
  <si>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</si>
  <si>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</si>
  <si>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</si>
  <si>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</si>
  <si>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</si>
  <si>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</si>
  <si>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</si>
  <si>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</si>
  <si>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</si>
  <si>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</si>
  <si>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</si>
  <si>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</si>
  <si>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</si>
  <si>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</si>
  <si>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</si>
  <si>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</si>
  <si>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</si>
  <si>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</si>
  <si>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</si>
  <si>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</si>
  <si>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</si>
  <si>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</si>
  <si>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</si>
  <si>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</si>
  <si>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</si>
  <si>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</si>
  <si>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</si>
  <si>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</si>
  <si>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</si>
  <si>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</si>
  <si>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</si>
  <si>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</si>
  <si>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</si>
  <si>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</si>
  <si>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</si>
  <si>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</si>
  <si>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</si>
  <si>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</si>
  <si>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</si>
  <si>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</si>
  <si>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</si>
  <si>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</si>
  <si>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</si>
  <si>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</si>
  <si>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</si>
  <si>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</si>
  <si>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</si>
  <si>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</si>
  <si>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</si>
  <si>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</si>
  <si>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</si>
  <si>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</si>
  <si>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</si>
  <si>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</si>
  <si>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Umair</t>
  </si>
  <si>
    <t>Address: Qanchi Bazar</t>
  </si>
  <si>
    <t xml:space="preserve">Chiragh deen </t>
  </si>
  <si>
    <t>Noman GS</t>
  </si>
  <si>
    <t xml:space="preserve">MN Mart </t>
  </si>
  <si>
    <t>Sheikh mehboob Store</t>
  </si>
  <si>
    <t xml:space="preserve">Mian Bakery </t>
  </si>
  <si>
    <t>Iftakhar GS</t>
  </si>
  <si>
    <t>Mian Bakery 2</t>
  </si>
  <si>
    <t>Muhammad Sultan Store</t>
  </si>
  <si>
    <t xml:space="preserve">Address: Shokat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</si>
</sst>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D2" sqref="D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Chiragh deen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Noman GS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MN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Sheikh mehboob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9</v>
      </c>
      <c r="R7" s="313">
        <v>5</v>
      </c>
      <c r="S7" s="300" t="str">
        <f>+'5'!A6:A6</f>
        <v xml:space="preserve">Mian Bakery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15</v>
      </c>
      <c r="I8" s="236">
        <f t="shared" ref="I8:I14" si="0">(G8*D8)*F8+H8*F8</f>
        <v>786.9375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62.954999999999998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27.542812500000004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696.43968749999999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148.72881355932196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4.22584250529661</v>
      </c>
      <c r="P8" s="311">
        <f t="shared" ref="P8:P15" si="2">M8+N8+O8</f>
        <v>849.39434356461845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18</v>
      </c>
      <c r="R8" s="313">
        <v>6</v>
      </c>
      <c r="S8" s="300" t="str">
        <f>+'6'!A6:A6</f>
        <v>Iftakhar GS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21</v>
      </c>
      <c r="R9" s="313">
        <v>7</v>
      </c>
      <c r="S9" s="300" t="str">
        <f>+'7'!A6:A6</f>
        <v>Mian Bakery 2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</v>
      </c>
      <c r="I10" s="236">
        <f t="shared" si="0"/>
        <v>1816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145.28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63.56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1607.16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343.22033898305085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9.7519016949152544</v>
      </c>
      <c r="P10" s="311">
        <f t="shared" si="2"/>
        <v>1960.1322406779661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>Muhammad Sultan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25</v>
      </c>
      <c r="I11" s="236">
        <f t="shared" si="0"/>
        <v>1816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145.28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63.56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1607.16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343.22033898305085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9.7519016949152544</v>
      </c>
      <c r="P11" s="311">
        <f t="shared" si="2"/>
        <v>1960.1322406779661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406.78399999999999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4500.0480000000007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961.01694915254245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27.305324745762714</v>
      </c>
      <c r="P12" s="311">
        <f t="shared" si="2"/>
        <v>5488.3702738983056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</v>
      </c>
      <c r="H16" s="113">
        <f t="shared" ref="H16:M16" si="3">SUM(H7:H15)</f>
        <v>160</v>
      </c>
      <c r="I16" s="114">
        <f t="shared" si="3"/>
        <v>10815.3</v>
      </c>
      <c r="J16" s="274">
        <f>SUM(J7:J15)</f>
        <v>865.22399999999993</v>
      </c>
      <c r="K16" s="275">
        <f t="shared" si="3"/>
        <v>378.53550000000007</v>
      </c>
      <c r="L16" s="276">
        <f t="shared" si="3"/>
        <v>0</v>
      </c>
      <c r="M16" s="232">
        <f t="shared" si="3"/>
        <v>9571.540500000001</v>
      </c>
      <c r="N16" s="233">
        <f>SUM(N7:N15)</f>
        <v>2044.0677966101694</v>
      </c>
      <c r="O16" s="101">
        <f>SUM(O7:O15)</f>
        <v>58.078041483050853</v>
      </c>
      <c r="P16" s="113">
        <f>SUM(P7:P15)</f>
        <v>11673.686338093221</v>
      </c>
      <c r="Q16" s="128">
        <f>SUM(Q7:Q15)</f>
        <v>138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10815.3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865.22399999999993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378.53550000000007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9571.5404999999992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2044.0677966101694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11615.608296610168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58.078041483050853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11673.686338093219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11673.686338093221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6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3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3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1" workbookViewId="0">
      <selection activeCell="H21" sqref="H17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Q20" s="319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73.447500000000019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>
        <v>30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9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2026-10-06T12:51:52Z</dcterms:modified>
</cp:coreProperties>
</file>