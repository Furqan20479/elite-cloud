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594ED6-1A81-4EB5-A4D0-938EE894719C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<sst xmlns="http://schemas.openxmlformats.org/spreadsheetml/2006/main" count="3918" uniqueCount="519">
  <si>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</si>
  <si>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</si>
  <si>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</si>
  <si>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</si>
  <si>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</si>
  <si>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</si>
  <si>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</si>
  <si>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</si>
  <si>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</si>
  <si>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</si>
  <si>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</si>
  <si>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</si>
  <si>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</si>
  <si>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</si>
  <si>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</si>
  <si>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</si>
  <si>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</si>
  <si>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</si>
  <si>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</si>
  <si>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</si>
  <si>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</si>
  <si>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</si>
  <si>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</si>
  <si>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</si>
  <si>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</si>
  <si>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</si>
  <si>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</si>
  <si>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</si>
  <si>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</si>
  <si>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</si>
  <si>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</si>
  <si>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</si>
  <si>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</si>
  <si>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</si>
  <si>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</si>
  <si>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</si>
  <si>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</si>
  <si>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</si>
  <si>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</si>
  <si>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</si>
  <si>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</si>
  <si>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</si>
  <si>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</si>
  <si>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</si>
  <si>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</si>
  <si>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</si>
  <si>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</si>
  <si>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</si>
  <si>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</si>
  <si>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</si>
  <si>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</si>
  <si>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</si>
  <si>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</si>
  <si>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</si>
  <si>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</si>
  <si>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</si>
  <si>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</si>
  <si>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</si>
  <si>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</si>
  <si>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</si>
  <si>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</si>
  <si>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</si>
  <si>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</si>
  <si>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</si>
  <si>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</si>
  <si>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</si>
  <si>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</si>
  <si>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</si>
  <si>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</si>
  <si>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</si>
  <si>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</si>
  <si>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</si>
  <si>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</si>
  <si>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</si>
  <si>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</si>
  <si>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</si>
  <si>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</si>
  <si>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</si>
  <si>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</si>
  <si>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</si>
  <si>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</si>
  <si>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</si>
  <si>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</si>
  <si>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</si>
  <si>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</si>
  <si>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</si>
  <si>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</si>
  <si>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</si>
  <si>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</si>
  <si>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</si>
  <si>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</si>
  <si>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</si>
  <si>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</si>
  <si>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</si>
  <si>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</si>
  <si>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</si>
  <si>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</si>
  <si>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</si>
  <si>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</si>
  <si>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</si>
  <si>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</si>
  <si>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</si>
  <si>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</si>
  <si>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</si>
  <si>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</si>
  <si>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</si>
  <si>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</si>
  <si>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</si>
  <si>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</si>
  <si>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</si>
  <si>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</si>
  <si>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</si>
  <si>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</si>
  <si>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</si>
  <si>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</si>
  <si>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</si>
  <si>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</si>
  <si>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</si>
  <si>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</si>
  <si>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</si>
  <si>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</si>
  <si>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</si>
  <si>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</si>
  <si>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</si>
  <si>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</si>
  <si>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</si>
  <si>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</si>
  <si>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</si>
  <si>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</si>
  <si>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</si>
  <si>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</si>
  <si>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</si>
  <si>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</si>
  <si>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</si>
  <si>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</si>
  <si>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</si>
  <si>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</si>
  <si>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</si>
  <si>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</si>
  <si>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</si>
  <si>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</si>
  <si>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</si>
  <si>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</si>
  <si>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</si>
  <si>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</si>
  <si>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</si>
  <si>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</si>
  <si>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</si>
  <si>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</si>
  <si>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</si>
  <si>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</si>
  <si>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</si>
  <si>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</si>
  <si>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</si>
  <si>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</si>
  <si>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</si>
  <si>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</si>
  <si>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</si>
  <si>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</si>
  <si>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</si>
  <si>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</si>
  <si>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</si>
  <si>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</si>
  <si>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</si>
  <si>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</si>
  <si>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</si>
  <si>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</si>
  <si>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</si>
  <si>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</si>
  <si>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</si>
  <si>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</si>
  <si>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</si>
  <si>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</si>
  <si>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</si>
  <si>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</si>
  <si>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</si>
  <si>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</si>
  <si>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</si>
  <si>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</si>
  <si>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</si>
  <si>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</si>
  <si>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</si>
  <si>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</si>
  <si>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</si>
  <si>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</si>
  <si>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</si>
  <si>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</si>
  <si>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</si>
  <si>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</si>
  <si>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</si>
  <si>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</si>
  <si>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</si>
  <si>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</si>
  <si>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</si>
  <si>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</si>
  <si>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</si>
  <si>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</si>
  <si>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</si>
  <si>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</si>
  <si>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</si>
  <si>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</si>
  <si>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</si>
  <si>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</si>
  <si>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</si>
  <si>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</si>
  <si>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</si>
  <si>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</si>
  <si>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</si>
  <si>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</si>
  <si>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</si>
  <si>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</si>
  <si>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</si>
  <si>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</si>
  <si>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</si>
  <si>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</si>
  <si>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</si>
  <si>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</si>
  <si>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</si>
  <si>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</si>
  <si>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</si>
  <si>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</si>
  <si>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</si>
  <si>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</si>
  <si>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</si>
  <si>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</si>
  <si>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</si>
  <si>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</si>
  <si>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</si>
  <si>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</si>
  <si>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</si>
  <si>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</si>
  <si>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</si>
  <si>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</si>
  <si>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</si>
  <si>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</si>
  <si>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</si>
  <si>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</si>
  <si>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</si>
  <si>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</si>
  <si>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</si>
  <si>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</si>
  <si>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</si>
  <si>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</si>
  <si>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</si>
  <si>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</si>
  <si>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</si>
  <si>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</si>
  <si>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</si>
  <si>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</si>
  <si>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</si>
  <si>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</si>
  <si>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</si>
  <si>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</si>
  <si>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</si>
  <si>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</si>
  <si>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</si>
  <si>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</si>
  <si>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</si>
  <si>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</si>
  <si>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</si>
  <si>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</si>
  <si>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</si>
  <si>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</si>
  <si>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</si>
  <si>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</si>
  <si>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</si>
  <si>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</si>
  <si>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</si>
  <si>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</si>
  <si>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</si>
  <si>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</si>
  <si>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</si>
  <si>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</si>
  <si>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</si>
  <si>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</si>
  <si>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</si>
  <si>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</si>
  <si>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</si>
  <si>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</si>
  <si>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</si>
  <si>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</si>
  <si>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</si>
  <si>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</si>
  <si>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</si>
  <si>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</si>
  <si>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</si>
  <si>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</si>
  <si>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</si>
  <si>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</si>
  <si>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</si>
  <si>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</si>
  <si>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</si>
  <si>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</si>
  <si>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</si>
  <si>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</si>
  <si>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</si>
  <si>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</si>
  <si>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</si>
  <si>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</si>
  <si>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</si>
  <si>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</si>
  <si>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</si>
  <si>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</si>
  <si>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</si>
  <si>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</si>
  <si>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</si>
  <si>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</si>
  <si>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</si>
  <si>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</si>
  <si>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</si>
  <si>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</si>
  <si>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</si>
  <si>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</si>
  <si>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</si>
  <si>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</si>
  <si>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</si>
  <si>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</si>
  <si>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</si>
  <si>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</si>
  <si>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</si>
  <si>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</si>
  <si>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</si>
  <si>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</si>
  <si>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</si>
  <si>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</si>
  <si>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</si>
  <si>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</si>
  <si>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</si>
  <si>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</si>
  <si>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</si>
  <si>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</si>
  <si>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</si>
  <si>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</si>
  <si>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</si>
  <si>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</si>
  <si>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</si>
  <si>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</si>
  <si>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</si>
  <si>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</si>
  <si>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</si>
  <si>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</si>
  <si>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</si>
  <si>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</si>
  <si>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</si>
  <si>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</si>
  <si>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</si>
  <si>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</si>
  <si>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</si>
  <si>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</si>
  <si>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</si>
  <si>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</si>
  <si>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</si>
  <si>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</si>
  <si>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</si>
  <si>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</si>
  <si>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</si>
  <si>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</si>
  <si>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</si>
  <si>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</si>
  <si>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</si>
  <si>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</si>
  <si>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</si>
  <si>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</si>
  <si>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</si>
  <si>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</si>
  <si>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</si>
  <si>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</si>
  <si>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</si>
  <si>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</si>
  <si>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</si>
  <si>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</si>
  <si>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</si>
  <si>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</si>
  <si>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</si>
  <si>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</si>
  <si>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</si>
  <si>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</si>
  <si>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</si>
  <si>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</si>
  <si>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</si>
  <si>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</si>
  <si>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</si>
  <si>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</si>
  <si>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</si>
  <si>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</si>
  <si>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</si>
  <si>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</si>
  <si>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</si>
  <si>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</si>
  <si>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</si>
  <si>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</si>
  <si>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</si>
  <si>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</si>
  <si>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</si>
  <si>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</si>
  <si>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</si>
  <si>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</si>
  <si>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</si>
  <si>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</si>
  <si>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</si>
  <si>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</si>
  <si>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</si>
  <si>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</si>
  <si>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</si>
  <si>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</si>
  <si>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</si>
  <si>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</si>
  <si>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</si>
  <si>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</si>
  <si>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</si>
  <si>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</si>
  <si>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</si>
  <si>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</si>
  <si>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</si>
  <si>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</si>
  <si>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</si>
  <si>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</si>
  <si>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</si>
  <si>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</si>
  <si>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</si>
  <si>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</si>
  <si>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</si>
  <si>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</si>
  <si>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</si>
  <si>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</si>
  <si>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</si>
  <si>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</si>
  <si>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</si>
  <si>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</si>
  <si>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</si>
  <si>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</si>
  <si>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</si>
  <si>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</si>
  <si>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</si>
  <si>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</si>
  <si>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</si>
  <si>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</si>
  <si>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</si>
  <si>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</si>
  <si>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</si>
  <si>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</si>
  <si>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</si>
  <si>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</si>
  <si>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</si>
  <si>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</si>
  <si>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</si>
  <si>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</si>
  <si>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</si>
  <si>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</si>
  <si>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</si>
  <si>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</si>
  <si>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</si>
  <si>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</si>
  <si>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</si>
  <si>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</si>
  <si>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</si>
  <si>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</si>
  <si>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</si>
  <si>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</si>
  <si>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</si>
  <si>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</si>
  <si>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</si>
  <si>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</si>
  <si>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</si>
  <si>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</si>
  <si>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</si>
  <si>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</si>
  <si>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</si>
  <si>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</si>
  <si>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</si>
  <si>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</si>
  <si>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</si>
  <si>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</si>
  <si>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</si>
  <si>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</si>
  <si>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</si>
  <si>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</si>
  <si>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</si>
  <si>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</si>
  <si>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</si>
  <si>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</si>
  <si>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</si>
  <si>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</si>
  <si>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</si>
  <si>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</si>
  <si>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</si>
  <si>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</si>
  <si>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</si>
  <si>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</si>
  <si>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</si>
  <si>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</si>
  <si>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</si>
  <si>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</si>
  <si>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</si>
  <si>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</si>
  <si>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</si>
  <si>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</si>
  <si>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</si>
  <si>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</si>
  <si>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</si>
  <si>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</si>
  <si>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</si>
  <si>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</si>
  <si>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</si>
  <si>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</si>
  <si>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</si>
  <si>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</si>
  <si>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</si>
  <si>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</si>
  <si>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</si>
  <si>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</si>
  <si>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</si>
  <si>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</si>
  <si>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</si>
  <si>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</si>
  <si>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</si>
  <si>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</si>
  <si>
    <t>Invoice No # :000134</t>
  </si>
  <si>
    <t>Address: GT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</si>
</sst>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10" sqref="F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46268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Swera Store</v>
      </c>
      <c r="T3" s="301">
        <f>+'1'!P35</f>
        <v>38078.117599957623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</v>
      </c>
      <c r="H16" s="113">
        <f t="shared" ref="H16:M16" si="3">SUM(H7:H15)</f>
        <v>560</v>
      </c>
      <c r="I16" s="114">
        <f t="shared" si="3"/>
        <v>36642.9</v>
      </c>
      <c r="J16" s="274">
        <f>SUM(J7:J15)</f>
        <v>4397.1480000000001</v>
      </c>
      <c r="K16" s="275">
        <f t="shared" si="3"/>
        <v>1282.5015000000001</v>
      </c>
      <c r="L16" s="276">
        <f t="shared" si="3"/>
        <v>0</v>
      </c>
      <c r="M16" s="232">
        <f t="shared" si="3"/>
        <v>30963.250499999998</v>
      </c>
      <c r="N16" s="233">
        <f>SUM(N7:N15)</f>
        <v>6925.4237288135582</v>
      </c>
      <c r="O16" s="101">
        <f>SUM(O7:O15)</f>
        <v>189.44337114406778</v>
      </c>
      <c r="P16" s="113">
        <f>SUM(P7:P15)</f>
        <v>38078.11759995763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36642.9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4397.1480000000001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1282.5015000000001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30963.250500000002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6925.4237288135582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37888.674228813557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189.44337114406778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38078.117599957623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38078.117599957623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36642.9</v>
      </c>
      <c r="J25" s="274">
        <f>SUM(J16:J24)</f>
        <v>4397.1480000000001</v>
      </c>
      <c r="K25" s="275">
        <f t="shared" si="10"/>
        <v>1282.5015000000001</v>
      </c>
      <c r="L25" s="276">
        <f t="shared" si="10"/>
        <v>0</v>
      </c>
      <c r="M25" s="232">
        <f t="shared" si="10"/>
        <v>30963.250499999998</v>
      </c>
      <c r="N25" s="233">
        <f>SUM(N16:N24)</f>
        <v>6925.4237288135582</v>
      </c>
      <c r="O25" s="101">
        <f>SUM(O16:O24)</f>
        <v>189.44337114406778</v>
      </c>
      <c r="P25" s="113">
        <f>SUM(P16:P24)</f>
        <v>38078.11759995763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36642.9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4397.1480000000001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1282.5015000000001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30963.250500000002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6925.4237288135582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37888.674228813557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189.44337114406778</v>
      </c>
    </row>
    <row r="35" spans="2:16" ht="15.75" customHeight="1" thickBot="1" x14ac:dyDescent="0.4">
      <c r="N35" s="374" t="s">
        <v>88</v>
      </c>
      <c r="O35" s="375"/>
      <c r="P35" s="297">
        <f>+P33+P34</f>
        <v>38078.117599957623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2026-10-06T05:18:17Z</dcterms:modified>
</cp:coreProperties>
</file>