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C7ADA4C-3044-4356-90AD-9DE82924FE19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6" l="1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<sst xmlns="http://schemas.openxmlformats.org/spreadsheetml/2006/main" count="3949" uniqueCount="548">
  <si>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</si>
  <si>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</si>
  <si>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</si>
  <si>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</si>
  <si>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</si>
  <si>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</si>
  <si>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</si>
  <si>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</si>
  <si>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</si>
  <si>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</si>
  <si>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</si>
  <si>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</si>
  <si>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</si>
  <si>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</si>
  <si>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</si>
  <si>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</si>
  <si>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</si>
  <si>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</si>
  <si>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</si>
  <si>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</si>
  <si>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</si>
  <si>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</si>
  <si>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</si>
  <si>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</si>
  <si>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</si>
  <si>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</si>
  <si>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</si>
  <si>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</si>
  <si>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</si>
  <si>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</si>
  <si>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</si>
  <si>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</si>
  <si>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</si>
  <si>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</si>
  <si>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</si>
  <si>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</si>
  <si>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</si>
  <si>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</si>
  <si>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</si>
  <si>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</si>
  <si>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</si>
  <si>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</si>
  <si>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</si>
  <si>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</si>
  <si>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</si>
  <si>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</si>
  <si>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</si>
  <si>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</si>
  <si>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</si>
  <si>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</si>
  <si>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</si>
  <si>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</si>
  <si>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</si>
  <si>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</si>
  <si>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</si>
  <si>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</si>
  <si>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</si>
  <si>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</si>
  <si>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</si>
  <si>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</si>
  <si>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</si>
  <si>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</si>
  <si>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</si>
  <si>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</si>
  <si>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</si>
  <si>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</si>
  <si>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</si>
  <si>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</si>
  <si>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</si>
  <si>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</si>
  <si>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</si>
  <si>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</si>
  <si>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</si>
  <si>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</si>
  <si>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</si>
  <si>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</si>
  <si>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</si>
  <si>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</si>
  <si>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</si>
  <si>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</si>
  <si>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</si>
  <si>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</si>
  <si>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</si>
  <si>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</si>
  <si>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</si>
  <si>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</si>
  <si>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</si>
  <si>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</si>
  <si>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</si>
  <si>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</si>
  <si>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</si>
  <si>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</si>
  <si>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</si>
  <si>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</si>
  <si>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</si>
  <si>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</si>
  <si>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</si>
  <si>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</si>
  <si>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</si>
  <si>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</si>
  <si>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</si>
  <si>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</si>
  <si>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</si>
  <si>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</si>
  <si>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</si>
  <si>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</si>
  <si>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</si>
  <si>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</si>
  <si>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</si>
  <si>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</si>
  <si>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</si>
  <si>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</si>
  <si>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</si>
  <si>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</si>
  <si>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</si>
  <si>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</si>
  <si>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</si>
  <si>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</si>
  <si>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</si>
  <si>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</si>
  <si>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</si>
  <si>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</si>
  <si>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</si>
  <si>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</si>
  <si>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</si>
  <si>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</si>
  <si>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</si>
  <si>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</si>
  <si>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</si>
  <si>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</si>
  <si>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</si>
  <si>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</si>
  <si>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</si>
  <si>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</si>
  <si>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</si>
  <si>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</si>
  <si>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</si>
  <si>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</si>
  <si>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</si>
  <si>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</si>
  <si>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</si>
  <si>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</si>
  <si>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</si>
  <si>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</si>
  <si>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</si>
  <si>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</si>
  <si>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</si>
  <si>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</si>
  <si>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</si>
  <si>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</si>
  <si>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</si>
  <si>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</si>
  <si>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</si>
  <si>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</si>
  <si>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</si>
  <si>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</si>
  <si>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</si>
  <si>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</si>
  <si>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</si>
  <si>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</si>
  <si>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</si>
  <si>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</si>
  <si>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</si>
  <si>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</si>
  <si>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</si>
  <si>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</si>
  <si>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</si>
  <si>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</si>
  <si>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</si>
  <si>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</si>
  <si>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</si>
  <si>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</si>
  <si>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</si>
  <si>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</si>
  <si>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</si>
  <si>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</si>
  <si>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</si>
  <si>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</si>
  <si>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</si>
  <si>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</si>
  <si>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</si>
  <si>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</si>
  <si>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</si>
  <si>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</si>
  <si>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</si>
  <si>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</si>
  <si>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</si>
  <si>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</si>
  <si>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</si>
  <si>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</si>
  <si>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</si>
  <si>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</si>
  <si>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</si>
  <si>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</si>
  <si>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</si>
  <si>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</si>
  <si>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</si>
  <si>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</si>
  <si>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</si>
  <si>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</si>
  <si>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</si>
  <si>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</si>
  <si>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</si>
  <si>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</si>
  <si>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</si>
  <si>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</si>
  <si>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</si>
  <si>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</si>
  <si>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</si>
  <si>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</si>
  <si>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</si>
  <si>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</si>
  <si>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</si>
  <si>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</si>
  <si>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</si>
  <si>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</si>
  <si>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</si>
  <si>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</si>
  <si>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</si>
  <si>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</si>
  <si>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</si>
  <si>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</si>
  <si>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</si>
  <si>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</si>
  <si>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</si>
  <si>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</si>
  <si>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</si>
  <si>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</si>
  <si>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</si>
  <si>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</si>
  <si>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</si>
  <si>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</si>
  <si>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</si>
  <si>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</si>
  <si>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</si>
  <si>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</si>
  <si>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</si>
  <si>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</si>
  <si>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</si>
  <si>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</si>
  <si>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</si>
  <si>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</si>
  <si>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</si>
  <si>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</si>
  <si>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</si>
  <si>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</si>
  <si>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</si>
  <si>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</si>
  <si>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</si>
  <si>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</si>
  <si>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</si>
  <si>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</si>
  <si>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</si>
  <si>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</si>
  <si>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</si>
  <si>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</si>
  <si>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</si>
  <si>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</si>
  <si>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</si>
  <si>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</si>
  <si>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</si>
  <si>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</si>
  <si>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</si>
  <si>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</si>
  <si>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</si>
  <si>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</si>
  <si>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</si>
  <si>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</si>
  <si>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</si>
  <si>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</si>
  <si>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</si>
  <si>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</si>
  <si>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</si>
  <si>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</si>
  <si>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</si>
  <si>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</si>
  <si>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</si>
  <si>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</si>
  <si>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</si>
  <si>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</si>
  <si>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</si>
  <si>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</si>
  <si>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</si>
  <si>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</si>
  <si>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</si>
  <si>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</si>
  <si>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</si>
  <si>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</si>
  <si>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</si>
  <si>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</si>
  <si>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</si>
  <si>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</si>
  <si>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</si>
  <si>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</si>
  <si>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</si>
  <si>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</si>
  <si>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</si>
  <si>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</si>
  <si>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</si>
  <si>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</si>
  <si>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</si>
  <si>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</si>
  <si>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</si>
  <si>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</si>
  <si>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</si>
  <si>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</si>
  <si>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</si>
  <si>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</si>
  <si>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</si>
  <si>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</si>
  <si>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</si>
  <si>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</si>
  <si>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</si>
  <si>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</si>
  <si>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</si>
  <si>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</si>
  <si>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</si>
  <si>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</si>
  <si>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</si>
  <si>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</si>
  <si>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</si>
  <si>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</si>
  <si>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</si>
  <si>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</si>
  <si>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</si>
  <si>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</si>
  <si>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</si>
  <si>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</si>
  <si>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</si>
  <si>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</si>
  <si>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</si>
  <si>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</si>
  <si>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</si>
  <si>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</si>
  <si>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</si>
  <si>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</si>
  <si>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</si>
  <si>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</si>
  <si>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</si>
  <si>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</si>
  <si>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</si>
  <si>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</si>
  <si>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</si>
  <si>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</si>
  <si>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</si>
  <si>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</si>
  <si>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</si>
  <si>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</si>
  <si>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</si>
  <si>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</si>
  <si>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</si>
  <si>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</si>
  <si>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</si>
  <si>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</si>
  <si>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</si>
  <si>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</si>
  <si>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</si>
  <si>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</si>
  <si>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</si>
  <si>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</si>
  <si>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</si>
  <si>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</si>
  <si>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</si>
  <si>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</si>
  <si>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</si>
  <si>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</si>
  <si>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</si>
  <si>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</si>
  <si>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</si>
  <si>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</si>
  <si>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</si>
  <si>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</si>
  <si>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</si>
  <si>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</si>
  <si>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</si>
  <si>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</si>
  <si>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</si>
  <si>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</si>
  <si>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</si>
  <si>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</si>
  <si>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</si>
  <si>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</si>
  <si>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</si>
  <si>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</si>
  <si>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</si>
  <si>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</si>
  <si>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</si>
  <si>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</si>
  <si>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</si>
  <si>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</si>
  <si>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</si>
  <si>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</si>
  <si>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</si>
  <si>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</si>
  <si>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</si>
  <si>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</si>
  <si>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</si>
  <si>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</si>
  <si>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</si>
  <si>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</si>
  <si>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</si>
  <si>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</si>
  <si>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</si>
  <si>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</si>
  <si>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</si>
  <si>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</si>
  <si>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</si>
  <si>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</si>
  <si>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</si>
  <si>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</si>
  <si>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</si>
  <si>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</si>
  <si>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</si>
  <si>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</si>
  <si>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</si>
  <si>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</si>
  <si>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</si>
  <si>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</si>
  <si>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</si>
  <si>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</si>
  <si>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</si>
  <si>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</si>
  <si>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</si>
  <si>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</si>
  <si>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</si>
  <si>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</si>
  <si>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</si>
  <si>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</si>
  <si>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</si>
  <si>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</si>
  <si>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</si>
  <si>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</si>
  <si>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</si>
  <si>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</si>
  <si>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</si>
  <si>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</si>
  <si>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</si>
  <si>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</si>
  <si>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</si>
  <si>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</si>
  <si>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</si>
  <si>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</si>
  <si>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</si>
  <si>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</si>
  <si>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</si>
  <si>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</si>
  <si>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</si>
  <si>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</si>
  <si>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</si>
  <si>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</si>
  <si>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</si>
  <si>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</si>
  <si>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</si>
  <si>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</si>
  <si>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</si>
  <si>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</si>
  <si>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</si>
  <si>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</si>
  <si>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</si>
  <si>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</si>
  <si>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</si>
  <si>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</si>
  <si>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</si>
  <si>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</si>
  <si>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</si>
  <si>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</si>
  <si>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</si>
  <si>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</si>
  <si>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</si>
  <si>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</si>
  <si>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</si>
  <si>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</si>
  <si>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</si>
  <si>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</si>
  <si>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</si>
  <si>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</si>
  <si>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</si>
  <si>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</si>
  <si>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</si>
  <si>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</si>
  <si>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</si>
  <si>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</si>
  <si>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</si>
  <si>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</si>
  <si>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</si>
  <si>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</si>
  <si>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</si>
  <si>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</si>
  <si>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</si>
  <si>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</si>
  <si>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</si>
  <si>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</si>
  <si>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</si>
  <si>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</si>
  <si>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</si>
  <si>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</si>
  <si>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</si>
  <si>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</si>
  <si>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</si>
  <si>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</si>
  <si>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</si>
  <si>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</si>
  <si>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</si>
  <si>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</si>
  <si>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</si>
  <si>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</si>
  <si>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</si>
  <si>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</si>
  <si>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</si>
  <si>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</si>
  <si>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</si>
  <si>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</si>
  <si>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</si>
  <si>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</si>
  <si>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</si>
  <si>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Islam Pura</t>
  </si>
  <si>
    <t xml:space="preserve">Shakoor Husain </t>
  </si>
  <si>
    <t xml:space="preserve"> </t>
  </si>
  <si>
    <t xml:space="preserve">Gourmet Food Shadman </t>
  </si>
  <si>
    <t xml:space="preserve">Gourmet Food Jinah Hospital </t>
  </si>
  <si>
    <t xml:space="preserve">Gourmet Food Walton </t>
  </si>
  <si>
    <t>Gourmet Food Krishan Nager</t>
  </si>
  <si>
    <t>Gourmet Food Nadeem Shaheed Road</t>
  </si>
  <si>
    <t xml:space="preserve">Gourmet Food Umer Chowk </t>
  </si>
  <si>
    <t>Invoice No # :0001</t>
  </si>
  <si>
    <t>Gourmet Food College Road</t>
  </si>
  <si>
    <t>Gourmet Food Ghalib Market</t>
  </si>
  <si>
    <t>Gourmet Food Zahoor e ilaahi</t>
  </si>
  <si>
    <t xml:space="preserve">Gourmet Food Pico </t>
  </si>
  <si>
    <t>Gourmet Food Temple Road</t>
  </si>
  <si>
    <t xml:space="preserve">Gourmet Food C Block Model town </t>
  </si>
  <si>
    <t>Gourmet Food Poonch Road</t>
  </si>
  <si>
    <t xml:space="preserve">Gourmet Food Gulshan Ravi </t>
  </si>
  <si>
    <t xml:space="preserve">Gourmet Food Riwind City </t>
  </si>
  <si>
    <t>Gourmet Food Model Town Link Road</t>
  </si>
  <si>
    <t xml:space="preserve">Gourmet Food A Block Model Town </t>
  </si>
  <si>
    <t>Gourmet Food Bata Pur</t>
  </si>
  <si>
    <t xml:space="preserve">Gourmet Food Sadar Kachari </t>
  </si>
  <si>
    <t xml:space="preserve">Gourmet Food Jaurey Pull </t>
  </si>
  <si>
    <t xml:space="preserve">Gourmet Food Bhatta Chowk </t>
  </si>
  <si>
    <t>Gourmet Food XX DHA</t>
  </si>
  <si>
    <t>Gourmet Food H Block DHA</t>
  </si>
  <si>
    <t>Gourmet Food Shalimar Link Road</t>
  </si>
  <si>
    <t>Gourmet Food Salamat pura</t>
  </si>
  <si>
    <t xml:space="preserve">Gourmet Food Dharoghewala </t>
  </si>
  <si>
    <t>Gourmet Food Riwind Road</t>
  </si>
  <si>
    <t xml:space="preserve">Gourmet Food  Chung </t>
  </si>
  <si>
    <t>Gourmet Food Moter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</si>
</sst>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sqref="A1:T3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6.453125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7" t="s">
        <v>91</v>
      </c>
      <c r="B2" s="367"/>
      <c r="C2" s="367"/>
      <c r="E2" s="354" t="s">
        <v>498</v>
      </c>
      <c r="F2" s="355"/>
      <c r="G2" s="355"/>
      <c r="H2" s="352" t="s">
        <v>513</v>
      </c>
      <c r="I2" s="352"/>
      <c r="J2" s="353"/>
      <c r="R2" s="349" t="s">
        <v>497</v>
      </c>
      <c r="S2" s="350"/>
      <c r="T2" s="351"/>
    </row>
    <row r="3" spans="1:20 16377:16378" ht="21.75" customHeight="1" thickBot="1" x14ac:dyDescent="0.4">
      <c r="A3" s="368" t="s">
        <v>92</v>
      </c>
      <c r="B3" s="368"/>
      <c r="C3" s="368"/>
      <c r="E3" s="358" t="s">
        <v>508</v>
      </c>
      <c r="F3" s="359"/>
      <c r="G3" s="359"/>
      <c r="H3" s="356">
        <v>46300</v>
      </c>
      <c r="I3" s="356"/>
      <c r="J3" s="357"/>
      <c r="K3" s="369" t="s">
        <v>43</v>
      </c>
      <c r="L3" s="369"/>
      <c r="M3" s="369"/>
      <c r="N3" s="368"/>
      <c r="O3" s="368"/>
      <c r="P3" s="368"/>
      <c r="R3" s="299">
        <v>1</v>
      </c>
      <c r="S3" s="317" t="str">
        <f>+'1'!A6:A6</f>
        <v>Gourmet Food College Road</v>
      </c>
      <c r="T3" s="300">
        <f>+'1'!P35</f>
        <v>13095.143935932207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17" t="str">
        <f>+'2'!A6:A6</f>
        <v xml:space="preserve">Gourmet Food Shadman </v>
      </c>
      <c r="T4" s="300">
        <f>+'2'!P35</f>
        <v>8020.7736005084762</v>
      </c>
      <c r="XEX4" t="s">
        <v>105</v>
      </c>
    </row>
    <row r="5" spans="1:20 16377:16378" ht="21.75" customHeight="1" thickBot="1" x14ac:dyDescent="0.4">
      <c r="A5" s="388" t="s">
        <v>51</v>
      </c>
      <c r="B5" s="360"/>
      <c r="C5" s="390" t="s">
        <v>90</v>
      </c>
      <c r="D5" s="115" t="s">
        <v>52</v>
      </c>
      <c r="E5" s="392" t="s">
        <v>58</v>
      </c>
      <c r="F5" s="393"/>
      <c r="G5" s="365" t="s">
        <v>54</v>
      </c>
      <c r="H5" s="366"/>
      <c r="I5" s="394" t="s">
        <v>77</v>
      </c>
      <c r="J5" s="364" t="s">
        <v>55</v>
      </c>
      <c r="K5" s="365"/>
      <c r="L5" s="366"/>
      <c r="M5" s="360" t="s">
        <v>84</v>
      </c>
      <c r="N5" s="362" t="s">
        <v>495</v>
      </c>
      <c r="O5" s="103" t="s">
        <v>89</v>
      </c>
      <c r="P5" s="115" t="s">
        <v>56</v>
      </c>
      <c r="Q5" s="313" t="s">
        <v>507</v>
      </c>
      <c r="R5" s="318">
        <v>3</v>
      </c>
      <c r="S5" s="317" t="str">
        <f>+'3'!A6:A6</f>
        <v>Gourmet Food Ghalib Market</v>
      </c>
      <c r="T5" s="300">
        <f>+'3'!P35</f>
        <v>5892.8065301694915</v>
      </c>
      <c r="XEX5" t="s">
        <v>106</v>
      </c>
    </row>
    <row r="6" spans="1:20 16377:16378" ht="21.75" customHeight="1" thickBot="1" x14ac:dyDescent="0.4">
      <c r="A6" s="389"/>
      <c r="B6" s="361"/>
      <c r="C6" s="39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3"/>
      <c r="J6" s="143" t="s">
        <v>59</v>
      </c>
      <c r="K6" s="144" t="s">
        <v>39</v>
      </c>
      <c r="L6" s="145" t="s">
        <v>493</v>
      </c>
      <c r="M6" s="361"/>
      <c r="N6" s="363"/>
      <c r="O6" s="228" t="e">
        <f>IF(#REF!="Filer",0.5%,2.5%)</f>
        <v>#REF!</v>
      </c>
      <c r="P6" s="111" t="s">
        <v>38</v>
      </c>
      <c r="Q6" s="313" t="s">
        <v>506</v>
      </c>
      <c r="R6" s="318">
        <v>4</v>
      </c>
      <c r="S6" s="317" t="str">
        <f>+'4'!A6:A6</f>
        <v>Gourmet Food Zahoor e ilaahi</v>
      </c>
      <c r="T6" s="300">
        <f>+'4'!P35</f>
        <v>4255.9341406779649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480</v>
      </c>
      <c r="I7" s="235">
        <f>(G7*D7)*F7+H7*F7</f>
        <v>25182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4532.7599999999993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20649.240000000002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4759.3220338983019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127.04281016949152</v>
      </c>
      <c r="P7" s="309">
        <f>M7+N7+O7</f>
        <v>25535.604844067795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8">
        <v>5</v>
      </c>
      <c r="S7" s="317" t="str">
        <f>+'5'!A6:A6</f>
        <v>Gourmet Food Islam Pura</v>
      </c>
      <c r="T7" s="300">
        <f>+'5'!P35</f>
        <v>8020.7736005084762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600</v>
      </c>
      <c r="I8" s="236">
        <f t="shared" ref="I8:I14" si="0">(G8*D8)*F8+H8*F8</f>
        <v>31477.5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5665.949999999998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25811.550000000003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5949.1525423728772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158.80351271186439</v>
      </c>
      <c r="P8" s="310">
        <f t="shared" ref="P8:P15" si="2">M8+N8+O8</f>
        <v>31919.506055084745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8">
        <v>6</v>
      </c>
      <c r="S8" s="317" t="str">
        <f>+'6'!A6:A6</f>
        <v xml:space="preserve">Gourmet Food Jinah Hospital </v>
      </c>
      <c r="T8" s="300">
        <f>+'6'!P35</f>
        <v>10967.176865593221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560</v>
      </c>
      <c r="I9" s="236">
        <f t="shared" si="0"/>
        <v>29379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5288.2199999999984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24090.780000000002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5552.5423728813521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148.21661186440676</v>
      </c>
      <c r="P9" s="310">
        <f t="shared" si="2"/>
        <v>29791.538984745759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8">
        <v>7</v>
      </c>
      <c r="S9" s="317" t="str">
        <f>+'7'!A6:A6</f>
        <v xml:space="preserve">Gourmet Food Pico </v>
      </c>
      <c r="T9" s="300">
        <f>+'7'!P35</f>
        <v>4255.9341406779649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680</v>
      </c>
      <c r="I10" s="236">
        <f t="shared" si="0"/>
        <v>49395.199999999997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8891.1359999999986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40504.063999999998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9335.5932203389857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249.198286101695</v>
      </c>
      <c r="P10" s="310">
        <f t="shared" si="2"/>
        <v>50088.855506440676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8">
        <v>8</v>
      </c>
      <c r="S10" s="317" t="str">
        <f>+'8'!A6:A6</f>
        <v>Gourmet Food Temple Road</v>
      </c>
      <c r="T10" s="300">
        <f>+'8'!P35</f>
        <v>7202.3374057627125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720</v>
      </c>
      <c r="I11" s="236">
        <f t="shared" si="0"/>
        <v>52300.800000000003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9414.1439999999984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42886.656000000003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9884.7457627118674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263.85700881355939</v>
      </c>
      <c r="P11" s="310">
        <f t="shared" si="2"/>
        <v>53035.258771525434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8">
        <v>9</v>
      </c>
      <c r="S11" s="317" t="str">
        <f>+'9'!A6:A6</f>
        <v xml:space="preserve">Gourmet Food Walton </v>
      </c>
      <c r="T11" s="300">
        <f>+'9'!P35</f>
        <v>5892.8065301694915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960</v>
      </c>
      <c r="I12" s="236">
        <f t="shared" si="0"/>
        <v>69734.399999999994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12552.191999999997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57182.207999999999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13179.661016949158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351.80934508474587</v>
      </c>
      <c r="P12" s="310">
        <f t="shared" si="2"/>
        <v>70713.678362033912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8">
        <v>10</v>
      </c>
      <c r="S12" s="317" t="str">
        <f>+'10'!A6:A6</f>
        <v xml:space="preserve">Gourmet Food C Block Model town </v>
      </c>
      <c r="T12" s="300">
        <f>+'10'!P35</f>
        <v>5074.3703354237296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8">
        <v>11</v>
      </c>
      <c r="S13" s="317" t="str">
        <f>+'11'!A6:A6</f>
        <v>Gourmet Food Krishan Nager</v>
      </c>
      <c r="T13" s="300">
        <f>+'11'!P35</f>
        <v>5074.3703354237296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8">
        <v>12</v>
      </c>
      <c r="S14" s="317" t="str">
        <f>+'12'!A6:A6</f>
        <v>Gourmet Food Poonch Road</v>
      </c>
      <c r="T14" s="300">
        <f>+'12'!P35</f>
        <v>10148.740670847459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8">
        <v>13</v>
      </c>
      <c r="S15" s="317" t="str">
        <f>+'13'!A6:A6</f>
        <v>Gourmet Food Nadeem Shaheed Road</v>
      </c>
      <c r="T15" s="300">
        <f>+'13'!P35</f>
        <v>5892.8065301694915</v>
      </c>
    </row>
    <row r="16" spans="1:20 16377:16378" ht="21.75" customHeight="1" thickBot="1" x14ac:dyDescent="0.4">
      <c r="A16" s="370">
        <f>COUNT(A7:A15)</f>
        <v>0</v>
      </c>
      <c r="B16" s="371"/>
      <c r="C16" s="371" t="s">
        <v>40</v>
      </c>
      <c r="D16" s="371"/>
      <c r="E16" s="371"/>
      <c r="F16" s="372"/>
      <c r="G16" s="274">
        <f>H16/40</f>
        <v>100</v>
      </c>
      <c r="H16" s="113">
        <f t="shared" ref="H16:M16" si="3">SUM(H7:H15)</f>
        <v>4000</v>
      </c>
      <c r="I16" s="114">
        <f t="shared" si="3"/>
        <v>257468.9</v>
      </c>
      <c r="J16" s="274">
        <f>SUM(J7:J15)</f>
        <v>46344.401999999987</v>
      </c>
      <c r="K16" s="275">
        <f t="shared" si="3"/>
        <v>0</v>
      </c>
      <c r="L16" s="276">
        <f t="shared" si="3"/>
        <v>0</v>
      </c>
      <c r="M16" s="232">
        <f t="shared" si="3"/>
        <v>211124.49800000002</v>
      </c>
      <c r="N16" s="233">
        <f>SUM(N7:N15)</f>
        <v>48661.016949152545</v>
      </c>
      <c r="O16" s="101">
        <f>SUM(O7:O15)</f>
        <v>1298.927574745763</v>
      </c>
      <c r="P16" s="113">
        <f>SUM(P7:P15)</f>
        <v>261084.44252389832</v>
      </c>
      <c r="Q16" s="128">
        <f>SUM(Q7:Q15)</f>
        <v>0</v>
      </c>
      <c r="R16" s="318">
        <v>14</v>
      </c>
      <c r="S16" s="317" t="str">
        <f>+'14'!A6:A6</f>
        <v xml:space="preserve">Gourmet Food Gulshan Ravi </v>
      </c>
      <c r="T16" s="300">
        <f>+'14'!P35</f>
        <v>10967.176865593221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17" t="str">
        <f>+'15'!A6:A6</f>
        <v xml:space="preserve">Gourmet Food Umer Chowk </v>
      </c>
      <c r="T17" s="300">
        <f>+'15'!P35</f>
        <v>15223.111006271187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17" t="str">
        <f>+'16'!A6:A6</f>
        <v xml:space="preserve">Gourmet Food Riwind City </v>
      </c>
      <c r="T18" s="300">
        <f>+'16'!P35</f>
        <v>15223.111006271187</v>
      </c>
    </row>
    <row r="19" spans="1:20" ht="21.75" customHeight="1" x14ac:dyDescent="0.35">
      <c r="B19" s="373" t="s">
        <v>64</v>
      </c>
      <c r="C19" s="374"/>
      <c r="D19" s="374"/>
      <c r="E19" s="374"/>
      <c r="F19" s="374"/>
      <c r="G19" s="374"/>
      <c r="H19" s="374"/>
      <c r="I19" s="374"/>
      <c r="J19" s="374"/>
      <c r="K19" s="374"/>
      <c r="L19" s="375"/>
      <c r="N19" s="382" t="s">
        <v>60</v>
      </c>
      <c r="O19" s="383"/>
      <c r="P19" s="139">
        <f>I16</f>
        <v>257468.9</v>
      </c>
      <c r="R19" s="299">
        <v>17</v>
      </c>
      <c r="S19" s="317" t="str">
        <f>+'17'!A6:A6</f>
        <v>Gourmet Food Model Town Link Road</v>
      </c>
      <c r="T19" s="300">
        <f>+'17'!P35</f>
        <v>13095.143935932207</v>
      </c>
    </row>
    <row r="20" spans="1:20" ht="21.75" customHeight="1" x14ac:dyDescent="0.35">
      <c r="B20" s="376"/>
      <c r="C20" s="377"/>
      <c r="D20" s="377"/>
      <c r="E20" s="377"/>
      <c r="F20" s="377"/>
      <c r="G20" s="377"/>
      <c r="H20" s="377"/>
      <c r="I20" s="377"/>
      <c r="J20" s="377"/>
      <c r="K20" s="377"/>
      <c r="L20" s="378"/>
      <c r="N20" s="384" t="s">
        <v>85</v>
      </c>
      <c r="O20" s="385"/>
      <c r="P20" s="140">
        <f>+J16</f>
        <v>46344.401999999987</v>
      </c>
      <c r="R20" s="299">
        <v>18</v>
      </c>
      <c r="S20" s="317" t="str">
        <f>+'18'!A6:A6</f>
        <v xml:space="preserve">Gourmet Food A Block Model Town </v>
      </c>
      <c r="T20" s="300">
        <f>+'18'!P35</f>
        <v>15223.111006271187</v>
      </c>
    </row>
    <row r="21" spans="1:20" ht="21.75" customHeight="1" x14ac:dyDescent="0.35">
      <c r="B21" s="376"/>
      <c r="C21" s="377"/>
      <c r="D21" s="377"/>
      <c r="E21" s="377"/>
      <c r="F21" s="377"/>
      <c r="G21" s="377"/>
      <c r="H21" s="377"/>
      <c r="I21" s="377"/>
      <c r="J21" s="377"/>
      <c r="K21" s="377"/>
      <c r="L21" s="378"/>
      <c r="N21" s="384" t="s">
        <v>86</v>
      </c>
      <c r="O21" s="385"/>
      <c r="P21" s="140">
        <f>+K16+L16</f>
        <v>0</v>
      </c>
      <c r="R21" s="299">
        <v>19</v>
      </c>
      <c r="S21" s="317" t="str">
        <f>+'19'!A6:A6</f>
        <v>Gourmet Food Bata Pur</v>
      </c>
      <c r="T21" s="300">
        <f>+'19'!P35</f>
        <v>13095.143935932207</v>
      </c>
    </row>
    <row r="22" spans="1:20" ht="21.75" customHeight="1" x14ac:dyDescent="0.35">
      <c r="B22" s="376"/>
      <c r="C22" s="377"/>
      <c r="D22" s="377"/>
      <c r="E22" s="377"/>
      <c r="F22" s="377"/>
      <c r="G22" s="377"/>
      <c r="H22" s="377"/>
      <c r="I22" s="377"/>
      <c r="J22" s="377"/>
      <c r="K22" s="377"/>
      <c r="L22" s="378"/>
      <c r="M22" s="131"/>
      <c r="N22" s="384" t="s">
        <v>87</v>
      </c>
      <c r="O22" s="385"/>
      <c r="P22" s="140">
        <f>P19-P20-P21</f>
        <v>211124.49800000002</v>
      </c>
      <c r="R22" s="299">
        <v>20</v>
      </c>
      <c r="S22" s="317" t="str">
        <f>+'20'!A6:A6</f>
        <v xml:space="preserve">Gourmet Food Sadar Kachari </v>
      </c>
      <c r="T22" s="300">
        <f>+'20'!P35</f>
        <v>6383.9012110169497</v>
      </c>
    </row>
    <row r="23" spans="1:20" ht="21.75" customHeight="1" x14ac:dyDescent="0.35">
      <c r="B23" s="376"/>
      <c r="C23" s="377"/>
      <c r="D23" s="377"/>
      <c r="E23" s="377"/>
      <c r="F23" s="377"/>
      <c r="G23" s="377"/>
      <c r="H23" s="377"/>
      <c r="I23" s="377"/>
      <c r="J23" s="377"/>
      <c r="K23" s="377"/>
      <c r="L23" s="378"/>
      <c r="M23" s="131"/>
      <c r="N23" s="136" t="s">
        <v>61</v>
      </c>
      <c r="O23" s="133">
        <v>0.18</v>
      </c>
      <c r="P23" s="140">
        <f>+N16</f>
        <v>48661.016949152545</v>
      </c>
      <c r="R23" s="299">
        <v>21</v>
      </c>
      <c r="S23" s="317" t="str">
        <f>+'21'!A6:A6</f>
        <v xml:space="preserve">Gourmet Food Jaurey Pull </v>
      </c>
      <c r="T23" s="300">
        <f>+'21'!P35</f>
        <v>10148.740670847459</v>
      </c>
    </row>
    <row r="24" spans="1:20" ht="21.75" customHeight="1" x14ac:dyDescent="0.35">
      <c r="B24" s="376"/>
      <c r="C24" s="377"/>
      <c r="D24" s="377"/>
      <c r="E24" s="377"/>
      <c r="F24" s="377"/>
      <c r="G24" s="377"/>
      <c r="H24" s="377"/>
      <c r="I24" s="377"/>
      <c r="J24" s="377"/>
      <c r="K24" s="377"/>
      <c r="L24" s="378"/>
      <c r="M24" s="131"/>
      <c r="N24" s="386" t="s">
        <v>76</v>
      </c>
      <c r="O24" s="387"/>
      <c r="P24" s="140">
        <f>P22+P23</f>
        <v>259785.51494915257</v>
      </c>
      <c r="R24" s="299">
        <v>22</v>
      </c>
      <c r="S24" s="317" t="str">
        <f>+'22'!A6:A6</f>
        <v xml:space="preserve">Gourmet Food Bhatta Chowk </v>
      </c>
      <c r="T24" s="300">
        <f>+'22'!P35</f>
        <v>5892.8065301694915</v>
      </c>
    </row>
    <row r="25" spans="1:20" ht="21.75" customHeight="1" thickBot="1" x14ac:dyDescent="0.4">
      <c r="B25" s="379"/>
      <c r="C25" s="380"/>
      <c r="D25" s="380"/>
      <c r="E25" s="380"/>
      <c r="F25" s="380"/>
      <c r="G25" s="380"/>
      <c r="H25" s="380"/>
      <c r="I25" s="380"/>
      <c r="J25" s="380"/>
      <c r="K25" s="380"/>
      <c r="L25" s="381"/>
      <c r="M25" s="99"/>
      <c r="N25" s="138" t="s">
        <v>83</v>
      </c>
      <c r="O25" s="137" t="e">
        <f>IF(#REF!="Filer",0.5%,2.5%)</f>
        <v>#REF!</v>
      </c>
      <c r="P25" s="140">
        <f>+O16</f>
        <v>1298.927574745763</v>
      </c>
      <c r="R25" s="299">
        <v>23</v>
      </c>
      <c r="S25" s="317" t="str">
        <f>+'23'!A6:A6</f>
        <v>Gourmet Food XX DHA</v>
      </c>
      <c r="T25" s="300">
        <f>+'23'!P35</f>
        <v>8839.2097952542372</v>
      </c>
    </row>
    <row r="26" spans="1:20" ht="21.75" customHeight="1" thickBot="1" x14ac:dyDescent="0.4">
      <c r="N26" s="343" t="s">
        <v>88</v>
      </c>
      <c r="O26" s="344"/>
      <c r="P26" s="297">
        <f>+P24+P25</f>
        <v>261084.44252389832</v>
      </c>
      <c r="R26" s="299">
        <v>24</v>
      </c>
      <c r="S26" s="317" t="str">
        <f>+'24'!A6:A6</f>
        <v>Gourmet Food H Block DHA</v>
      </c>
      <c r="T26" s="300">
        <f>+'24'!P35</f>
        <v>5074.3703354237296</v>
      </c>
    </row>
    <row r="27" spans="1:20" ht="21.75" customHeight="1" thickBot="1" x14ac:dyDescent="0.4">
      <c r="B27" s="121" t="s">
        <v>63</v>
      </c>
      <c r="C27" s="345"/>
      <c r="D27" s="345"/>
      <c r="E27" s="345"/>
      <c r="F27" s="345"/>
      <c r="G27" s="345"/>
      <c r="H27" s="345"/>
      <c r="I27" s="346"/>
      <c r="J27" s="347"/>
      <c r="K27" s="348"/>
      <c r="R27" s="299">
        <v>25</v>
      </c>
      <c r="S27" s="317" t="str">
        <f>+'25'!A6:A6</f>
        <v>Gourmet Food Shalimar Link Road</v>
      </c>
      <c r="T27" s="300">
        <f>+'25'!P35</f>
        <v>5892.8065301694915</v>
      </c>
    </row>
    <row r="28" spans="1:20" ht="21.75" customHeight="1" x14ac:dyDescent="0.35">
      <c r="R28" s="299">
        <v>26</v>
      </c>
      <c r="S28" s="317" t="str">
        <f>+'26'!A6:A6</f>
        <v>Gourmet Food Salamat pura</v>
      </c>
      <c r="T28" s="300">
        <f>+'26'!P35</f>
        <v>10967.176865593221</v>
      </c>
    </row>
    <row r="29" spans="1:20" ht="21.75" customHeight="1" x14ac:dyDescent="0.35">
      <c r="L29">
        <v>0</v>
      </c>
      <c r="R29" s="299">
        <v>27</v>
      </c>
      <c r="S29" s="317" t="str">
        <f>+'27'!A6:A6</f>
        <v xml:space="preserve">Gourmet Food Dharoghewala </v>
      </c>
      <c r="T29" s="300">
        <f>+'27'!P35</f>
        <v>5074.3703354237296</v>
      </c>
    </row>
    <row r="30" spans="1:20" ht="21.75" customHeight="1" x14ac:dyDescent="0.35">
      <c r="R30" s="299">
        <v>28</v>
      </c>
      <c r="S30" s="317" t="str">
        <f>+'28'!A6:A6</f>
        <v>Gourmet Food Riwind Road</v>
      </c>
      <c r="T30" s="300">
        <f>+'28'!P35</f>
        <v>5074.3703354237296</v>
      </c>
    </row>
    <row r="31" spans="1:20" ht="21.75" customHeight="1" x14ac:dyDescent="0.35">
      <c r="R31" s="299">
        <v>29</v>
      </c>
      <c r="S31" s="317" t="str">
        <f>+'29'!A6:A6</f>
        <v xml:space="preserve">Gourmet Food  Chung </v>
      </c>
      <c r="T31" s="300">
        <f>+'29'!P35</f>
        <v>10148.740670847459</v>
      </c>
    </row>
    <row r="32" spans="1:20" ht="21.75" customHeight="1" x14ac:dyDescent="0.35">
      <c r="R32" s="299">
        <v>30</v>
      </c>
      <c r="S32" s="317" t="str">
        <f>+'30'!A6:A6</f>
        <v>Gourmet Food Moter Way</v>
      </c>
      <c r="T32" s="300">
        <f>+'30'!P35</f>
        <v>10967.176865593221</v>
      </c>
    </row>
    <row r="33" spans="2:20" ht="21.75" customHeight="1" thickBot="1" x14ac:dyDescent="0.6">
      <c r="R33" s="302"/>
      <c r="S33" s="301" t="s">
        <v>496</v>
      </c>
      <c r="T33" s="303">
        <f>SUM(T3:T32)</f>
        <v>261084.44252389829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5" zoomScaleNormal="10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7.25" customHeight="1" x14ac:dyDescent="0.4">
      <c r="A6" s="397" t="s">
        <v>525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4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4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12913.800000000001</v>
      </c>
      <c r="J25" s="274">
        <f>SUM(J16:J24)</f>
        <v>2324.4839999999995</v>
      </c>
      <c r="K25" s="275">
        <f t="shared" si="10"/>
        <v>0</v>
      </c>
      <c r="L25" s="276">
        <f t="shared" si="10"/>
        <v>0</v>
      </c>
      <c r="M25" s="232">
        <f t="shared" si="10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12913.800000000001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2324.4839999999995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10589.316000000003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13029.993966101698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3" t="s">
        <v>88</v>
      </c>
      <c r="O35" s="344"/>
      <c r="P35" s="297">
        <f>+P33+P34</f>
        <v>13095.143935932207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  <c r="F2" t="s">
        <v>517</v>
      </c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518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7909.7000000000007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1423.7459999999996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6485.9540000000015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7980.8692542372901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3" t="s">
        <v>88</v>
      </c>
      <c r="O35" s="344"/>
      <c r="P35" s="297">
        <f>+P33+P34</f>
        <v>8020.7736005084762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8.75" customHeight="1" x14ac:dyDescent="0.4">
      <c r="A6" s="397" t="s">
        <v>526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527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755.45999999999992</v>
      </c>
      <c r="K25" s="275">
        <f t="shared" si="7"/>
        <v>0</v>
      </c>
      <c r="L25" s="276">
        <f t="shared" si="7"/>
        <v>0</v>
      </c>
      <c r="M25" s="232">
        <f t="shared" si="7"/>
        <v>3441.54</v>
      </c>
      <c r="N25" s="233">
        <f>SUM(N16:N24)</f>
        <v>793.22033898305051</v>
      </c>
      <c r="O25" s="101">
        <f>SUM(O16:O24)</f>
        <v>21.173801694915252</v>
      </c>
      <c r="P25" s="113">
        <f>SUM(P16:P24)</f>
        <v>4255.9341406779649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4197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755.45999999999992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3441.54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4234.7603389830501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21.173801694915252</v>
      </c>
    </row>
    <row r="35" spans="2:16" ht="15.75" customHeight="1" thickBot="1" x14ac:dyDescent="0.4">
      <c r="N35" s="343" t="s">
        <v>88</v>
      </c>
      <c r="O35" s="344"/>
      <c r="P35" s="297">
        <f>+P33+P34</f>
        <v>4255.9341406779649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zoomScaleNormal="10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515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7909.7000000000007</v>
      </c>
      <c r="J25" s="274">
        <f>SUM(J16:J24)</f>
        <v>1423.7459999999996</v>
      </c>
      <c r="K25" s="275">
        <f t="shared" si="7"/>
        <v>0</v>
      </c>
      <c r="L25" s="276">
        <f t="shared" si="7"/>
        <v>0</v>
      </c>
      <c r="M25" s="232">
        <f t="shared" si="7"/>
        <v>6485.9539999999997</v>
      </c>
      <c r="N25" s="233">
        <f>SUM(N16:N24)</f>
        <v>1494.9152542372881</v>
      </c>
      <c r="O25" s="101">
        <f>SUM(O16:O24)</f>
        <v>39.904346271186441</v>
      </c>
      <c r="P25" s="113">
        <f>SUM(P16:P24)</f>
        <v>8020.7736005084735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7909.7000000000007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1423.7459999999996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6485.9540000000015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1494.9152542372881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7980.8692542372901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39.904346271186448</v>
      </c>
    </row>
    <row r="35" spans="2:16" ht="15.75" customHeight="1" thickBot="1" x14ac:dyDescent="0.4">
      <c r="N35" s="343" t="s">
        <v>88</v>
      </c>
      <c r="O35" s="344"/>
      <c r="P35" s="297">
        <f>+P33+P34</f>
        <v>8020.7736005084762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519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528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4197</v>
      </c>
      <c r="J25" s="274">
        <f>SUM(J16:J24)</f>
        <v>755.45999999999992</v>
      </c>
      <c r="K25" s="275">
        <f t="shared" si="7"/>
        <v>0</v>
      </c>
      <c r="L25" s="276">
        <f t="shared" si="7"/>
        <v>0</v>
      </c>
      <c r="M25" s="232">
        <f t="shared" si="7"/>
        <v>3441.54</v>
      </c>
      <c r="N25" s="233">
        <f>SUM(N16:N24)</f>
        <v>793.22033898305051</v>
      </c>
      <c r="O25" s="101">
        <f>SUM(O16:O24)</f>
        <v>21.173801694915252</v>
      </c>
      <c r="P25" s="113">
        <f>SUM(P16:P24)</f>
        <v>4255.9341406779649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4197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755.45999999999992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3441.54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793.22033898305051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4234.7603389830501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21.173801694915252</v>
      </c>
    </row>
    <row r="35" spans="2:16" ht="15.75" customHeight="1" thickBot="1" x14ac:dyDescent="0.4">
      <c r="N35" s="343" t="s">
        <v>88</v>
      </c>
      <c r="O35" s="344"/>
      <c r="P35" s="297">
        <f>+P33+P34</f>
        <v>4255.9341406779649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zoomScale="110" zoomScaleNormal="1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529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1278.4679999999998</v>
      </c>
      <c r="K25" s="275">
        <f t="shared" si="7"/>
        <v>0</v>
      </c>
      <c r="L25" s="276">
        <f t="shared" si="7"/>
        <v>0</v>
      </c>
      <c r="M25" s="232">
        <f t="shared" si="7"/>
        <v>5824.1319999999996</v>
      </c>
      <c r="N25" s="233">
        <f>SUM(N16:N24)</f>
        <v>1342.3728813559319</v>
      </c>
      <c r="O25" s="101">
        <f>SUM(O16:O24)</f>
        <v>35.832524406779655</v>
      </c>
      <c r="P25" s="113">
        <f>SUM(P16:P24)</f>
        <v>7202.3374057627107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7102.6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1278.4679999999998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5824.1320000000005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7166.5048813559324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35.832524406779662</v>
      </c>
    </row>
    <row r="35" spans="2:16" ht="15.75" customHeight="1" thickBot="1" x14ac:dyDescent="0.4">
      <c r="N35" s="343" t="s">
        <v>88</v>
      </c>
      <c r="O35" s="344"/>
      <c r="P35" s="297">
        <f>+P33+P34</f>
        <v>7202.3374057627125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520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530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521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531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10008.200000000001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1801.4759999999997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8206.724000000002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10098.249423728816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3" t="s">
        <v>88</v>
      </c>
      <c r="O35" s="344"/>
      <c r="P35" s="297">
        <f>+P33+P34</f>
        <v>10148.740670847459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522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532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523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156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2702.2139999999995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12310.086000000001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15147.374135593222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3" t="s">
        <v>88</v>
      </c>
      <c r="O35" s="344"/>
      <c r="P35" s="297">
        <f>+P33+P34</f>
        <v>15223.111006271187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533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2702.2139999999995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  <c r="S30" s="215"/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12310.086000000001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15147.374135593222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3" t="s">
        <v>88</v>
      </c>
      <c r="O35" s="344"/>
      <c r="P35" s="297">
        <f>+P33+P34</f>
        <v>15223.111006271187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534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12913.800000000001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2324.4839999999995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10589.316000000003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13029.993966101698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3" t="s">
        <v>88</v>
      </c>
      <c r="O35" s="344"/>
      <c r="P35" s="297">
        <f>+P33+P34</f>
        <v>13095.143935932207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535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9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2702.2139999999995</v>
      </c>
      <c r="K25" s="275">
        <f t="shared" si="7"/>
        <v>0</v>
      </c>
      <c r="L25" s="276">
        <f t="shared" si="7"/>
        <v>0</v>
      </c>
      <c r="M25" s="232">
        <f t="shared" si="7"/>
        <v>12310.086000000001</v>
      </c>
      <c r="N25" s="233">
        <f>SUM(N16:N24)</f>
        <v>2837.2881355932195</v>
      </c>
      <c r="O25" s="101">
        <f>SUM(O16:O24)</f>
        <v>75.736870677966095</v>
      </c>
      <c r="P25" s="113">
        <f>SUM(P16:P24)</f>
        <v>15223.111006271185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15012.300000000001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2702.2139999999995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12310.086000000001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15147.374135593222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75.73687067796611</v>
      </c>
    </row>
    <row r="35" spans="2:16" ht="15.75" customHeight="1" thickBot="1" x14ac:dyDescent="0.4">
      <c r="N35" s="343" t="s">
        <v>88</v>
      </c>
      <c r="O35" s="344"/>
      <c r="P35" s="297">
        <f>+P33+P34</f>
        <v>15223.111006271187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536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200</v>
      </c>
      <c r="I25" s="114">
        <f t="shared" si="7"/>
        <v>12913.800000000001</v>
      </c>
      <c r="J25" s="274">
        <f>SUM(J16:J24)</f>
        <v>2324.4839999999995</v>
      </c>
      <c r="K25" s="275">
        <f t="shared" si="7"/>
        <v>0</v>
      </c>
      <c r="L25" s="276">
        <f t="shared" si="7"/>
        <v>0</v>
      </c>
      <c r="M25" s="232">
        <f t="shared" si="7"/>
        <v>10589.316000000001</v>
      </c>
      <c r="N25" s="233">
        <f>SUM(N16:N24)</f>
        <v>2440.6779661016944</v>
      </c>
      <c r="O25" s="101">
        <f>SUM(O16:O24)</f>
        <v>65.149969830508468</v>
      </c>
      <c r="P25" s="113">
        <f>SUM(P16:P24)</f>
        <v>13095.143935932201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12913.800000000001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2324.4839999999995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10589.316000000003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2440.6779661016944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13029.993966101698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65.149969830508496</v>
      </c>
    </row>
    <row r="35" spans="2:16" ht="15.75" customHeight="1" thickBot="1" x14ac:dyDescent="0.4">
      <c r="N35" s="343" t="s">
        <v>88</v>
      </c>
      <c r="O35" s="344"/>
      <c r="P35" s="297">
        <f>+P33+P34</f>
        <v>13095.143935932207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8.75" customHeight="1" x14ac:dyDescent="0.4">
      <c r="A6" s="397" t="s">
        <v>537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6295.5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1133.1899999999998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5162.3100000000004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6352.1405084745766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43" t="s">
        <v>88</v>
      </c>
      <c r="O35" s="344"/>
      <c r="P35" s="297">
        <f>+P33+P34</f>
        <v>6383.9012110169497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4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538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10008.200000000001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1801.4759999999997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8206.724000000002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10098.249423728816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3" t="s">
        <v>88</v>
      </c>
      <c r="O35" s="344"/>
      <c r="P35" s="297">
        <f>+P33+P34</f>
        <v>10148.740670847459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539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540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1569.0239999999999</v>
      </c>
      <c r="K25" s="275">
        <f t="shared" si="7"/>
        <v>0</v>
      </c>
      <c r="L25" s="276">
        <f t="shared" si="7"/>
        <v>0</v>
      </c>
      <c r="M25" s="232">
        <f t="shared" si="7"/>
        <v>7147.7759999999998</v>
      </c>
      <c r="N25" s="233">
        <f>SUM(N16:N24)</f>
        <v>1647.4576271186443</v>
      </c>
      <c r="O25" s="101">
        <f>SUM(O16:O24)</f>
        <v>43.97616813559322</v>
      </c>
      <c r="P25" s="113">
        <f>SUM(P16:P24)</f>
        <v>8839.2097952542372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8716.7999999999993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1569.0239999999999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7147.7759999999998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8795.2336271186432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43.97616813559322</v>
      </c>
    </row>
    <row r="35" spans="2:16" ht="15.75" customHeight="1" thickBot="1" x14ac:dyDescent="0.4">
      <c r="N35" s="343" t="s">
        <v>88</v>
      </c>
      <c r="O35" s="344"/>
      <c r="P35" s="297">
        <f>+P33+P34</f>
        <v>8839.2097952542372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541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542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1046.0159999999998</v>
      </c>
      <c r="K25" s="275">
        <f t="shared" si="7"/>
        <v>0</v>
      </c>
      <c r="L25" s="276">
        <f t="shared" si="7"/>
        <v>0</v>
      </c>
      <c r="M25" s="232">
        <f t="shared" si="7"/>
        <v>4765.1840000000002</v>
      </c>
      <c r="N25" s="233">
        <f>SUM(N16:N24)</f>
        <v>1098.3050847457628</v>
      </c>
      <c r="O25" s="101">
        <f>SUM(O16:O24)</f>
        <v>29.317445423728813</v>
      </c>
      <c r="P25" s="113">
        <f>SUM(P16:P24)</f>
        <v>5892.8065301694915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5811.2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1046.0159999999998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4765.1840000000002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5863.4890847457627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29.317445423728813</v>
      </c>
    </row>
    <row r="35" spans="2:16" ht="15.75" customHeight="1" thickBot="1" x14ac:dyDescent="0.4">
      <c r="N35" s="343" t="s">
        <v>88</v>
      </c>
      <c r="O35" s="344"/>
      <c r="P35" s="297">
        <f>+P33+P34</f>
        <v>5892.8065301694915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543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6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544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5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524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545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25.245623559322034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5004.1000000000004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900.73799999999983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4103.362000000001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5049.1247118644078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43" t="s">
        <v>88</v>
      </c>
      <c r="O35" s="344"/>
      <c r="P35" s="297">
        <f>+P33+P34</f>
        <v>5074.3703354237296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5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546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10008.200000000001</v>
      </c>
      <c r="J25" s="274">
        <f>SUM(J16:J24)</f>
        <v>1801.4759999999997</v>
      </c>
      <c r="K25" s="275">
        <f t="shared" si="7"/>
        <v>0</v>
      </c>
      <c r="L25" s="276">
        <f t="shared" si="7"/>
        <v>0</v>
      </c>
      <c r="M25" s="232">
        <f t="shared" si="7"/>
        <v>8206.7240000000002</v>
      </c>
      <c r="N25" s="233">
        <f>SUM(N16:N24)</f>
        <v>1891.5254237288132</v>
      </c>
      <c r="O25" s="101">
        <f>SUM(O16:O24)</f>
        <v>50.491247118644061</v>
      </c>
      <c r="P25" s="113">
        <f>SUM(P16:P24)</f>
        <v>10148.740670847455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10008.200000000001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1801.4759999999997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8206.724000000002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1891.5254237288132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10098.249423728816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50.491247118644083</v>
      </c>
    </row>
    <row r="35" spans="2:16" ht="15.75" customHeight="1" thickBot="1" x14ac:dyDescent="0.4">
      <c r="N35" s="343" t="s">
        <v>88</v>
      </c>
      <c r="O35" s="344"/>
      <c r="P35" s="297">
        <f>+P33+P34</f>
        <v>10148.740670847459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topLeftCell="A5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7" t="s">
        <v>91</v>
      </c>
      <c r="B2" s="367"/>
      <c r="C2" s="367"/>
    </row>
    <row r="3" spans="1:22 16383:16384" ht="15" customHeight="1" x14ac:dyDescent="0.35">
      <c r="A3" s="368" t="s">
        <v>92</v>
      </c>
      <c r="B3" s="368"/>
      <c r="C3" s="368"/>
      <c r="F3" s="85"/>
      <c r="G3" s="1"/>
      <c r="K3" s="369" t="s">
        <v>514</v>
      </c>
      <c r="L3" s="369"/>
      <c r="M3" s="369"/>
      <c r="N3" s="368"/>
      <c r="O3" s="368"/>
      <c r="P3" s="368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8" t="s">
        <v>499</v>
      </c>
      <c r="B4" s="368"/>
      <c r="C4" s="368"/>
      <c r="F4" s="85"/>
      <c r="G4" s="1"/>
      <c r="K4" s="369" t="s">
        <v>44</v>
      </c>
      <c r="L4" s="369"/>
      <c r="M4" s="369"/>
      <c r="N4" s="399">
        <v>46296</v>
      </c>
      <c r="O4" s="399"/>
      <c r="P4" s="399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69" t="s">
        <v>45</v>
      </c>
      <c r="L5" s="369"/>
      <c r="M5" s="369"/>
      <c r="N5" s="399">
        <f>N4-1</f>
        <v>46295</v>
      </c>
      <c r="O5" s="368"/>
      <c r="P5" s="368"/>
      <c r="R5" s="85"/>
      <c r="S5" s="266"/>
    </row>
    <row r="6" spans="1:22 16383:16384" ht="15" customHeight="1" x14ac:dyDescent="0.4">
      <c r="A6" s="397" t="s">
        <v>547</v>
      </c>
      <c r="B6" s="397"/>
      <c r="C6" s="397"/>
      <c r="F6" s="85"/>
      <c r="G6" s="86"/>
      <c r="K6" s="369" t="s">
        <v>69</v>
      </c>
      <c r="L6" s="369"/>
      <c r="M6" s="369"/>
      <c r="N6" s="398" t="s">
        <v>516</v>
      </c>
      <c r="O6" s="398"/>
      <c r="P6" s="398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9" t="s">
        <v>512</v>
      </c>
      <c r="B7" s="369"/>
      <c r="C7" s="369"/>
      <c r="F7" s="85"/>
      <c r="G7" s="86"/>
      <c r="K7" s="369" t="s">
        <v>66</v>
      </c>
      <c r="L7" s="369"/>
      <c r="M7" s="369"/>
      <c r="N7" s="398" t="s">
        <v>505</v>
      </c>
      <c r="O7" s="398"/>
      <c r="P7" s="398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5" t="s">
        <v>95</v>
      </c>
      <c r="B8" s="395"/>
      <c r="C8" s="395"/>
      <c r="F8" s="85"/>
      <c r="G8" s="86"/>
      <c r="K8" s="369" t="s">
        <v>67</v>
      </c>
      <c r="L8" s="369"/>
      <c r="M8" s="369"/>
      <c r="N8" s="398" t="s">
        <v>505</v>
      </c>
      <c r="O8" s="398"/>
      <c r="P8" s="398"/>
      <c r="R8" s="85"/>
      <c r="S8" s="267"/>
    </row>
    <row r="9" spans="1:22 16383:16384" x14ac:dyDescent="0.35">
      <c r="A9" s="395" t="s">
        <v>96</v>
      </c>
      <c r="B9" s="395"/>
      <c r="C9" s="395"/>
      <c r="F9" s="85"/>
      <c r="G9" s="86"/>
      <c r="K9" s="369" t="s">
        <v>68</v>
      </c>
      <c r="L9" s="369"/>
      <c r="M9" s="369"/>
      <c r="N9" s="398" t="s">
        <v>104</v>
      </c>
      <c r="O9" s="398"/>
      <c r="P9" s="398"/>
      <c r="R9" s="85"/>
      <c r="S9" s="267"/>
      <c r="XFD9" t="s">
        <v>49</v>
      </c>
    </row>
    <row r="10" spans="1:22 16383:16384" x14ac:dyDescent="0.35">
      <c r="A10" s="395" t="s">
        <v>97</v>
      </c>
      <c r="B10" s="395"/>
      <c r="C10" s="395"/>
      <c r="F10" s="85"/>
      <c r="G10" s="1"/>
      <c r="K10" s="369" t="s">
        <v>46</v>
      </c>
      <c r="L10" s="369"/>
      <c r="M10" s="369"/>
      <c r="N10" s="368" t="s">
        <v>47</v>
      </c>
      <c r="O10" s="368"/>
      <c r="P10" s="368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9" t="s">
        <v>48</v>
      </c>
      <c r="L11" s="369"/>
      <c r="M11" s="369"/>
      <c r="N11" s="398" t="s">
        <v>49</v>
      </c>
      <c r="O11" s="398"/>
      <c r="P11" s="398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9" t="s">
        <v>50</v>
      </c>
      <c r="L12" s="369"/>
      <c r="M12" s="369"/>
      <c r="N12" s="368"/>
      <c r="O12" s="368"/>
      <c r="P12" s="368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8" t="s">
        <v>51</v>
      </c>
      <c r="B14" s="360"/>
      <c r="C14" s="390" t="s">
        <v>90</v>
      </c>
      <c r="D14" s="115" t="s">
        <v>52</v>
      </c>
      <c r="E14" s="392" t="s">
        <v>58</v>
      </c>
      <c r="F14" s="393"/>
      <c r="G14" s="365" t="s">
        <v>54</v>
      </c>
      <c r="H14" s="366"/>
      <c r="I14" s="394" t="s">
        <v>77</v>
      </c>
      <c r="J14" s="364" t="s">
        <v>55</v>
      </c>
      <c r="K14" s="365"/>
      <c r="L14" s="366"/>
      <c r="M14" s="360" t="s">
        <v>84</v>
      </c>
      <c r="N14" s="362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89"/>
      <c r="B15" s="361"/>
      <c r="C15" s="39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3"/>
      <c r="J15" s="316">
        <v>0.18</v>
      </c>
      <c r="K15" s="144" t="s">
        <v>39</v>
      </c>
      <c r="L15" s="145" t="s">
        <v>493</v>
      </c>
      <c r="M15" s="361"/>
      <c r="N15" s="363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0</v>
      </c>
      <c r="L19" s="119">
        <f t="shared" si="1"/>
        <v>0</v>
      </c>
      <c r="M19" s="230">
        <f t="shared" si="2"/>
        <v>2382.5920000000001</v>
      </c>
      <c r="N19" s="277">
        <f t="shared" si="3"/>
        <v>549.15254237288138</v>
      </c>
      <c r="O19" s="239">
        <f t="shared" si="4"/>
        <v>14.658722711864407</v>
      </c>
      <c r="P19" s="310">
        <f t="shared" si="5"/>
        <v>2946.4032650847457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523.00799999999992</v>
      </c>
      <c r="K20" s="128">
        <f t="shared" si="1"/>
        <v>0</v>
      </c>
      <c r="L20" s="119">
        <f t="shared" si="1"/>
        <v>0</v>
      </c>
      <c r="M20" s="230">
        <f t="shared" si="2"/>
        <v>2382.5920000000001</v>
      </c>
      <c r="N20" s="277">
        <f t="shared" si="3"/>
        <v>549.15254237288138</v>
      </c>
      <c r="O20" s="239">
        <f t="shared" si="4"/>
        <v>14.658722711864407</v>
      </c>
      <c r="P20" s="310">
        <f t="shared" si="5"/>
        <v>2946.4032650847457</v>
      </c>
      <c r="Q20" s="156"/>
      <c r="R20">
        <f>P20/21</f>
        <v>140.3049173849879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0</v>
      </c>
      <c r="L21" s="119">
        <f t="shared" si="1"/>
        <v>0</v>
      </c>
      <c r="M21" s="230">
        <f t="shared" si="2"/>
        <v>2382.5920000000001</v>
      </c>
      <c r="N21" s="277">
        <f t="shared" si="3"/>
        <v>549.15254237288138</v>
      </c>
      <c r="O21" s="239">
        <f t="shared" si="4"/>
        <v>14.658722711864407</v>
      </c>
      <c r="P21" s="310">
        <f t="shared" si="5"/>
        <v>2946.4032650847457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1946.7539999999995</v>
      </c>
      <c r="K25" s="275">
        <f t="shared" si="7"/>
        <v>0</v>
      </c>
      <c r="L25" s="276">
        <f t="shared" si="7"/>
        <v>0</v>
      </c>
      <c r="M25" s="232">
        <f t="shared" si="7"/>
        <v>8868.5460000000003</v>
      </c>
      <c r="N25" s="233">
        <f>SUM(N16:N24)</f>
        <v>2044.0677966101694</v>
      </c>
      <c r="O25" s="101">
        <f>SUM(O16:O24)</f>
        <v>54.563068983050847</v>
      </c>
      <c r="P25" s="113">
        <f>SUM(P16:P24)</f>
        <v>10967.176865593219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4"/>
      <c r="L28" s="375"/>
      <c r="N28" s="382" t="s">
        <v>60</v>
      </c>
      <c r="O28" s="383"/>
      <c r="P28" s="139">
        <f>I25</f>
        <v>10815.300000000001</v>
      </c>
    </row>
    <row r="29" spans="1:22 16384:16384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7"/>
      <c r="L29" s="378"/>
      <c r="N29" s="384" t="s">
        <v>85</v>
      </c>
      <c r="O29" s="385"/>
      <c r="P29" s="140">
        <f>+J25</f>
        <v>1946.7539999999995</v>
      </c>
    </row>
    <row r="30" spans="1:22 16384:16384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7"/>
      <c r="L30" s="378"/>
      <c r="N30" s="384" t="s">
        <v>86</v>
      </c>
      <c r="O30" s="385"/>
      <c r="P30" s="140">
        <f>+K25+L25</f>
        <v>0</v>
      </c>
    </row>
    <row r="31" spans="1:22 16384:16384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7"/>
      <c r="L31" s="378"/>
      <c r="M31" s="131"/>
      <c r="N31" s="384" t="s">
        <v>87</v>
      </c>
      <c r="O31" s="385"/>
      <c r="P31" s="140">
        <f>P28-P29-P30</f>
        <v>8868.5460000000021</v>
      </c>
    </row>
    <row r="32" spans="1:22 16384:16384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7"/>
      <c r="L32" s="378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7"/>
      <c r="L33" s="378"/>
      <c r="M33" s="131"/>
      <c r="N33" s="386" t="s">
        <v>76</v>
      </c>
      <c r="O33" s="387"/>
      <c r="P33" s="140">
        <f>P31+P32</f>
        <v>10912.613796610171</v>
      </c>
    </row>
    <row r="34" spans="2:16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0"/>
      <c r="L34" s="381"/>
      <c r="M34" s="99"/>
      <c r="N34" s="138" t="s">
        <v>83</v>
      </c>
      <c r="O34" s="137">
        <f>IF(B11="Filer",0.5%,2.5%)</f>
        <v>5.0000000000000001E-3</v>
      </c>
      <c r="P34" s="140">
        <f>O34*P33</f>
        <v>54.563068983050854</v>
      </c>
    </row>
    <row r="35" spans="2:16" ht="15.75" customHeight="1" thickBot="1" x14ac:dyDescent="0.4">
      <c r="N35" s="343" t="s">
        <v>88</v>
      </c>
      <c r="O35" s="344"/>
      <c r="P35" s="297">
        <f>+P33+P34</f>
        <v>10967.176865593221</v>
      </c>
    </row>
    <row r="36" spans="2:16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347"/>
      <c r="K36" s="34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7" t="s">
        <v>91</v>
      </c>
      <c r="B2" s="367"/>
      <c r="C2" s="367"/>
    </row>
    <row r="3" spans="1:18 16382:16383" ht="15" customHeight="1" x14ac:dyDescent="0.35">
      <c r="A3" s="368" t="s">
        <v>92</v>
      </c>
      <c r="B3" s="368"/>
      <c r="C3" s="368"/>
      <c r="F3" s="85"/>
      <c r="G3" s="1"/>
      <c r="J3" s="369" t="s">
        <v>43</v>
      </c>
      <c r="K3" s="369"/>
      <c r="L3" s="369"/>
      <c r="M3" s="368"/>
      <c r="N3" s="368"/>
      <c r="O3" s="368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8" t="s">
        <v>65</v>
      </c>
      <c r="B4" s="368"/>
      <c r="C4" s="368"/>
      <c r="F4" s="85"/>
      <c r="G4" s="1"/>
      <c r="J4" s="369" t="s">
        <v>44</v>
      </c>
      <c r="K4" s="369"/>
      <c r="L4" s="369"/>
      <c r="M4" s="399">
        <f ca="1">TODAY()+1</f>
        <v>46301</v>
      </c>
      <c r="N4" s="399"/>
      <c r="O4" s="399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69" t="s">
        <v>45</v>
      </c>
      <c r="K5" s="369"/>
      <c r="L5" s="369"/>
      <c r="M5" s="399">
        <f ca="1">M4-1</f>
        <v>46300</v>
      </c>
      <c r="N5" s="368"/>
      <c r="O5" s="368"/>
      <c r="Q5" s="85"/>
      <c r="R5" s="1"/>
    </row>
    <row r="6" spans="1:18 16382:16383" ht="15" customHeight="1" x14ac:dyDescent="0.35">
      <c r="A6" s="369" t="s">
        <v>94</v>
      </c>
      <c r="B6" s="369"/>
      <c r="C6" s="369"/>
      <c r="F6" s="85"/>
      <c r="G6" s="86"/>
      <c r="J6" s="369" t="s">
        <v>69</v>
      </c>
      <c r="K6" s="369"/>
      <c r="L6" s="369"/>
      <c r="M6" s="398" t="s">
        <v>62</v>
      </c>
      <c r="N6" s="398"/>
      <c r="O6" s="398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9" t="s">
        <v>73</v>
      </c>
      <c r="B7" s="369"/>
      <c r="C7" s="369"/>
      <c r="F7" s="85"/>
      <c r="G7" s="86"/>
      <c r="J7" s="369" t="s">
        <v>66</v>
      </c>
      <c r="K7" s="369"/>
      <c r="L7" s="369"/>
      <c r="M7" s="398" t="s">
        <v>70</v>
      </c>
      <c r="N7" s="398"/>
      <c r="O7" s="398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5" t="s">
        <v>95</v>
      </c>
      <c r="B8" s="395"/>
      <c r="C8" s="395"/>
      <c r="F8" s="85"/>
      <c r="G8" s="86"/>
      <c r="J8" s="369" t="s">
        <v>67</v>
      </c>
      <c r="K8" s="369"/>
      <c r="L8" s="369"/>
      <c r="M8" s="398" t="s">
        <v>71</v>
      </c>
      <c r="N8" s="398"/>
      <c r="O8" s="398"/>
      <c r="Q8" s="85"/>
      <c r="R8" s="86"/>
    </row>
    <row r="9" spans="1:18 16382:16383" x14ac:dyDescent="0.35">
      <c r="A9" s="395" t="s">
        <v>96</v>
      </c>
      <c r="B9" s="395"/>
      <c r="C9" s="395"/>
      <c r="F9" s="85"/>
      <c r="G9" s="86"/>
      <c r="J9" s="369" t="s">
        <v>68</v>
      </c>
      <c r="K9" s="369"/>
      <c r="L9" s="369"/>
      <c r="M9" s="398" t="s">
        <v>104</v>
      </c>
      <c r="N9" s="398"/>
      <c r="O9" s="398"/>
      <c r="Q9" s="85"/>
      <c r="R9" s="86"/>
      <c r="XFC9" t="s">
        <v>49</v>
      </c>
    </row>
    <row r="10" spans="1:18 16382:16383" x14ac:dyDescent="0.35">
      <c r="A10" s="395" t="s">
        <v>97</v>
      </c>
      <c r="B10" s="395"/>
      <c r="C10" s="395"/>
      <c r="F10" s="85"/>
      <c r="G10" s="1"/>
      <c r="J10" s="369" t="s">
        <v>46</v>
      </c>
      <c r="K10" s="369"/>
      <c r="L10" s="369"/>
      <c r="M10" s="368" t="s">
        <v>47</v>
      </c>
      <c r="N10" s="368"/>
      <c r="O10" s="368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9" t="s">
        <v>48</v>
      </c>
      <c r="K11" s="369"/>
      <c r="L11" s="369"/>
      <c r="M11" s="368" t="s">
        <v>49</v>
      </c>
      <c r="N11" s="368"/>
      <c r="O11" s="368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9" t="s">
        <v>50</v>
      </c>
      <c r="K12" s="369"/>
      <c r="L12" s="369"/>
      <c r="M12" s="368"/>
      <c r="N12" s="368"/>
      <c r="O12" s="368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8" t="s">
        <v>51</v>
      </c>
      <c r="B14" s="360"/>
      <c r="C14" s="390" t="s">
        <v>90</v>
      </c>
      <c r="D14" s="88" t="s">
        <v>52</v>
      </c>
      <c r="E14" s="95" t="s">
        <v>74</v>
      </c>
      <c r="F14" s="115" t="s">
        <v>53</v>
      </c>
      <c r="G14" s="364" t="s">
        <v>54</v>
      </c>
      <c r="H14" s="366"/>
      <c r="I14" s="394" t="s">
        <v>77</v>
      </c>
      <c r="J14" s="365" t="s">
        <v>55</v>
      </c>
      <c r="K14" s="366"/>
      <c r="L14" s="39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9"/>
      <c r="B15" s="361"/>
      <c r="C15" s="39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3"/>
      <c r="J15" s="144" t="s">
        <v>39</v>
      </c>
      <c r="K15" s="145" t="s">
        <v>59</v>
      </c>
      <c r="L15" s="36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0">
        <f>COUNT(A16:A24)</f>
        <v>0</v>
      </c>
      <c r="B25" s="371"/>
      <c r="C25" s="371" t="s">
        <v>40</v>
      </c>
      <c r="D25" s="371"/>
      <c r="E25" s="371"/>
      <c r="F25" s="37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3" t="s">
        <v>64</v>
      </c>
      <c r="C28" s="374"/>
      <c r="D28" s="374"/>
      <c r="E28" s="374"/>
      <c r="F28" s="374"/>
      <c r="G28" s="374"/>
      <c r="H28" s="374"/>
      <c r="I28" s="374"/>
      <c r="J28" s="374"/>
      <c r="K28" s="375"/>
      <c r="M28" s="382" t="s">
        <v>60</v>
      </c>
      <c r="N28" s="383"/>
      <c r="O28" s="139">
        <f>I25</f>
        <v>1452.8</v>
      </c>
    </row>
    <row r="29" spans="1:18 16383:16383" ht="15" customHeight="1" x14ac:dyDescent="0.35">
      <c r="B29" s="376"/>
      <c r="C29" s="377"/>
      <c r="D29" s="377"/>
      <c r="E29" s="377"/>
      <c r="F29" s="377"/>
      <c r="G29" s="377"/>
      <c r="H29" s="377"/>
      <c r="I29" s="377"/>
      <c r="J29" s="377"/>
      <c r="K29" s="378"/>
      <c r="M29" s="384" t="s">
        <v>85</v>
      </c>
      <c r="N29" s="385"/>
      <c r="O29" s="140">
        <f>K25</f>
        <v>0</v>
      </c>
    </row>
    <row r="30" spans="1:18 16383:16383" ht="15" customHeight="1" x14ac:dyDescent="0.35">
      <c r="B30" s="376"/>
      <c r="C30" s="377"/>
      <c r="D30" s="377"/>
      <c r="E30" s="377"/>
      <c r="F30" s="377"/>
      <c r="G30" s="377"/>
      <c r="H30" s="377"/>
      <c r="I30" s="377"/>
      <c r="J30" s="377"/>
      <c r="K30" s="378"/>
      <c r="M30" s="384" t="s">
        <v>86</v>
      </c>
      <c r="N30" s="385"/>
      <c r="O30" s="140">
        <f>J25</f>
        <v>50.848000000000006</v>
      </c>
    </row>
    <row r="31" spans="1:18 16383:16383" ht="15" customHeight="1" x14ac:dyDescent="0.35">
      <c r="B31" s="376"/>
      <c r="C31" s="377"/>
      <c r="D31" s="377"/>
      <c r="E31" s="377"/>
      <c r="F31" s="377"/>
      <c r="G31" s="377"/>
      <c r="H31" s="377"/>
      <c r="I31" s="377"/>
      <c r="J31" s="377"/>
      <c r="K31" s="378"/>
      <c r="L31" s="131"/>
      <c r="M31" s="384" t="s">
        <v>87</v>
      </c>
      <c r="N31" s="385"/>
      <c r="O31" s="140">
        <f>O28-O29-O30</f>
        <v>1401.952</v>
      </c>
    </row>
    <row r="32" spans="1:18 16383:16383" ht="15" customHeight="1" x14ac:dyDescent="0.35">
      <c r="B32" s="376"/>
      <c r="C32" s="377"/>
      <c r="D32" s="377"/>
      <c r="E32" s="377"/>
      <c r="F32" s="377"/>
      <c r="G32" s="377"/>
      <c r="H32" s="377"/>
      <c r="I32" s="377"/>
      <c r="J32" s="377"/>
      <c r="K32" s="37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6"/>
      <c r="C33" s="377"/>
      <c r="D33" s="377"/>
      <c r="E33" s="377"/>
      <c r="F33" s="377"/>
      <c r="G33" s="377"/>
      <c r="H33" s="377"/>
      <c r="I33" s="377"/>
      <c r="J33" s="377"/>
      <c r="K33" s="378"/>
      <c r="L33" s="131"/>
      <c r="M33" s="386" t="s">
        <v>76</v>
      </c>
      <c r="N33" s="387"/>
      <c r="O33" s="140">
        <f>O31+O32</f>
        <v>1710.3814400000001</v>
      </c>
    </row>
    <row r="34" spans="2:15" ht="15" customHeight="1" thickBot="1" x14ac:dyDescent="0.4">
      <c r="B34" s="379"/>
      <c r="C34" s="380"/>
      <c r="D34" s="380"/>
      <c r="E34" s="380"/>
      <c r="F34" s="380"/>
      <c r="G34" s="380"/>
      <c r="H34" s="380"/>
      <c r="I34" s="380"/>
      <c r="J34" s="380"/>
      <c r="K34" s="38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3" t="s">
        <v>88</v>
      </c>
      <c r="N35" s="344"/>
      <c r="O35" s="141">
        <f>O28-O29+O31+O34</f>
        <v>2897.511536</v>
      </c>
    </row>
    <row r="36" spans="2:15" ht="15" thickBot="1" x14ac:dyDescent="0.4">
      <c r="B36" s="121" t="s">
        <v>63</v>
      </c>
      <c r="C36" s="345"/>
      <c r="D36" s="345"/>
      <c r="E36" s="345"/>
      <c r="F36" s="345"/>
      <c r="G36" s="345"/>
      <c r="H36" s="345"/>
      <c r="I36" s="346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2" t="s">
        <v>439</v>
      </c>
      <c r="E1" s="335" t="s">
        <v>58</v>
      </c>
      <c r="F1" s="335"/>
      <c r="G1" s="336" t="s">
        <v>440</v>
      </c>
      <c r="H1" s="336"/>
      <c r="I1" s="409" t="s">
        <v>441</v>
      </c>
      <c r="J1" s="409"/>
      <c r="K1" s="409" t="s">
        <v>442</v>
      </c>
      <c r="L1" s="409"/>
      <c r="M1" s="404" t="s">
        <v>484</v>
      </c>
      <c r="N1" s="405"/>
      <c r="O1" s="406"/>
    </row>
    <row r="2" spans="3:24" ht="29" x14ac:dyDescent="0.35">
      <c r="C2" s="335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3" t="s">
        <v>58</v>
      </c>
      <c r="F7" s="403"/>
      <c r="G7" s="401" t="s">
        <v>440</v>
      </c>
      <c r="H7" s="336"/>
      <c r="I7" s="337" t="s">
        <v>441</v>
      </c>
      <c r="J7" s="338"/>
      <c r="K7" s="337" t="s">
        <v>442</v>
      </c>
      <c r="L7" s="338"/>
      <c r="M7" s="404" t="s">
        <v>484</v>
      </c>
      <c r="N7" s="405"/>
      <c r="O7" s="406"/>
      <c r="P7" s="256" t="s">
        <v>475</v>
      </c>
      <c r="Q7" s="242" t="s">
        <v>473</v>
      </c>
      <c r="R7" s="402" t="s">
        <v>475</v>
      </c>
      <c r="S7" s="402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1"/>
      <c r="U8" s="401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4" t="s">
        <v>484</v>
      </c>
      <c r="N13" s="405"/>
      <c r="O13" s="406"/>
      <c r="P13" s="256" t="s">
        <v>475</v>
      </c>
      <c r="Q13" s="242" t="s">
        <v>473</v>
      </c>
      <c r="R13" s="402" t="s">
        <v>475</v>
      </c>
      <c r="S13" s="402" t="s">
        <v>485</v>
      </c>
      <c r="T13" s="400" t="s">
        <v>486</v>
      </c>
      <c r="U13" s="400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1"/>
      <c r="U14" s="401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4" t="s">
        <v>484</v>
      </c>
      <c r="N20" s="405"/>
      <c r="O20" s="406"/>
      <c r="P20" s="256" t="s">
        <v>475</v>
      </c>
      <c r="Q20" s="242" t="s">
        <v>473</v>
      </c>
      <c r="R20" s="402" t="s">
        <v>475</v>
      </c>
      <c r="S20" s="402" t="s">
        <v>485</v>
      </c>
      <c r="T20" s="400" t="s">
        <v>486</v>
      </c>
      <c r="U20" s="400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1"/>
      <c r="U21" s="401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4" t="s">
        <v>484</v>
      </c>
      <c r="N27" s="405"/>
      <c r="O27" s="406"/>
      <c r="P27" s="256" t="s">
        <v>475</v>
      </c>
      <c r="Q27" s="242" t="s">
        <v>473</v>
      </c>
      <c r="R27" s="402" t="s">
        <v>475</v>
      </c>
      <c r="S27" s="402" t="s">
        <v>485</v>
      </c>
      <c r="T27" s="400" t="s">
        <v>486</v>
      </c>
      <c r="U27" s="400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1"/>
      <c r="U28" s="401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2" t="s">
        <v>439</v>
      </c>
      <c r="D1" s="335" t="s">
        <v>58</v>
      </c>
      <c r="E1" s="335"/>
      <c r="F1" s="336" t="s">
        <v>440</v>
      </c>
      <c r="G1" s="336"/>
      <c r="H1" s="409" t="s">
        <v>441</v>
      </c>
      <c r="I1" s="409"/>
      <c r="J1" s="409" t="s">
        <v>442</v>
      </c>
      <c r="K1" s="409"/>
      <c r="L1" s="404" t="s">
        <v>484</v>
      </c>
      <c r="M1" s="405"/>
      <c r="N1" s="406"/>
    </row>
    <row r="2" spans="2:17" ht="29" x14ac:dyDescent="0.35">
      <c r="B2" s="335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2026-10-05T13:07:08Z</dcterms:modified>
</cp:coreProperties>
</file>