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08FA2CC-BAE8-48E7-9EFA-B35F2DAB0B88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6" l="1"/>
  <c r="O22" i="56" s="1"/>
  <c r="P22" i="56" s="1"/>
  <c r="M24" i="56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<sst xmlns="http://schemas.openxmlformats.org/spreadsheetml/2006/main" count="3949" uniqueCount="548">
  <si>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</si>
  <si>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</si>
  <si>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</si>
  <si>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</si>
  <si>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</si>
  <si>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</si>
  <si>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</si>
  <si>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</si>
  <si>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</si>
  <si>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</si>
  <si>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</si>
  <si>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</si>
  <si>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</si>
  <si>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</si>
  <si>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</si>
  <si>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</si>
  <si>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</si>
  <si>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</si>
  <si>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</si>
  <si>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</si>
  <si>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</si>
  <si>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</si>
  <si>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</si>
  <si>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</si>
  <si>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</si>
  <si>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</si>
  <si>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</si>
  <si>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</si>
  <si>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</si>
  <si>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</si>
  <si>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</si>
  <si>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</si>
  <si>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</si>
  <si>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</si>
  <si>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</si>
  <si>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</si>
  <si>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</si>
  <si>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</si>
  <si>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</si>
  <si>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</si>
  <si>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</si>
  <si>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</si>
  <si>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</si>
  <si>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</si>
  <si>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</si>
  <si>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</si>
  <si>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</si>
  <si>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</si>
  <si>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</si>
  <si>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</si>
  <si>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</si>
  <si>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</si>
  <si>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</si>
  <si>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</si>
  <si>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</si>
  <si>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</si>
  <si>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</si>
  <si>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</si>
  <si>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</si>
  <si>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</si>
  <si>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</si>
  <si>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</si>
  <si>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</si>
  <si>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</si>
  <si>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</si>
  <si>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</si>
  <si>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</si>
  <si>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</si>
  <si>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</si>
  <si>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</si>
  <si>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</si>
  <si>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</si>
  <si>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</si>
  <si>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</si>
  <si>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</si>
  <si>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</si>
  <si>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</si>
  <si>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</si>
  <si>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</si>
  <si>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</si>
  <si>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</si>
  <si>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</si>
  <si>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</si>
  <si>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</si>
  <si>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</si>
  <si>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</si>
  <si>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</si>
  <si>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</si>
  <si>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</si>
  <si>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</si>
  <si>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</si>
  <si>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</si>
  <si>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</si>
  <si>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</si>
  <si>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</si>
  <si>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</si>
  <si>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</si>
  <si>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</si>
  <si>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</si>
  <si>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</si>
  <si>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</si>
  <si>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</si>
  <si>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</si>
  <si>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</si>
  <si>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</si>
  <si>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</si>
  <si>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</si>
  <si>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</si>
  <si>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</si>
  <si>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</si>
  <si>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</si>
  <si>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</si>
  <si>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</si>
  <si>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</si>
  <si>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</si>
  <si>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</si>
  <si>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</si>
  <si>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</si>
  <si>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</si>
  <si>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</si>
  <si>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</si>
  <si>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</si>
  <si>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</si>
  <si>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</si>
  <si>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</si>
  <si>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</si>
  <si>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</si>
  <si>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</si>
  <si>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</si>
  <si>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</si>
  <si>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</si>
  <si>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</si>
  <si>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</si>
  <si>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</si>
  <si>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</si>
  <si>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</si>
  <si>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</si>
  <si>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</si>
  <si>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</si>
  <si>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</si>
  <si>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</si>
  <si>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</si>
  <si>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</si>
  <si>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</si>
  <si>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</si>
  <si>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</si>
  <si>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</si>
  <si>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</si>
  <si>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</si>
  <si>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</si>
  <si>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</si>
  <si>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</si>
  <si>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</si>
  <si>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</si>
  <si>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</si>
  <si>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</si>
  <si>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</si>
  <si>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</si>
  <si>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</si>
  <si>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</si>
  <si>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</si>
  <si>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</si>
  <si>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</si>
  <si>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</si>
  <si>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</si>
  <si>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</si>
  <si>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</si>
  <si>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</si>
  <si>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</si>
  <si>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</si>
  <si>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</si>
  <si>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</si>
  <si>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</si>
  <si>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</si>
  <si>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</si>
  <si>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</si>
  <si>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</si>
  <si>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</si>
  <si>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</si>
  <si>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</si>
  <si>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</si>
  <si>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</si>
  <si>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</si>
  <si>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</si>
  <si>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</si>
  <si>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</si>
  <si>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</si>
  <si>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</si>
  <si>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</si>
  <si>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</si>
  <si>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</si>
  <si>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</si>
  <si>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</si>
  <si>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</si>
  <si>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</si>
  <si>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</si>
  <si>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</si>
  <si>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</si>
  <si>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</si>
  <si>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</si>
  <si>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</si>
  <si>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</si>
  <si>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</si>
  <si>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</si>
  <si>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</si>
  <si>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</si>
  <si>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</si>
  <si>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</si>
  <si>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</si>
  <si>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</si>
  <si>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</si>
  <si>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</si>
  <si>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</si>
  <si>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</si>
  <si>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</si>
  <si>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</si>
  <si>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</si>
  <si>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</si>
  <si>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</si>
  <si>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</si>
  <si>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</si>
  <si>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</si>
  <si>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</si>
  <si>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</si>
  <si>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</si>
  <si>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</si>
  <si>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</si>
  <si>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</si>
  <si>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</si>
  <si>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</si>
  <si>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</si>
  <si>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</si>
  <si>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</si>
  <si>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</si>
  <si>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</si>
  <si>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</si>
  <si>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</si>
  <si>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</si>
  <si>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</si>
  <si>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</si>
  <si>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</si>
  <si>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</si>
  <si>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</si>
  <si>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</si>
  <si>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</si>
  <si>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</si>
  <si>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</si>
  <si>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</si>
  <si>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</si>
  <si>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</si>
  <si>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</si>
  <si>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</si>
  <si>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</si>
  <si>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</si>
  <si>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</si>
  <si>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</si>
  <si>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</si>
  <si>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</si>
  <si>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</si>
  <si>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</si>
  <si>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</si>
  <si>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</si>
  <si>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</si>
  <si>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</si>
  <si>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</si>
  <si>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</si>
  <si>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</si>
  <si>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</si>
  <si>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</si>
  <si>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</si>
  <si>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</si>
  <si>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</si>
  <si>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</si>
  <si>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</si>
  <si>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</si>
  <si>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</si>
  <si>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</si>
  <si>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</si>
  <si>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</si>
  <si>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</si>
  <si>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</si>
  <si>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</si>
  <si>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</si>
  <si>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</si>
  <si>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</si>
  <si>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</si>
  <si>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</si>
  <si>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</si>
  <si>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</si>
  <si>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</si>
  <si>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</si>
  <si>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</si>
  <si>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</si>
  <si>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</si>
  <si>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</si>
  <si>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</si>
  <si>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</si>
  <si>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</si>
  <si>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</si>
  <si>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</si>
  <si>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</si>
  <si>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</si>
  <si>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</si>
  <si>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</si>
  <si>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</si>
  <si>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</si>
  <si>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</si>
  <si>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</si>
  <si>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</si>
  <si>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</si>
  <si>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</si>
  <si>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</si>
  <si>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</si>
  <si>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</si>
  <si>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</si>
  <si>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</si>
  <si>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</si>
  <si>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</si>
  <si>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</si>
  <si>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</si>
  <si>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</si>
  <si>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</si>
  <si>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</si>
  <si>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</si>
  <si>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</si>
  <si>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</si>
  <si>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</si>
  <si>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</si>
  <si>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</si>
  <si>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</si>
  <si>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</si>
  <si>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</si>
  <si>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</si>
  <si>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</si>
  <si>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</si>
  <si>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</si>
  <si>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</si>
  <si>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</si>
  <si>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</si>
  <si>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</si>
  <si>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</si>
  <si>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</si>
  <si>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</si>
  <si>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</si>
  <si>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</si>
  <si>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</si>
  <si>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</si>
  <si>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</si>
  <si>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</si>
  <si>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</si>
  <si>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</si>
  <si>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</si>
  <si>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</si>
  <si>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</si>
  <si>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</si>
  <si>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</si>
  <si>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</si>
  <si>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</si>
  <si>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</si>
  <si>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</si>
  <si>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</si>
  <si>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</si>
  <si>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</si>
  <si>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</si>
  <si>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</si>
  <si>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</si>
  <si>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</si>
  <si>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</si>
  <si>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</si>
  <si>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</si>
  <si>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</si>
  <si>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</si>
  <si>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</si>
  <si>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</si>
  <si>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</si>
  <si>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</si>
  <si>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</si>
  <si>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</si>
  <si>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</si>
  <si>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</si>
  <si>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</si>
  <si>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</si>
  <si>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</si>
  <si>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</si>
  <si>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</si>
  <si>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</si>
  <si>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</si>
  <si>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</si>
  <si>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</si>
  <si>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</si>
  <si>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</si>
  <si>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</si>
  <si>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</si>
  <si>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</si>
  <si>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</si>
  <si>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</si>
  <si>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</si>
  <si>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</si>
  <si>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</si>
  <si>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</si>
  <si>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</si>
  <si>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</si>
  <si>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</si>
  <si>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</si>
  <si>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</si>
  <si>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</si>
  <si>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</si>
  <si>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</si>
  <si>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</si>
  <si>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</si>
  <si>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</si>
  <si>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</si>
  <si>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</si>
  <si>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</si>
  <si>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</si>
  <si>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</si>
  <si>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</si>
  <si>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</si>
  <si>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</si>
  <si>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</si>
  <si>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</si>
  <si>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</si>
  <si>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</si>
  <si>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</si>
  <si>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</si>
  <si>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</si>
  <si>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</si>
  <si>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</si>
  <si>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</si>
  <si>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</si>
  <si>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</si>
  <si>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</si>
  <si>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</si>
  <si>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</si>
  <si>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</si>
  <si>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</si>
  <si>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</si>
  <si>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</si>
  <si>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</si>
  <si>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</si>
  <si>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</si>
  <si>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</si>
  <si>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</si>
  <si>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</si>
  <si>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</si>
  <si>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</si>
  <si>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</si>
  <si>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</si>
  <si>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</si>
  <si>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</si>
  <si>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</si>
  <si>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</si>
  <si>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</si>
  <si>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</si>
  <si>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</si>
  <si>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</si>
  <si>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</si>
  <si>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</si>
  <si>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</si>
  <si>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</si>
  <si>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</si>
  <si>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</si>
  <si>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</si>
  <si>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</si>
  <si>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</si>
  <si>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</si>
  <si>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</si>
  <si>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</si>
  <si>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</si>
  <si>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</si>
  <si>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</si>
  <si>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</si>
  <si>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</si>
  <si>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</si>
  <si>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</si>
  <si>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</si>
  <si>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</si>
  <si>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</si>
  <si>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</si>
  <si>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</si>
  <si>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</si>
  <si>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</si>
  <si>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</si>
  <si>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</si>
  <si>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</si>
  <si>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</si>
  <si>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</si>
  <si>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</si>
  <si>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</si>
  <si>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</si>
  <si>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</si>
  <si>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</si>
  <si>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</si>
  <si>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</si>
  <si>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</si>
  <si>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</si>
  <si>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</si>
  <si>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</si>
  <si>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</si>
  <si>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</si>
  <si>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</si>
  <si>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</si>
  <si>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</si>
  <si>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</si>
  <si>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</si>
  <si>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</si>
  <si>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</si>
  <si>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</si>
  <si>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</si>
  <si>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</si>
  <si>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</si>
  <si>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</si>
  <si>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</si>
  <si>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</si>
  <si>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</si>
  <si>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Islam Pura</t>
  </si>
  <si>
    <t xml:space="preserve">Shakoor Husain </t>
  </si>
  <si>
    <t xml:space="preserve"> </t>
  </si>
  <si>
    <t xml:space="preserve">Gourmet Food Shadman </t>
  </si>
  <si>
    <t xml:space="preserve">Gourmet Food Jinah Hospital </t>
  </si>
  <si>
    <t xml:space="preserve">Gourmet Food Walton </t>
  </si>
  <si>
    <t>Gourmet Food Krishan Nager</t>
  </si>
  <si>
    <t>Gourmet Food Nadeem Shaheed Road</t>
  </si>
  <si>
    <t xml:space="preserve">Gourmet Food Umer Chowk </t>
  </si>
  <si>
    <t>Invoice No # :0001</t>
  </si>
  <si>
    <t>Gourmet Food College Road</t>
  </si>
  <si>
    <t>Gourmet Food Ghalib Market</t>
  </si>
  <si>
    <t>Gourmet Food Zahoor e ilaahi</t>
  </si>
  <si>
    <t xml:space="preserve">Gourmet Food Pico </t>
  </si>
  <si>
    <t>Gourmet Food Temple Road</t>
  </si>
  <si>
    <t xml:space="preserve">Gourmet Food C Block Model town </t>
  </si>
  <si>
    <t>Gourmet Food Poonch Road</t>
  </si>
  <si>
    <t xml:space="preserve">Gourmet Food Gulshan Ravi </t>
  </si>
  <si>
    <t xml:space="preserve">Gourmet Food Riwind City </t>
  </si>
  <si>
    <t>Gourmet Food Model Town Link Road</t>
  </si>
  <si>
    <t xml:space="preserve">Gourmet Food A Block Model Town </t>
  </si>
  <si>
    <t>Gourmet Food Bata Pur</t>
  </si>
  <si>
    <t xml:space="preserve">Gourmet Food Sadar Kachari </t>
  </si>
  <si>
    <t xml:space="preserve">Gourmet Food Jaurey Pull </t>
  </si>
  <si>
    <t xml:space="preserve">Gourmet Food Bhatta Chowk </t>
  </si>
  <si>
    <t>Gourmet Food XX DHA</t>
  </si>
  <si>
    <t>Gourmet Food H Block DHA</t>
  </si>
  <si>
    <t>Gourmet Food Shalimar Link Road</t>
  </si>
  <si>
    <t>Gourmet Food Salamat pura</t>
  </si>
  <si>
    <t xml:space="preserve">Gourmet Food Dharoghewala </t>
  </si>
  <si>
    <t>Gourmet Food Riwind Road</t>
  </si>
  <si>
    <t xml:space="preserve">Gourmet Food  Chung </t>
  </si>
  <si>
    <t>Gourmet Food Moter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</si>
</sst>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B4" sqref="B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6.453125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46300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17" t="str">
        <f>+'1'!A6:A6</f>
        <v>Gourmet Food College Road</v>
      </c>
      <c r="T3" s="300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 xml:space="preserve">Gourmet Food Shadman </v>
      </c>
      <c r="T4" s="300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3" t="s">
        <v>507</v>
      </c>
      <c r="R5" s="318">
        <v>3</v>
      </c>
      <c r="S5" s="317" t="str">
        <f>+'3'!A6:A6</f>
        <v>Gourmet Food Ghalib Market</v>
      </c>
      <c r="T5" s="300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3" t="s">
        <v>506</v>
      </c>
      <c r="R6" s="318">
        <v>4</v>
      </c>
      <c r="S6" s="317" t="str">
        <f>+'4'!A6:A6</f>
        <v>Gourmet Food Zahoor e ilaahi</v>
      </c>
      <c r="T6" s="300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09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8">
        <v>5</v>
      </c>
      <c r="S7" s="317" t="str">
        <f>+'5'!A6:A6</f>
        <v>Gourmet Food Islam Pura</v>
      </c>
      <c r="T7" s="300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377.72999999999996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1720.77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10.586900847457626</v>
      </c>
      <c r="P8" s="310">
        <f t="shared" ref="P8:P15" si="2">M8+N8+O8</f>
        <v>2127.9670703389825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8">
        <v>6</v>
      </c>
      <c r="S8" s="317" t="str">
        <f>+'6'!A6:A6</f>
        <v xml:space="preserve">Gourmet Food Jinah Hospital </v>
      </c>
      <c r="T8" s="300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377.72999999999996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1720.77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10.586900847457626</v>
      </c>
      <c r="P9" s="310">
        <f t="shared" si="2"/>
        <v>2127.9670703389825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40</v>
      </c>
      <c r="R9" s="318">
        <v>7</v>
      </c>
      <c r="S9" s="317" t="str">
        <f>+'7'!A6:A6</f>
        <v xml:space="preserve">Gourmet Food Pico </v>
      </c>
      <c r="T9" s="300">
        <f>+'7'!P35</f>
        <v>0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523.00799999999992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2382.5920000000001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14.658722711864407</v>
      </c>
      <c r="P10" s="310">
        <f t="shared" si="2"/>
        <v>2946.4032650847457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8">
        <v>8</v>
      </c>
      <c r="S10" s="317" t="str">
        <f>+'8'!A6:A6</f>
        <v>Gourmet Food Temple Road</v>
      </c>
      <c r="T10" s="300">
        <f>+'8'!P35</f>
        <v>0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1046.0159999999998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4765.1840000000002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29.317445423728813</v>
      </c>
      <c r="P11" s="310">
        <f t="shared" si="2"/>
        <v>5892.8065301694915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40</v>
      </c>
      <c r="R11" s="318">
        <v>9</v>
      </c>
      <c r="S11" s="317" t="str">
        <f>+'9'!A6:A6</f>
        <v xml:space="preserve">Gourmet Food Walton </v>
      </c>
      <c r="T11" s="300">
        <f>+'9'!P35</f>
        <v>0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1046.0159999999998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4765.1840000000002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29.317445423728813</v>
      </c>
      <c r="P12" s="310">
        <f t="shared" si="2"/>
        <v>5892.8065301694915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40</v>
      </c>
      <c r="R12" s="318">
        <v>10</v>
      </c>
      <c r="S12" s="317" t="str">
        <f>+'10'!A6:A6</f>
        <v xml:space="preserve">Gourmet Food C Block Model town </v>
      </c>
      <c r="T12" s="300">
        <f>+'10'!P35</f>
        <v>0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8">
        <v>11</v>
      </c>
      <c r="S13" s="317" t="str">
        <f>+'11'!A6:A6</f>
        <v>Gourmet Food Krishan Nager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8">
        <v>12</v>
      </c>
      <c r="S14" s="317" t="str">
        <f>+'12'!A6:A6</f>
        <v>Gourmet Food Poonch Road</v>
      </c>
      <c r="T14" s="300">
        <f>+'12'!P35</f>
        <v>0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8">
        <v>13</v>
      </c>
      <c r="S15" s="317" t="str">
        <f>+'13'!A6:A6</f>
        <v>Gourmet Food Nadeem Shaheed Road</v>
      </c>
      <c r="T15" s="300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274">
        <f>H16/40</f>
        <v>7</v>
      </c>
      <c r="H16" s="113">
        <f t="shared" ref="H16:M16" si="3">SUM(H7:H15)</f>
        <v>280</v>
      </c>
      <c r="I16" s="114">
        <f t="shared" si="3"/>
        <v>18725</v>
      </c>
      <c r="J16" s="274">
        <f>SUM(J7:J15)</f>
        <v>3370.4999999999991</v>
      </c>
      <c r="K16" s="275">
        <f t="shared" si="3"/>
        <v>0</v>
      </c>
      <c r="L16" s="276">
        <f t="shared" si="3"/>
        <v>0</v>
      </c>
      <c r="M16" s="232">
        <f t="shared" si="3"/>
        <v>15354.5</v>
      </c>
      <c r="N16" s="233">
        <f>SUM(N7:N15)</f>
        <v>3538.983050847457</v>
      </c>
      <c r="O16" s="101">
        <f>SUM(O7:O15)</f>
        <v>94.467415254237281</v>
      </c>
      <c r="P16" s="113">
        <f>SUM(P7:P15)</f>
        <v>18987.950466101694</v>
      </c>
      <c r="Q16" s="128">
        <f>SUM(Q7:Q15)</f>
        <v>160</v>
      </c>
      <c r="R16" s="318">
        <v>14</v>
      </c>
      <c r="S16" s="317" t="str">
        <f>+'14'!A6:A6</f>
        <v xml:space="preserve">Gourmet Food Gulshan Ravi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7" t="str">
        <f>+'15'!A6:A6</f>
        <v xml:space="preserve">Gourmet Food Umer Chowk </v>
      </c>
      <c r="T17" s="300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7" t="str">
        <f>+'16'!A6:A6</f>
        <v xml:space="preserve">Gourmet Food Riwind City </v>
      </c>
      <c r="T18" s="300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18725</v>
      </c>
      <c r="R19" s="299">
        <v>17</v>
      </c>
      <c r="S19" s="317" t="str">
        <f>+'17'!A6:A6</f>
        <v>Gourmet Food Model Town Link Road</v>
      </c>
      <c r="T19" s="300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3370.4999999999991</v>
      </c>
      <c r="R20" s="299">
        <v>18</v>
      </c>
      <c r="S20" s="317" t="str">
        <f>+'18'!A6:A6</f>
        <v xml:space="preserve">Gourmet Food A Block Model Town </v>
      </c>
      <c r="T20" s="300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0</v>
      </c>
      <c r="R21" s="299">
        <v>19</v>
      </c>
      <c r="S21" s="319" t="str">
        <f>+'19'!A6:A6</f>
        <v>Gourmet Food Bata Pur</v>
      </c>
      <c r="T21" s="300">
        <f>+'19'!P35</f>
        <v>13095.143935932207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15354.5</v>
      </c>
      <c r="R22" s="299">
        <v>20</v>
      </c>
      <c r="S22" s="317" t="str">
        <f>+'20'!A6:A6</f>
        <v xml:space="preserve">Gourmet Food Sadar Kachari </v>
      </c>
      <c r="T22" s="300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3538.983050847457</v>
      </c>
      <c r="R23" s="299">
        <v>21</v>
      </c>
      <c r="S23" s="317" t="str">
        <f>+'21'!A6:A6</f>
        <v xml:space="preserve">Gourmet Food Jaurey Pull </v>
      </c>
      <c r="T23" s="300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18893.483050847455</v>
      </c>
      <c r="R24" s="299">
        <v>22</v>
      </c>
      <c r="S24" s="317" t="str">
        <f>+'22'!A6:A6</f>
        <v xml:space="preserve">Gourmet Food Bhatta Chowk </v>
      </c>
      <c r="T24" s="300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94.467415254237281</v>
      </c>
      <c r="R25" s="299">
        <v>23</v>
      </c>
      <c r="S25" s="317" t="str">
        <f>+'23'!A6:A6</f>
        <v>Gourmet Food XX DHA</v>
      </c>
      <c r="T25" s="300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18987.950466101691</v>
      </c>
      <c r="R26" s="299">
        <v>24</v>
      </c>
      <c r="S26" s="317" t="str">
        <f>+'24'!A6:A6</f>
        <v>Gourmet Food H Block DHA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19" t="str">
        <f>+'25'!A6:A6</f>
        <v>Gourmet Food Shalimar Link Road</v>
      </c>
      <c r="T27" s="300">
        <f>+'25'!P35</f>
        <v>5892.8065301694915</v>
      </c>
    </row>
    <row r="28" spans="1:20" ht="21.75" customHeight="1" x14ac:dyDescent="0.35">
      <c r="R28" s="299">
        <v>26</v>
      </c>
      <c r="S28" s="319" t="str">
        <f>+'26'!A6:A6</f>
        <v>Gourmet Food Salamat pura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7" t="str">
        <f>+'27'!A6:A6</f>
        <v xml:space="preserve">Gourmet Food Dharoghewala </v>
      </c>
      <c r="T29" s="300">
        <f>+'27'!P35</f>
        <v>0</v>
      </c>
    </row>
    <row r="30" spans="1:20" ht="21.75" customHeight="1" x14ac:dyDescent="0.35">
      <c r="R30" s="299">
        <v>28</v>
      </c>
      <c r="S30" s="317" t="str">
        <f>+'28'!A6:A6</f>
        <v>Gourmet Food Riwind Road</v>
      </c>
      <c r="T30" s="300">
        <f>+'28'!P35</f>
        <v>0</v>
      </c>
    </row>
    <row r="31" spans="1:20" ht="21.75" customHeight="1" x14ac:dyDescent="0.35">
      <c r="R31" s="299">
        <v>29</v>
      </c>
      <c r="S31" s="317" t="str">
        <f>+'29'!A6:A6</f>
        <v xml:space="preserve">Gourmet Food  Chung </v>
      </c>
      <c r="T31" s="300">
        <f>+'29'!P35</f>
        <v>0</v>
      </c>
    </row>
    <row r="32" spans="1:20" ht="21.75" customHeight="1" x14ac:dyDescent="0.35">
      <c r="R32" s="299">
        <v>30</v>
      </c>
      <c r="S32" s="317" t="str">
        <f>+'30'!A6:A6</f>
        <v>Gourmet Food Moter Way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18987.950466101698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8" zoomScaleNormal="10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7.2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  <c r="F2" t="s">
        <v>517</v>
      </c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8.7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zoomScaleNormal="10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zoomScale="110" zoomScaleNormal="11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  <c r="S30" s="215"/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4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536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12913.800000000001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2324.4839999999995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10589.316000000003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13029.993966101698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3" t="s">
        <v>88</v>
      </c>
      <c r="O35" s="374"/>
      <c r="P35" s="297">
        <f>+P33+P34</f>
        <v>13095.143935932207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8.75" customHeight="1" x14ac:dyDescent="0.4">
      <c r="A6" s="399" t="s">
        <v>537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4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538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539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540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541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542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5811.2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1046.0159999999998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4765.1840000000002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5863.4890847457627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73" t="s">
        <v>88</v>
      </c>
      <c r="O35" s="374"/>
      <c r="P35" s="297">
        <f>+P33+P34</f>
        <v>5892.8065301694915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9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543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6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544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546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547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46303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46302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2026-10-07T06:15:25Z</dcterms:modified>
</cp:coreProperties>
</file>