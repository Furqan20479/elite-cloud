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66FA214-8408-4E05-9DBB-9E35A70D7DC1}" xr6:coauthVersionLast="47" xr6:coauthVersionMax="47" xr10:uidLastSave="{00000000-0000-0000-0000-000000000000}"/>
  <bookViews>
    <workbookView xWindow="-110" yWindow="-110" windowWidth="19420" windowHeight="10420" tabRatio="594" firstSheet="3" activeTab="6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  <definedName name="_xlnm.Print_Area" localSheetId="4">'1'!$A$1:$P$36</definedName>
  </definedNames>
  <calcPr calcId="191029"/>
</workbook>
</file>

<file path=xl/calcChain.xml><?xml version="1.0" encoding="utf-8"?>
<calcChain xmlns="http://schemas.openxmlformats.org/spreadsheetml/2006/main">
  <c r="H7" i="62" l="1"/>
  <c r="H11" i="62"/>
  <c r="H13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2" i="62"/>
  <c r="H10" i="62"/>
  <c r="H9" i="62"/>
  <c r="H8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4" l="1"/>
  <c r="M17" i="44"/>
  <c r="O17" i="44" s="1"/>
  <c r="P17" i="44" s="1"/>
  <c r="J7" i="62"/>
  <c r="M21" i="44"/>
  <c r="O21" i="44" s="1"/>
  <c r="P21" i="44" s="1"/>
  <c r="M16" i="43"/>
  <c r="M20" i="43"/>
  <c r="O20" i="43" s="1"/>
  <c r="P20" i="43" s="1"/>
  <c r="M21" i="43"/>
  <c r="O21" i="43" s="1"/>
  <c r="P21" i="43" s="1"/>
  <c r="M22" i="43"/>
  <c r="O22" i="43" s="1"/>
  <c r="P22" i="43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<sst xmlns="http://schemas.openxmlformats.org/spreadsheetml/2006/main" count="3973" uniqueCount="522">
  <si>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</si>
  <si>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</si>
  <si>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</si>
  <si>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</si>
  <si>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</si>
  <si>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</si>
  <si>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</si>
  <si>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</si>
  <si>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</si>
  <si>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</si>
  <si>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</si>
  <si>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</si>
  <si>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</si>
  <si>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</si>
  <si>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</si>
  <si>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</si>
  <si>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</si>
  <si>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</si>
  <si>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</si>
  <si>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</si>
  <si>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</si>
  <si>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</si>
  <si>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</si>
  <si>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</si>
  <si>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</si>
  <si>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</si>
  <si>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</si>
  <si>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</si>
  <si>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</si>
  <si>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</si>
  <si>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</si>
  <si>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</si>
  <si>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</si>
  <si>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</si>
  <si>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</si>
  <si>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</si>
  <si>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</si>
  <si>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</si>
  <si>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</si>
  <si>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</si>
  <si>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</si>
  <si>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</si>
  <si>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</si>
  <si>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</si>
  <si>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</si>
  <si>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</si>
  <si>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</si>
  <si>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</si>
  <si>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</si>
  <si>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</si>
  <si>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</si>
  <si>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</si>
  <si>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</si>
  <si>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</si>
  <si>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</si>
  <si>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</si>
  <si>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</si>
  <si>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</si>
  <si>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</si>
  <si>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</si>
  <si>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</si>
  <si>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</si>
  <si>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</si>
  <si>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</si>
  <si>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</si>
  <si>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</si>
  <si>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</si>
  <si>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</si>
  <si>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</si>
  <si>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</si>
  <si>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</si>
  <si>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</si>
  <si>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</si>
  <si>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</si>
  <si>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</si>
  <si>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</si>
  <si>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</si>
  <si>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</si>
  <si>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</si>
  <si>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</si>
  <si>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</si>
  <si>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</si>
  <si>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</si>
  <si>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</si>
  <si>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</si>
  <si>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</si>
  <si>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</si>
  <si>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</si>
  <si>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</si>
  <si>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</si>
  <si>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</si>
  <si>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</si>
  <si>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</si>
  <si>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</si>
  <si>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</si>
  <si>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</si>
  <si>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</si>
  <si>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</si>
  <si>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</si>
  <si>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</si>
  <si>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</si>
  <si>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</si>
  <si>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</si>
  <si>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</si>
  <si>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</si>
  <si>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</si>
  <si>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</si>
  <si>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</si>
  <si>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</si>
  <si>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</si>
  <si>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</si>
  <si>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</si>
  <si>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</si>
  <si>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</si>
  <si>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</si>
  <si>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</si>
  <si>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</si>
  <si>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</si>
  <si>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</si>
  <si>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</si>
  <si>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</si>
  <si>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</si>
  <si>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</si>
  <si>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</si>
  <si>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</si>
  <si>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</si>
  <si>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</si>
  <si>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</si>
  <si>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</si>
  <si>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</si>
  <si>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</si>
  <si>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</si>
  <si>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</si>
  <si>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</si>
  <si>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</si>
  <si>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</si>
  <si>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</si>
  <si>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</si>
  <si>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</si>
  <si>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</si>
  <si>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</si>
  <si>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</si>
  <si>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</si>
  <si>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</si>
  <si>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</si>
  <si>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</si>
  <si>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</si>
  <si>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</si>
  <si>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</si>
  <si>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</si>
  <si>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</si>
  <si>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</si>
  <si>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</si>
  <si>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</si>
  <si>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</si>
  <si>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</si>
  <si>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</si>
  <si>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</si>
  <si>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</si>
  <si>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</si>
  <si>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</si>
  <si>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</si>
  <si>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</si>
  <si>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</si>
  <si>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</si>
  <si>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</si>
  <si>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</si>
  <si>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</si>
  <si>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</si>
  <si>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</si>
  <si>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</si>
  <si>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</si>
  <si>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</si>
  <si>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</si>
  <si>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</si>
  <si>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</si>
  <si>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</si>
  <si>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</si>
  <si>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</si>
  <si>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</si>
  <si>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</si>
  <si>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</si>
  <si>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</si>
  <si>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</si>
  <si>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</si>
  <si>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</si>
  <si>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</si>
  <si>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</si>
  <si>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</si>
  <si>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</si>
  <si>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</si>
  <si>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</si>
  <si>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</si>
  <si>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</si>
  <si>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</si>
  <si>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</si>
  <si>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</si>
  <si>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</si>
  <si>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</si>
  <si>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</si>
  <si>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</si>
  <si>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</si>
  <si>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</si>
  <si>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</si>
  <si>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</si>
  <si>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</si>
  <si>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</si>
  <si>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</si>
  <si>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</si>
  <si>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</si>
  <si>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</si>
  <si>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</si>
  <si>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</si>
  <si>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</si>
  <si>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</si>
  <si>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</si>
  <si>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</si>
  <si>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</si>
  <si>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</si>
  <si>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</si>
  <si>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</si>
  <si>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</si>
  <si>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</si>
  <si>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</si>
  <si>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</si>
  <si>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</si>
  <si>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</si>
  <si>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</si>
  <si>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</si>
  <si>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</si>
  <si>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</si>
  <si>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</si>
  <si>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</si>
  <si>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</si>
  <si>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</si>
  <si>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</si>
  <si>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</si>
  <si>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</si>
  <si>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</si>
  <si>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</si>
  <si>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</si>
  <si>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</si>
  <si>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</si>
  <si>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</si>
  <si>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</si>
  <si>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</si>
  <si>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</si>
  <si>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</si>
  <si>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</si>
  <si>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</si>
  <si>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</si>
  <si>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</si>
  <si>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</si>
  <si>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</si>
  <si>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</si>
  <si>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</si>
  <si>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</si>
  <si>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</si>
  <si>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</si>
  <si>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</si>
  <si>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</si>
  <si>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</si>
  <si>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</si>
  <si>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</si>
  <si>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</si>
  <si>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</si>
  <si>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</si>
  <si>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</si>
  <si>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</si>
  <si>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</si>
  <si>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</si>
  <si>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</si>
  <si>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</si>
  <si>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</si>
  <si>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</si>
  <si>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</si>
  <si>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</si>
  <si>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</si>
  <si>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</si>
  <si>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</si>
  <si>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</si>
  <si>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</si>
  <si>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</si>
  <si>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</si>
  <si>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</si>
  <si>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</si>
  <si>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</si>
  <si>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</si>
  <si>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</si>
  <si>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</si>
  <si>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</si>
  <si>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</si>
  <si>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</si>
  <si>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</si>
  <si>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</si>
  <si>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</si>
  <si>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</si>
  <si>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</si>
  <si>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</si>
  <si>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</si>
  <si>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</si>
  <si>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</si>
  <si>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</si>
  <si>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</si>
  <si>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</si>
  <si>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</si>
  <si>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</si>
  <si>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</si>
  <si>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</si>
  <si>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</si>
  <si>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</si>
  <si>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</si>
  <si>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</si>
  <si>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</si>
  <si>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</si>
  <si>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</si>
  <si>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</si>
  <si>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</si>
  <si>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</si>
  <si>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</si>
  <si>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</si>
  <si>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</si>
  <si>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</si>
  <si>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</si>
  <si>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</si>
  <si>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</si>
  <si>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</si>
  <si>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</si>
  <si>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</si>
  <si>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</si>
  <si>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</si>
  <si>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</si>
  <si>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</si>
  <si>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</si>
  <si>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</si>
  <si>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</si>
  <si>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</si>
  <si>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</si>
  <si>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</si>
  <si>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</si>
  <si>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</si>
  <si>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</si>
  <si>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</si>
  <si>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</si>
  <si>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</si>
  <si>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</si>
  <si>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</si>
  <si>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</si>
  <si>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</si>
  <si>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</si>
  <si>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</si>
  <si>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</si>
  <si>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</si>
  <si>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</si>
  <si>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</si>
  <si>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</si>
  <si>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</si>
  <si>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</si>
  <si>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</si>
  <si>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</si>
  <si>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</si>
  <si>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</si>
  <si>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</si>
  <si>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</si>
  <si>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</si>
  <si>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</si>
  <si>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</si>
  <si>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</si>
  <si>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</si>
  <si>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</si>
  <si>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</si>
  <si>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</si>
  <si>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</si>
  <si>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</si>
  <si>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</si>
  <si>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</si>
  <si>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</si>
  <si>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</si>
  <si>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</si>
  <si>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</si>
  <si>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</si>
  <si>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</si>
  <si>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</si>
  <si>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</si>
  <si>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</si>
  <si>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</si>
  <si>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</si>
  <si>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</si>
  <si>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</si>
  <si>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</si>
  <si>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</si>
  <si>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</si>
  <si>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</si>
  <si>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</si>
  <si>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</si>
  <si>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</si>
  <si>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</si>
  <si>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</si>
  <si>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</si>
  <si>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</si>
  <si>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</si>
  <si>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</si>
  <si>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</si>
  <si>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</si>
  <si>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</si>
  <si>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</si>
  <si>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</si>
  <si>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</si>
  <si>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</si>
  <si>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</si>
  <si>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</si>
  <si>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</si>
  <si>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</si>
  <si>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</si>
  <si>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</si>
  <si>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</si>
  <si>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</si>
  <si>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</si>
  <si>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</si>
  <si>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</si>
  <si>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</si>
  <si>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</si>
  <si>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</si>
  <si>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</si>
  <si>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</si>
  <si>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</si>
  <si>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</si>
  <si>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</si>
  <si>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</si>
  <si>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</si>
  <si>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</si>
  <si>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</si>
  <si>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</si>
  <si>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</si>
  <si>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</si>
  <si>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</si>
  <si>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</si>
  <si>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</si>
  <si>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</si>
  <si>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</si>
  <si>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</si>
  <si>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</si>
  <si>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</si>
  <si>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</si>
  <si>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</si>
  <si>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</si>
  <si>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</si>
  <si>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</si>
  <si>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</si>
  <si>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</si>
  <si>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</si>
  <si>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</si>
  <si>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</si>
  <si>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</si>
  <si>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</si>
  <si>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</si>
  <si>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</si>
  <si>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</si>
  <si>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</si>
  <si>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</si>
  <si>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</si>
  <si>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</si>
  <si>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</si>
  <si>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</si>
  <si>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</si>
  <si>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</si>
  <si>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</si>
  <si>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</si>
  <si>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</si>
  <si>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</si>
  <si>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</si>
  <si>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</si>
  <si>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</si>
  <si>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</si>
  <si>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</si>
  <si>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</si>
  <si>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</si>
  <si>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</si>
  <si>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</si>
  <si>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</si>
  <si>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</si>
  <si>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</si>
  <si>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</si>
  <si>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</si>
  <si>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</si>
  <si>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</si>
  <si>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</si>
  <si>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</si>
  <si>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</si>
  <si>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</si>
  <si>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</si>
  <si>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</si>
  <si>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</si>
  <si>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</si>
  <si>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</si>
  <si>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</si>
  <si>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</si>
  <si>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</si>
  <si>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</si>
  <si>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</si>
  <si>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</si>
  <si>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</si>
  <si>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</si>
  <si>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</si>
  <si>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</si>
  <si>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</si>
  <si>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</si>
  <si>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</si>
  <si>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</si>
  <si>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</si>
  <si>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</si>
  <si>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</si>
  <si>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</si>
  <si>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</si>
  <si>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 xml:space="preserve">Nabeel Traders </t>
  </si>
  <si>
    <t xml:space="preserve">Address: Mughalpura </t>
  </si>
  <si>
    <t>Address: Mughalpura</t>
  </si>
  <si>
    <t>Address:Mughalpura</t>
  </si>
  <si>
    <t>Shakoor</t>
  </si>
  <si>
    <t>Invoice No # :12442</t>
  </si>
  <si>
    <t>Qamar TSO</t>
  </si>
  <si>
    <t>Invoice No # :OCT0003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</si>
</sst>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499</v>
      </c>
      <c r="F2" s="386"/>
      <c r="G2" s="386"/>
      <c r="H2" s="383" t="s">
        <v>510</v>
      </c>
      <c r="I2" s="383"/>
      <c r="J2" s="384"/>
      <c r="R2" s="380" t="s">
        <v>498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500</v>
      </c>
      <c r="F3" s="390"/>
      <c r="G3" s="390"/>
      <c r="H3" s="387">
        <f>+'1'!N4:N4</f>
        <v>46304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Nabeel Traders </v>
      </c>
      <c r="T3" s="301">
        <f>+'1'!P35</f>
        <v>580520.26901694911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Nabeel Traders </v>
      </c>
      <c r="T4" s="301">
        <f>+'2'!P35</f>
        <v>31444.98274258474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5" t="s">
        <v>513</v>
      </c>
      <c r="R5" s="314">
        <v>3</v>
      </c>
      <c r="S5" s="300" t="str">
        <f>+'3'!A6:A6</f>
        <v xml:space="preserve">Nabeel Traders </v>
      </c>
      <c r="T5" s="301">
        <f>+'3'!P35</f>
        <v>611965.251759534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5" t="s">
        <v>512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20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41970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6715.2000000000007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1468.95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33785.85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7932.2033898305053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208.59026694915249</v>
      </c>
      <c r="P7" s="310">
        <f>M7+N7+O7</f>
        <v>41926.643656779655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5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10492.5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1678.8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367.23750000000001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8446.4624999999996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1983.0508474576263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52.147566737288123</v>
      </c>
      <c r="P8" s="311">
        <f t="shared" ref="P8:P15" si="2">M8+N8+O8</f>
        <v>10481.660914194914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5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10492.5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1678.8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367.23750000000001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8446.4624999999996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1983.0508474576263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52.147566737288123</v>
      </c>
      <c r="P9" s="311">
        <f t="shared" si="2"/>
        <v>10481.660914194914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145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421312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67409.919999999998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14745.920000000002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339156.16000000003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79627.118644067799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2093.9163932203392</v>
      </c>
      <c r="P10" s="311">
        <f t="shared" si="2"/>
        <v>420877.19503728818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110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319616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51138.559999999998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11186.560000000001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257290.88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60406.779661016946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1588.4882983050848</v>
      </c>
      <c r="P11" s="311">
        <f t="shared" si="2"/>
        <v>319286.14795932203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145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421312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67409.919999999998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14745.920000000002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339156.16000000003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79627.118644067799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2093.9163932203392</v>
      </c>
      <c r="P12" s="311">
        <f t="shared" si="2"/>
        <v>420877.19503728818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0</v>
      </c>
      <c r="H16" s="113">
        <f t="shared" ref="H16:M16" si="3">SUM(H7:H15)</f>
        <v>0</v>
      </c>
      <c r="I16" s="114">
        <f t="shared" si="3"/>
        <v>1225195</v>
      </c>
      <c r="J16" s="274">
        <f>SUM(J7:J15)</f>
        <v>196031.2</v>
      </c>
      <c r="K16" s="275">
        <f t="shared" si="3"/>
        <v>42881.825000000004</v>
      </c>
      <c r="L16" s="276">
        <f t="shared" si="3"/>
        <v>0</v>
      </c>
      <c r="M16" s="232">
        <f t="shared" si="3"/>
        <v>986281.97500000009</v>
      </c>
      <c r="N16" s="233">
        <f>SUM(N7:N15)</f>
        <v>231559.32203389832</v>
      </c>
      <c r="O16" s="101">
        <f>SUM(O7:O15)</f>
        <v>6089.2064851694922</v>
      </c>
      <c r="P16" s="113">
        <f>SUM(P7:P15)</f>
        <v>1223930.5035190678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1225195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196031.2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42881.825000000004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986281.97500000009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231559.32203389832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1217841.2970338985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6089.2064851694922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1223930.503519068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1223930.503519068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9" workbookViewId="0">
      <selection activeCell="H23" sqref="H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81640625" bestFit="1" customWidth="1"/>
    <col min="9" max="9" width="9.36328125" bestFit="1" customWidth="1"/>
    <col min="10" max="12" width="8.36328125" bestFit="1" customWidth="1"/>
    <col min="13" max="13" width="11.90625" bestFit="1" customWidth="1"/>
    <col min="14" max="14" width="8.36328125" style="61" bestFit="1" customWidth="1"/>
    <col min="15" max="15" width="7.36328125" bestFit="1" customWidth="1"/>
    <col min="16" max="16" width="9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519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v>46304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46303</v>
      </c>
      <c r="O5" s="394"/>
      <c r="P5" s="394"/>
      <c r="R5" s="85"/>
      <c r="S5" s="266"/>
    </row>
    <row r="6" spans="1:22 16383:16384" ht="17.2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">
        <v>520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8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7">
        <v>0.16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8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9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20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20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>
        <v>75</v>
      </c>
      <c r="H19" s="96"/>
      <c r="I19" s="236">
        <f t="shared" si="7"/>
        <v>217920</v>
      </c>
      <c r="J19" s="272">
        <f t="shared" si="1"/>
        <v>34867.199999999997</v>
      </c>
      <c r="K19" s="128">
        <f t="shared" si="1"/>
        <v>7627.2000000000007</v>
      </c>
      <c r="L19" s="119">
        <f t="shared" si="1"/>
        <v>0</v>
      </c>
      <c r="M19" s="230">
        <f t="shared" si="2"/>
        <v>175425.6</v>
      </c>
      <c r="N19" s="277">
        <f t="shared" si="3"/>
        <v>41186.4406779661</v>
      </c>
      <c r="O19" s="239">
        <f t="shared" si="4"/>
        <v>1083.0602033898306</v>
      </c>
      <c r="P19" s="119">
        <f t="shared" si="5"/>
        <v>217695.10088135593</v>
      </c>
      <c r="Q19" s="320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>
        <v>50</v>
      </c>
      <c r="H20" s="96"/>
      <c r="I20" s="236">
        <f t="shared" si="7"/>
        <v>145280</v>
      </c>
      <c r="J20" s="272">
        <f t="shared" si="1"/>
        <v>23244.799999999999</v>
      </c>
      <c r="K20" s="128">
        <f t="shared" si="1"/>
        <v>5084.8</v>
      </c>
      <c r="L20" s="119">
        <f t="shared" si="1"/>
        <v>0</v>
      </c>
      <c r="M20" s="230">
        <f t="shared" si="2"/>
        <v>116950.39999999999</v>
      </c>
      <c r="N20" s="277">
        <f t="shared" si="3"/>
        <v>27457.627118644068</v>
      </c>
      <c r="O20" s="239">
        <f t="shared" si="4"/>
        <v>722.04013559322038</v>
      </c>
      <c r="P20" s="119">
        <f t="shared" si="5"/>
        <v>145130.06725423728</v>
      </c>
      <c r="Q20" s="320"/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>
        <v>75</v>
      </c>
      <c r="H21" s="96"/>
      <c r="I21" s="236">
        <f t="shared" si="7"/>
        <v>217920</v>
      </c>
      <c r="J21" s="272">
        <f t="shared" si="1"/>
        <v>34867.199999999997</v>
      </c>
      <c r="K21" s="128">
        <f t="shared" si="1"/>
        <v>7627.2000000000007</v>
      </c>
      <c r="L21" s="119">
        <f t="shared" si="1"/>
        <v>0</v>
      </c>
      <c r="M21" s="230">
        <f t="shared" si="2"/>
        <v>175425.6</v>
      </c>
      <c r="N21" s="277">
        <f t="shared" si="3"/>
        <v>41186.4406779661</v>
      </c>
      <c r="O21" s="239">
        <f t="shared" si="4"/>
        <v>1083.0602033898306</v>
      </c>
      <c r="P21" s="119">
        <f t="shared" si="5"/>
        <v>217695.10088135593</v>
      </c>
      <c r="Q21" s="320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20"/>
      <c r="S22" s="269">
        <v>0.11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20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20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200</v>
      </c>
      <c r="H25" s="113">
        <f t="shared" ref="H25" si="9">SUM(H16:H24)</f>
        <v>0</v>
      </c>
      <c r="I25" s="114">
        <f t="shared" ref="I25:M25" si="10">SUM(I16:I24)</f>
        <v>581120</v>
      </c>
      <c r="J25" s="274">
        <f>SUM(J16:J24)</f>
        <v>92979.199999999997</v>
      </c>
      <c r="K25" s="275">
        <f t="shared" si="10"/>
        <v>20339.2</v>
      </c>
      <c r="L25" s="276">
        <f t="shared" si="10"/>
        <v>0</v>
      </c>
      <c r="M25" s="232">
        <f t="shared" si="10"/>
        <v>467801.59999999998</v>
      </c>
      <c r="N25" s="233">
        <f>SUM(N16:N24)</f>
        <v>109830.50847457626</v>
      </c>
      <c r="O25" s="101">
        <f>SUM(O16:O24)</f>
        <v>2888.1605423728815</v>
      </c>
      <c r="P25" s="234">
        <f>SUM(P16:P24)</f>
        <v>580520.26901694911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581120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92979.199999999997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20339.2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467801.59999999998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109830.50847457626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577632.10847457626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2888.1605423728815</v>
      </c>
    </row>
    <row r="35" spans="2:16" ht="15.75" customHeight="1" thickBot="1" x14ac:dyDescent="0.4">
      <c r="N35" s="374" t="s">
        <v>88</v>
      </c>
      <c r="O35" s="375"/>
      <c r="P35" s="297">
        <f>+P33+P34</f>
        <v>580520.26901694911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8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1" width="8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9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v>46307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46306</v>
      </c>
      <c r="O5" s="394"/>
      <c r="P5" s="394"/>
      <c r="R5" s="85"/>
      <c r="S5" s="266"/>
    </row>
    <row r="6" spans="1:22 16383:16384" ht="1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>
        <v>15</v>
      </c>
      <c r="H16" s="112"/>
      <c r="I16" s="235">
        <f>(G16*D16)*F16+H16*F16</f>
        <v>31477.5</v>
      </c>
      <c r="J16" s="271">
        <f>$I16*S16</f>
        <v>5036.4000000000005</v>
      </c>
      <c r="K16" s="127">
        <f>$I16*T16</f>
        <v>1101.7125000000001</v>
      </c>
      <c r="L16" s="118">
        <f>$I16*U16</f>
        <v>0</v>
      </c>
      <c r="M16" s="229">
        <f>I16-SUM(J16:L16)</f>
        <v>25339.387499999997</v>
      </c>
      <c r="N16" s="248">
        <f>+(G16*D16+H16)*V16</f>
        <v>5949.152542372879</v>
      </c>
      <c r="O16" s="238">
        <f>(N16+M16)*$O$15</f>
        <v>156.44270021186438</v>
      </c>
      <c r="P16" s="310">
        <f>M16+N16+O16</f>
        <v>31444.98274258474</v>
      </c>
      <c r="Q16" s="313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112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0.11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15</v>
      </c>
      <c r="H25" s="113">
        <f t="shared" si="7"/>
        <v>0</v>
      </c>
      <c r="I25" s="114">
        <f t="shared" si="7"/>
        <v>31477.5</v>
      </c>
      <c r="J25" s="274">
        <f>SUM(J16:J24)</f>
        <v>5036.4000000000005</v>
      </c>
      <c r="K25" s="275">
        <f t="shared" si="7"/>
        <v>1101.7125000000001</v>
      </c>
      <c r="L25" s="276">
        <f t="shared" si="7"/>
        <v>0</v>
      </c>
      <c r="M25" s="232">
        <f t="shared" si="7"/>
        <v>25339.387499999997</v>
      </c>
      <c r="N25" s="233">
        <f>SUM(N16:N24)</f>
        <v>5949.152542372879</v>
      </c>
      <c r="O25" s="101">
        <f>SUM(O16:O24)</f>
        <v>156.44270021186438</v>
      </c>
      <c r="P25" s="113">
        <f>SUM(P16:P24)</f>
        <v>31444.98274258474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31477.5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5036.4000000000005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1101.7125000000001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25339.387499999997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5949.152542372879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31288.540042372875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156.44270021186438</v>
      </c>
    </row>
    <row r="35" spans="2:16" ht="15.75" customHeight="1" thickBot="1" x14ac:dyDescent="0.4">
      <c r="N35" s="374" t="s">
        <v>88</v>
      </c>
      <c r="O35" s="375"/>
      <c r="P35" s="297">
        <f>+P33+P34</f>
        <v>31444.98274258474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abSelected="1" workbookViewId="0">
      <selection activeCell="I7" sqref="I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9.36328125" bestFit="1" customWidth="1"/>
    <col min="10" max="11" width="8.36328125" bestFit="1" customWidth="1"/>
    <col min="12" max="12" width="7.36328125" bestFit="1" customWidth="1"/>
    <col min="13" max="13" width="7.81640625" bestFit="1" customWidth="1"/>
    <col min="14" max="14" width="8.36328125" style="61" bestFit="1" customWidth="1"/>
    <col min="15" max="15" width="7.36328125" bestFit="1" customWidth="1"/>
    <col min="16" max="16" width="9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521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v>46311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46310</v>
      </c>
      <c r="O5" s="394"/>
      <c r="P5" s="394"/>
      <c r="R5" s="85"/>
      <c r="S5" s="266"/>
    </row>
    <row r="6" spans="1:22 16383:16384" ht="18.7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">
        <v>518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517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17">
        <v>0.16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>
        <v>5</v>
      </c>
      <c r="H16" s="112"/>
      <c r="I16" s="235">
        <f>(G16*D16)*F16+H16*F16</f>
        <v>10492.5</v>
      </c>
      <c r="J16" s="271">
        <f>$I16*S16</f>
        <v>1678.8</v>
      </c>
      <c r="K16" s="127">
        <f>$I16*T16</f>
        <v>367.23750000000001</v>
      </c>
      <c r="L16" s="118">
        <f>$I16*U16</f>
        <v>0</v>
      </c>
      <c r="M16" s="229">
        <f>I16-SUM(J16:L16)</f>
        <v>8446.4624999999996</v>
      </c>
      <c r="N16" s="248">
        <f>+(G16*D16+H16)*V16</f>
        <v>1983.0508474576263</v>
      </c>
      <c r="O16" s="238">
        <f>(N16+M16)*$O$15</f>
        <v>52.147566737288123</v>
      </c>
      <c r="P16" s="310">
        <f>M16+N16+O16</f>
        <v>10481.660914194914</v>
      </c>
      <c r="Q16" s="313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>
        <v>5</v>
      </c>
      <c r="H17" s="96"/>
      <c r="I17" s="236">
        <f t="shared" ref="I17:I23" si="0">(G17*D17)*F17+H17*F17</f>
        <v>10492.5</v>
      </c>
      <c r="J17" s="272">
        <f t="shared" ref="J17:L24" si="1">$I17*S17</f>
        <v>1678.8</v>
      </c>
      <c r="K17" s="128">
        <f>$I17*T17</f>
        <v>367.23750000000001</v>
      </c>
      <c r="L17" s="119">
        <f>$I17*U17</f>
        <v>0</v>
      </c>
      <c r="M17" s="230">
        <f t="shared" ref="M17:M24" si="2">I17-SUM(J17:L17)</f>
        <v>8446.4624999999996</v>
      </c>
      <c r="N17" s="277">
        <f t="shared" ref="N17:N24" si="3">+(G17*D17+H17)*V17</f>
        <v>1983.0508474576263</v>
      </c>
      <c r="O17" s="239">
        <f t="shared" ref="O17:O24" si="4">(N17+M17)*$O$15</f>
        <v>52.147566737288123</v>
      </c>
      <c r="P17" s="311">
        <f t="shared" ref="P17:P24" si="5">M17+N17+O17</f>
        <v>10481.660914194914</v>
      </c>
      <c r="Q17" s="156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>
        <v>5</v>
      </c>
      <c r="H18" s="96"/>
      <c r="I18" s="236">
        <f t="shared" si="0"/>
        <v>10492.5</v>
      </c>
      <c r="J18" s="272">
        <f t="shared" si="1"/>
        <v>1678.8</v>
      </c>
      <c r="K18" s="128">
        <f t="shared" si="1"/>
        <v>367.23750000000001</v>
      </c>
      <c r="L18" s="119">
        <f t="shared" si="1"/>
        <v>0</v>
      </c>
      <c r="M18" s="230">
        <f t="shared" si="2"/>
        <v>8446.4624999999996</v>
      </c>
      <c r="N18" s="277">
        <f t="shared" si="3"/>
        <v>1983.0508474576263</v>
      </c>
      <c r="O18" s="239">
        <f t="shared" si="4"/>
        <v>52.147566737288123</v>
      </c>
      <c r="P18" s="311">
        <f t="shared" si="5"/>
        <v>10481.660914194914</v>
      </c>
      <c r="Q18" s="156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>
        <v>70</v>
      </c>
      <c r="H19" s="96"/>
      <c r="I19" s="236">
        <f t="shared" si="0"/>
        <v>203392</v>
      </c>
      <c r="J19" s="272">
        <f t="shared" si="1"/>
        <v>32542.720000000001</v>
      </c>
      <c r="K19" s="128">
        <f t="shared" si="1"/>
        <v>7118.72</v>
      </c>
      <c r="L19" s="119">
        <f t="shared" si="1"/>
        <v>0</v>
      </c>
      <c r="M19" s="230">
        <f t="shared" si="2"/>
        <v>163730.56</v>
      </c>
      <c r="N19" s="277">
        <f t="shared" si="3"/>
        <v>38440.677966101699</v>
      </c>
      <c r="O19" s="239">
        <f t="shared" si="4"/>
        <v>1010.8561898305086</v>
      </c>
      <c r="P19" s="311">
        <f t="shared" si="5"/>
        <v>203182.09415593222</v>
      </c>
      <c r="Q19" s="156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>
        <v>60</v>
      </c>
      <c r="H20" s="96"/>
      <c r="I20" s="236">
        <f t="shared" si="0"/>
        <v>174336</v>
      </c>
      <c r="J20" s="272">
        <f t="shared" si="1"/>
        <v>27893.760000000002</v>
      </c>
      <c r="K20" s="128">
        <f t="shared" si="1"/>
        <v>6101.76</v>
      </c>
      <c r="L20" s="119">
        <f t="shared" si="1"/>
        <v>0</v>
      </c>
      <c r="M20" s="230">
        <f t="shared" si="2"/>
        <v>140340.47999999998</v>
      </c>
      <c r="N20" s="277">
        <f t="shared" si="3"/>
        <v>32949.152542372882</v>
      </c>
      <c r="O20" s="239">
        <f t="shared" si="4"/>
        <v>866.44816271186426</v>
      </c>
      <c r="P20" s="311">
        <f t="shared" si="5"/>
        <v>174156.08070508472</v>
      </c>
      <c r="Q20" s="156"/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>
        <v>70</v>
      </c>
      <c r="H21" s="96"/>
      <c r="I21" s="236">
        <f t="shared" si="0"/>
        <v>203392</v>
      </c>
      <c r="J21" s="272">
        <f t="shared" si="1"/>
        <v>32542.720000000001</v>
      </c>
      <c r="K21" s="128">
        <f t="shared" si="1"/>
        <v>7118.72</v>
      </c>
      <c r="L21" s="119">
        <f t="shared" si="1"/>
        <v>0</v>
      </c>
      <c r="M21" s="230">
        <f t="shared" si="2"/>
        <v>163730.56</v>
      </c>
      <c r="N21" s="277">
        <f t="shared" si="3"/>
        <v>38440.677966101699</v>
      </c>
      <c r="O21" s="239">
        <f t="shared" si="4"/>
        <v>1010.8561898305086</v>
      </c>
      <c r="P21" s="311">
        <f t="shared" si="5"/>
        <v>203182.09415593222</v>
      </c>
      <c r="Q21" s="156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0.11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215</v>
      </c>
      <c r="H25" s="113">
        <f t="shared" si="7"/>
        <v>0</v>
      </c>
      <c r="I25" s="114">
        <f t="shared" si="7"/>
        <v>612597.5</v>
      </c>
      <c r="J25" s="274">
        <f>SUM(J16:J24)</f>
        <v>98015.6</v>
      </c>
      <c r="K25" s="275">
        <f t="shared" si="7"/>
        <v>21440.912500000002</v>
      </c>
      <c r="L25" s="276">
        <f t="shared" si="7"/>
        <v>0</v>
      </c>
      <c r="M25" s="232">
        <f t="shared" si="7"/>
        <v>493140.98749999999</v>
      </c>
      <c r="N25" s="233">
        <f>SUM(N16:N24)</f>
        <v>115779.66101694916</v>
      </c>
      <c r="O25" s="101">
        <f>SUM(O16:O24)</f>
        <v>3044.6032425847461</v>
      </c>
      <c r="P25" s="113">
        <f>SUM(P16:P24)</f>
        <v>611965.25175953389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612597.5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98015.6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21440.912500000002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493140.98750000005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115779.66101694916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608920.64851694927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3044.6032425847466</v>
      </c>
    </row>
    <row r="35" spans="2:16" ht="15.75" customHeight="1" thickBot="1" x14ac:dyDescent="0.4">
      <c r="N35" s="374" t="s">
        <v>88</v>
      </c>
      <c r="O35" s="375"/>
      <c r="P35" s="297">
        <f>+P33+P34</f>
        <v>611965.251759534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topLeftCell="A10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501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topLeftCell="A7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topLeftCell="A7" workbookViewId="0">
      <selection activeCell="H11" sqref="H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topLeftCell="A13" workbookViewId="0">
      <selection activeCell="Q22" sqref="Q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502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topLeftCell="A10"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topLeftCell="A10" workbookViewId="0">
      <selection activeCell="H7" sqref="H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503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46311</v>
      </c>
      <c r="O5" s="394"/>
      <c r="P5" s="394"/>
      <c r="R5" s="85"/>
      <c r="S5" s="266"/>
    </row>
    <row r="6" spans="1:22 16383:16384" ht="18.75" customHeight="1" x14ac:dyDescent="0.4">
      <c r="A6" s="400" t="s">
        <v>504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Q15" sqref="Q1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505</v>
      </c>
      <c r="B4" s="394"/>
      <c r="C4" s="394"/>
      <c r="F4" s="85"/>
      <c r="G4" s="1"/>
      <c r="K4" s="395" t="s">
        <v>44</v>
      </c>
      <c r="L4" s="395"/>
      <c r="M4" s="395"/>
      <c r="N4" s="398">
        <f ca="1">TODAY()+1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496</v>
      </c>
      <c r="B6" s="400"/>
      <c r="C6" s="400"/>
      <c r="F6" s="85"/>
      <c r="G6" s="86"/>
      <c r="K6" s="395" t="s">
        <v>69</v>
      </c>
      <c r="L6" s="395"/>
      <c r="M6" s="395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95</v>
      </c>
      <c r="B8" s="401"/>
      <c r="C8" s="401"/>
      <c r="F8" s="85"/>
      <c r="G8" s="86"/>
      <c r="K8" s="395" t="s">
        <v>67</v>
      </c>
      <c r="L8" s="395"/>
      <c r="M8" s="395"/>
      <c r="N8" s="397" t="s">
        <v>511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46312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46311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1</vt:i4>
      </vt:variant>
    </vt:vector>
  </HeadingPairs>
  <TitlesOfParts>
    <vt:vector size="39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2026-10-16T08:04:16Z</dcterms:modified>
</cp:coreProperties>
</file>