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A1A7F7-6C94-4B14-8A6C-2EE484F6FF8A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<sst xmlns="http://schemas.openxmlformats.org/spreadsheetml/2006/main" count="3949" uniqueCount="548">
  <si>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</si>
  <si>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</si>
  <si>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</si>
  <si>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</si>
  <si>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</si>
  <si>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</si>
  <si>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</si>
  <si>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</si>
  <si>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</si>
  <si>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</si>
  <si>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</si>
  <si>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</si>
  <si>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</si>
  <si>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</si>
  <si>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</si>
  <si>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</si>
  <si>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</si>
  <si>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</si>
  <si>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</si>
  <si>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</si>
  <si>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</si>
  <si>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</si>
  <si>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</si>
  <si>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</si>
  <si>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</si>
  <si>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</si>
  <si>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</si>
  <si>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</si>
  <si>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</si>
  <si>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</si>
  <si>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</si>
  <si>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</si>
  <si>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</si>
  <si>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</si>
  <si>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</si>
  <si>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</si>
  <si>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</si>
  <si>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</si>
  <si>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</si>
  <si>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</si>
  <si>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</si>
  <si>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</si>
  <si>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</si>
  <si>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</si>
  <si>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</si>
  <si>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</si>
  <si>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</si>
  <si>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</si>
  <si>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</si>
  <si>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</si>
  <si>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</si>
  <si>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</si>
  <si>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</si>
  <si>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</si>
  <si>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</si>
  <si>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</si>
  <si>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</si>
  <si>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</si>
  <si>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</si>
  <si>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</si>
  <si>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</si>
  <si>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</si>
  <si>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</si>
  <si>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</si>
  <si>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</si>
  <si>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</si>
  <si>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</si>
  <si>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</si>
  <si>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</si>
  <si>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</si>
  <si>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</si>
  <si>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</si>
  <si>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</si>
  <si>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</si>
  <si>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</si>
  <si>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</si>
  <si>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</si>
  <si>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</si>
  <si>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</si>
  <si>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</si>
  <si>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</si>
  <si>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</si>
  <si>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</si>
  <si>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</si>
  <si>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</si>
  <si>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</si>
  <si>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</si>
  <si>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</si>
  <si>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</si>
  <si>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</si>
  <si>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</si>
  <si>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</si>
  <si>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</si>
  <si>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</si>
  <si>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</si>
  <si>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</si>
  <si>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</si>
  <si>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</si>
  <si>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</si>
  <si>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</si>
  <si>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</si>
  <si>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</si>
  <si>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</si>
  <si>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</si>
  <si>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</si>
  <si>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</si>
  <si>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</si>
  <si>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</si>
  <si>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</si>
  <si>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</si>
  <si>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</si>
  <si>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</si>
  <si>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</si>
  <si>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</si>
  <si>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</si>
  <si>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</si>
  <si>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</si>
  <si>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</si>
  <si>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</si>
  <si>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</si>
  <si>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</si>
  <si>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</si>
  <si>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</si>
  <si>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</si>
  <si>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</si>
  <si>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</si>
  <si>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</si>
  <si>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</si>
  <si>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</si>
  <si>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</si>
  <si>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</si>
  <si>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</si>
  <si>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</si>
  <si>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</si>
  <si>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</si>
  <si>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</si>
  <si>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</si>
  <si>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</si>
  <si>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</si>
  <si>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</si>
  <si>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</si>
  <si>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</si>
  <si>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</si>
  <si>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</si>
  <si>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</si>
  <si>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</si>
  <si>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</si>
  <si>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</si>
  <si>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</si>
  <si>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</si>
  <si>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</si>
  <si>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</si>
  <si>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</si>
  <si>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</si>
  <si>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</si>
  <si>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</si>
  <si>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</si>
  <si>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</si>
  <si>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</si>
  <si>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</si>
  <si>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</si>
  <si>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</si>
  <si>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</si>
  <si>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</si>
  <si>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</si>
  <si>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</si>
  <si>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</si>
  <si>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</si>
  <si>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</si>
  <si>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</si>
  <si>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</si>
  <si>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</si>
  <si>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</si>
  <si>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</si>
  <si>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</si>
  <si>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</si>
  <si>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</si>
  <si>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</si>
  <si>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</si>
  <si>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</si>
  <si>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</si>
  <si>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</si>
  <si>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</si>
  <si>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</si>
  <si>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</si>
  <si>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</si>
  <si>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</si>
  <si>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</si>
  <si>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</si>
  <si>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</si>
  <si>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</si>
  <si>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</si>
  <si>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</si>
  <si>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</si>
  <si>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</si>
  <si>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</si>
  <si>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</si>
  <si>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</si>
  <si>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</si>
  <si>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</si>
  <si>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</si>
  <si>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</si>
  <si>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</si>
  <si>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</si>
  <si>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</si>
  <si>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</si>
  <si>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</si>
  <si>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</si>
  <si>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</si>
  <si>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</si>
  <si>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</si>
  <si>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</si>
  <si>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</si>
  <si>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</si>
  <si>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</si>
  <si>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</si>
  <si>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</si>
  <si>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</si>
  <si>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</si>
  <si>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</si>
  <si>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</si>
  <si>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</si>
  <si>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</si>
  <si>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</si>
  <si>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</si>
  <si>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</si>
  <si>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</si>
  <si>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</si>
  <si>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</si>
  <si>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</si>
  <si>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</si>
  <si>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</si>
  <si>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</si>
  <si>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</si>
  <si>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</si>
  <si>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</si>
  <si>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</si>
  <si>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</si>
  <si>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</si>
  <si>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</si>
  <si>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</si>
  <si>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</si>
  <si>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</si>
  <si>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</si>
  <si>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</si>
  <si>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</si>
  <si>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</si>
  <si>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</si>
  <si>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</si>
  <si>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</si>
  <si>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</si>
  <si>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</si>
  <si>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</si>
  <si>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</si>
  <si>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</si>
  <si>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</si>
  <si>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</si>
  <si>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</si>
  <si>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</si>
  <si>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</si>
  <si>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</si>
  <si>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</si>
  <si>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</si>
  <si>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</si>
  <si>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</si>
  <si>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</si>
  <si>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</si>
  <si>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</si>
  <si>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</si>
  <si>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</si>
  <si>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</si>
  <si>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</si>
  <si>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</si>
  <si>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</si>
  <si>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</si>
  <si>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</si>
  <si>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</si>
  <si>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</si>
  <si>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</si>
  <si>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</si>
  <si>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</si>
  <si>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</si>
  <si>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</si>
  <si>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</si>
  <si>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</si>
  <si>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</si>
  <si>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</si>
  <si>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</si>
  <si>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</si>
  <si>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</si>
  <si>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</si>
  <si>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</si>
  <si>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</si>
  <si>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</si>
  <si>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</si>
  <si>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</si>
  <si>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</si>
  <si>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</si>
  <si>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</si>
  <si>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</si>
  <si>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</si>
  <si>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</si>
  <si>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</si>
  <si>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</si>
  <si>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</si>
  <si>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</si>
  <si>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</si>
  <si>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</si>
  <si>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</si>
  <si>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</si>
  <si>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</si>
  <si>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</si>
  <si>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</si>
  <si>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</si>
  <si>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</si>
  <si>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</si>
  <si>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</si>
  <si>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</si>
  <si>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</si>
  <si>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</si>
  <si>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</si>
  <si>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</si>
  <si>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</si>
  <si>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</si>
  <si>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</si>
  <si>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</si>
  <si>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</si>
  <si>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</si>
  <si>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</si>
  <si>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</si>
  <si>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</si>
  <si>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</si>
  <si>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</si>
  <si>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</si>
  <si>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</si>
  <si>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</si>
  <si>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</si>
  <si>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</si>
  <si>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</si>
  <si>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</si>
  <si>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</si>
  <si>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</si>
  <si>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</si>
  <si>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</si>
  <si>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</si>
  <si>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</si>
  <si>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</si>
  <si>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</si>
  <si>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</si>
  <si>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</si>
  <si>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</si>
  <si>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</si>
  <si>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</si>
  <si>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</si>
  <si>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</si>
  <si>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</si>
  <si>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</si>
  <si>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</si>
  <si>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</si>
  <si>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</si>
  <si>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</si>
  <si>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</si>
  <si>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</si>
  <si>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</si>
  <si>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</si>
  <si>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</si>
  <si>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</si>
  <si>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</si>
  <si>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</si>
  <si>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</si>
  <si>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</si>
  <si>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</si>
  <si>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</si>
  <si>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</si>
  <si>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</si>
  <si>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</si>
  <si>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</si>
  <si>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</si>
  <si>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</si>
  <si>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</si>
  <si>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</si>
  <si>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</si>
  <si>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</si>
  <si>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</si>
  <si>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</si>
  <si>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</si>
  <si>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</si>
  <si>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</si>
  <si>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</si>
  <si>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</si>
  <si>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</si>
  <si>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</si>
  <si>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</si>
  <si>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</si>
  <si>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</si>
  <si>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</si>
  <si>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</si>
  <si>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</si>
  <si>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</si>
  <si>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</si>
  <si>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</si>
  <si>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</si>
  <si>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</si>
  <si>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</si>
  <si>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</si>
  <si>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</si>
  <si>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</si>
  <si>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</si>
  <si>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</si>
  <si>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</si>
  <si>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</si>
  <si>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</si>
  <si>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</si>
  <si>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</si>
  <si>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</si>
  <si>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</si>
  <si>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</si>
  <si>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</si>
  <si>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</si>
  <si>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</si>
  <si>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</si>
  <si>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</si>
  <si>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</si>
  <si>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</si>
  <si>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</si>
  <si>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</si>
  <si>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</si>
  <si>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</si>
  <si>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</si>
  <si>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</si>
  <si>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</si>
  <si>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</si>
  <si>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</si>
  <si>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</si>
  <si>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</si>
  <si>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</si>
  <si>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</si>
  <si>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</si>
  <si>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</si>
  <si>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</si>
  <si>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</si>
  <si>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</si>
  <si>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</si>
  <si>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</si>
  <si>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</si>
  <si>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</si>
  <si>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</si>
  <si>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</si>
  <si>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</si>
  <si>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</si>
  <si>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</si>
  <si>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</si>
  <si>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</si>
  <si>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</si>
  <si>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</si>
  <si>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</si>
  <si>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</si>
  <si>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</si>
  <si>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</si>
  <si>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</si>
  <si>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</si>
  <si>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</si>
  <si>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</si>
  <si>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</si>
  <si>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</si>
  <si>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</si>
  <si>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</si>
  <si>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</si>
  <si>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</si>
  <si>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</si>
  <si>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</si>
  <si>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</si>
  <si>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</si>
  <si>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</si>
  <si>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</si>
  <si>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</si>
  <si>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</si>
  <si>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</si>
  <si>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</si>
  <si>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</si>
  <si>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</si>
  <si>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</si>
  <si>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</si>
  <si>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</si>
  <si>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</si>
  <si>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</si>
  <si>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</si>
  <si>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</si>
  <si>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</si>
  <si>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</si>
  <si>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</si>
  <si>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</si>
  <si>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</si>
  <si>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</si>
  <si>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</si>
  <si>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</si>
  <si>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</si>
  <si>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</si>
  <si>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</si>
  <si>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</si>
  <si>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</si>
  <si>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</si>
  <si>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</si>
  <si>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</si>
  <si>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</si>
  <si>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</si>
  <si>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</si>
  <si>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</si>
  <si>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</si>
  <si>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</si>
  <si>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</si>
  <si>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</si>
  <si>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</si>
  <si>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</si>
  <si>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</si>
  <si>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</si>
  <si>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</si>
  <si>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</si>
  <si>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</si>
  <si>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</si>
  <si>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</si>
  <si>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</si>
  <si>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</si>
  <si>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</si>
  <si>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</si>
  <si>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</si>
  <si>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</si>
  <si>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</si>
  <si>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</si>
  <si>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</si>
  <si>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</si>
  <si>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</si>
  <si>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</si>
  <si>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</si>
  <si>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</si>
  <si>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</si>
  <si>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</si>
  <si>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</si>
  <si>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</si>
  <si>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</si>
  <si>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</si>
  <si>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</si>
  <si>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</si>
  <si>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</si>
  <si>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</si>
  <si>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</si>
  <si>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</si>
  <si>
    <t>Gourmet Food College Road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</si>
</sst>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B1" workbookViewId="0">
      <selection activeCell="S30" sqref="S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513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v>46300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18" t="str">
        <f>+'1'!A6:A6</f>
        <v>Gourmet Food College Road Sampling</v>
      </c>
      <c r="T3" s="300">
        <f>+'1'!P35</f>
        <v>253.71851677118639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 xml:space="preserve">Gourmet Food Shadman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3" t="s">
        <v>507</v>
      </c>
      <c r="R5" s="317">
        <v>3</v>
      </c>
      <c r="S5" s="318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3" t="s">
        <v>506</v>
      </c>
      <c r="R6" s="317">
        <v>4</v>
      </c>
      <c r="S6" s="318" t="str">
        <f>+'4'!A6:A6</f>
        <v>Gourmet Food Zahoor e ilaahi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09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7">
        <v>5</v>
      </c>
      <c r="S7" s="318" t="str">
        <f>+'5'!A6:A6</f>
        <v>Gourmet Food Islam Pura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0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7">
        <v>6</v>
      </c>
      <c r="S8" s="318" t="str">
        <f>+'6'!A6:A6</f>
        <v xml:space="preserve">Gourmet Food Jinah Hospital 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</v>
      </c>
      <c r="I9" s="236">
        <f t="shared" si="0"/>
        <v>104.925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18.886499999999998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86.038499999999999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19.830508474576263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0.52934504237288127</v>
      </c>
      <c r="P9" s="310">
        <f t="shared" si="2"/>
        <v>106.39835351694914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7">
        <v>7</v>
      </c>
      <c r="S9" s="318" t="str">
        <f>+'7'!A6:A6</f>
        <v xml:space="preserve">Gourmet Food Pico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</v>
      </c>
      <c r="I10" s="236">
        <f t="shared" si="0"/>
        <v>145.28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26.150399999999998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119.12960000000001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27.457627118644069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0.73293613559322046</v>
      </c>
      <c r="P10" s="310">
        <f t="shared" si="2"/>
        <v>147.32016325423729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7">
        <v>8</v>
      </c>
      <c r="S10" s="318" t="str">
        <f>+'8'!A6:A6</f>
        <v>Gourmet Food Temple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0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7">
        <v>9</v>
      </c>
      <c r="S11" s="318" t="str">
        <f>+'9'!A6:A6</f>
        <v xml:space="preserve">Gourmet Food Walton 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0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7">
        <v>10</v>
      </c>
      <c r="S12" s="318" t="str">
        <f>+'10'!A6:A6</f>
        <v xml:space="preserve">Gourmet Food C Block Model town 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7">
        <v>11</v>
      </c>
      <c r="S13" s="318" t="str">
        <f>+'11'!A6:A6</f>
        <v>Gourmet Food Krishan Nager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7">
        <v>12</v>
      </c>
      <c r="S14" s="318" t="str">
        <f>+'12'!A6:A6</f>
        <v>Gourmet Food Poonch Road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7">
        <v>13</v>
      </c>
      <c r="S15" s="318" t="str">
        <f>+'13'!A6:A6</f>
        <v>Gourmet Food Nadeem Shaheed Road</v>
      </c>
      <c r="T15" s="300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274">
        <f>H16/40</f>
        <v>0.1</v>
      </c>
      <c r="H16" s="113">
        <f t="shared" ref="H16:M16" si="3">SUM(H7:H15)</f>
        <v>4</v>
      </c>
      <c r="I16" s="114">
        <f t="shared" si="3"/>
        <v>250.20499999999998</v>
      </c>
      <c r="J16" s="274">
        <f>SUM(J7:J15)</f>
        <v>45.036899999999996</v>
      </c>
      <c r="K16" s="275">
        <f t="shared" si="3"/>
        <v>0</v>
      </c>
      <c r="L16" s="276">
        <f t="shared" si="3"/>
        <v>0</v>
      </c>
      <c r="M16" s="232">
        <f t="shared" si="3"/>
        <v>205.16810000000001</v>
      </c>
      <c r="N16" s="233">
        <f>SUM(N7:N15)</f>
        <v>47.288135593220332</v>
      </c>
      <c r="O16" s="101">
        <f>SUM(O7:O15)</f>
        <v>1.2622811779661016</v>
      </c>
      <c r="P16" s="113">
        <f>SUM(P7:P15)</f>
        <v>253.71851677118644</v>
      </c>
      <c r="Q16" s="128">
        <f>SUM(Q7:Q15)</f>
        <v>0</v>
      </c>
      <c r="R16" s="317">
        <v>14</v>
      </c>
      <c r="S16" s="318" t="str">
        <f>+'14'!A6:A6</f>
        <v xml:space="preserve">Gourmet Food Gulshan Ravi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 xml:space="preserve">Gourmet Food Umer Chowk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8" t="str">
        <f>+'16'!A6:A6</f>
        <v xml:space="preserve">Gourmet Food Riwind City </v>
      </c>
      <c r="T18" s="300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250.20499999999998</v>
      </c>
      <c r="R19" s="299">
        <v>17</v>
      </c>
      <c r="S19" s="318" t="str">
        <f>+'17'!A6:A6</f>
        <v>Gourmet Food Model Town Link Road</v>
      </c>
      <c r="T19" s="300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45.036899999999996</v>
      </c>
      <c r="R20" s="299">
        <v>18</v>
      </c>
      <c r="S20" s="318" t="str">
        <f>+'18'!A6:A6</f>
        <v xml:space="preserve">Gourmet Food A Block Model Town </v>
      </c>
      <c r="T20" s="300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318" t="str">
        <f>+'19'!A6:A6</f>
        <v>Gourmet Food Bata Pur</v>
      </c>
      <c r="T21" s="300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205.16809999999998</v>
      </c>
      <c r="R22" s="299">
        <v>20</v>
      </c>
      <c r="S22" s="318" t="str">
        <f>+'20'!A6:A6</f>
        <v xml:space="preserve">Gourmet Food Sadar Kachari </v>
      </c>
      <c r="T22" s="300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47.288135593220332</v>
      </c>
      <c r="R23" s="299">
        <v>21</v>
      </c>
      <c r="S23" s="318" t="str">
        <f>+'21'!A6:A6</f>
        <v xml:space="preserve">Gourmet Food Jaurey Pull </v>
      </c>
      <c r="T23" s="300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252.4562355932203</v>
      </c>
      <c r="R24" s="299">
        <v>22</v>
      </c>
      <c r="S24" s="318" t="str">
        <f>+'22'!A6:A6</f>
        <v xml:space="preserve">Gourmet Food Bhatta Chowk </v>
      </c>
      <c r="T24" s="300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1.2622811779661016</v>
      </c>
      <c r="R25" s="299">
        <v>23</v>
      </c>
      <c r="S25" s="318" t="str">
        <f>+'23'!A6:A6</f>
        <v>Gourmet Food XX DHA</v>
      </c>
      <c r="T25" s="300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253.71851677118639</v>
      </c>
      <c r="R26" s="299">
        <v>24</v>
      </c>
      <c r="S26" s="318" t="str">
        <f>+'24'!A6:A6</f>
        <v>Gourmet Food H Block DHA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18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Dharoghewala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>Gourmet Food Riwind Road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Chung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Moter Way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253.71851677118639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zoomScaleNormal="100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46310</v>
      </c>
      <c r="O5" s="368"/>
      <c r="P5" s="368"/>
      <c r="R5" s="85"/>
      <c r="S5" s="266"/>
    </row>
    <row r="6" spans="1:22 16383:16384" ht="17.25" customHeight="1" x14ac:dyDescent="0.4">
      <c r="A6" s="397" t="s">
        <v>547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ref="I18:I21" si="7">(G18*D18)*F18+H18*F18</f>
        <v>104.925</v>
      </c>
      <c r="J18" s="272">
        <f t="shared" si="1"/>
        <v>18.886499999999998</v>
      </c>
      <c r="K18" s="128">
        <f t="shared" si="1"/>
        <v>0</v>
      </c>
      <c r="L18" s="119">
        <f t="shared" si="1"/>
        <v>0</v>
      </c>
      <c r="M18" s="230">
        <f t="shared" si="2"/>
        <v>86.038499999999999</v>
      </c>
      <c r="N18" s="277">
        <f t="shared" si="3"/>
        <v>19.830508474576263</v>
      </c>
      <c r="O18" s="239">
        <f t="shared" si="4"/>
        <v>0.52934504237288127</v>
      </c>
      <c r="P18" s="310">
        <f t="shared" si="5"/>
        <v>106.39835351694914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7"/>
        <v>145.28</v>
      </c>
      <c r="J19" s="272">
        <f t="shared" si="1"/>
        <v>26.150399999999998</v>
      </c>
      <c r="K19" s="128">
        <f t="shared" si="1"/>
        <v>0</v>
      </c>
      <c r="L19" s="119">
        <f t="shared" si="1"/>
        <v>0</v>
      </c>
      <c r="M19" s="230">
        <f t="shared" si="2"/>
        <v>119.12960000000001</v>
      </c>
      <c r="N19" s="277">
        <f t="shared" si="3"/>
        <v>27.457627118644069</v>
      </c>
      <c r="O19" s="239">
        <f t="shared" si="4"/>
        <v>0.73293613559322046</v>
      </c>
      <c r="P19" s="310">
        <f t="shared" si="5"/>
        <v>147.32016325423729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4</v>
      </c>
      <c r="I25" s="114">
        <f t="shared" ref="I25:M25" si="10">SUM(I16:I24)</f>
        <v>250.20499999999998</v>
      </c>
      <c r="J25" s="274">
        <f>SUM(J16:J24)</f>
        <v>45.036899999999996</v>
      </c>
      <c r="K25" s="275">
        <f t="shared" si="10"/>
        <v>0</v>
      </c>
      <c r="L25" s="276">
        <f t="shared" si="10"/>
        <v>0</v>
      </c>
      <c r="M25" s="232">
        <f t="shared" si="10"/>
        <v>205.16810000000001</v>
      </c>
      <c r="N25" s="233">
        <f>SUM(N16:N24)</f>
        <v>47.288135593220332</v>
      </c>
      <c r="O25" s="101">
        <f>SUM(O16:O24)</f>
        <v>1.2622811779661016</v>
      </c>
      <c r="P25" s="113">
        <f>SUM(P16:P24)</f>
        <v>253.71851677118644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250.20499999999998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45.036899999999996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205.16809999999998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47.288135593220332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252.4562355932203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1.2622811779661016</v>
      </c>
    </row>
    <row r="35" spans="2:16" ht="15.75" customHeight="1" thickBot="1" x14ac:dyDescent="0.4">
      <c r="N35" s="343" t="s">
        <v>88</v>
      </c>
      <c r="O35" s="344"/>
      <c r="P35" s="297">
        <f>+P33+P34</f>
        <v>253.71851677118639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  <c r="F2" t="s">
        <v>517</v>
      </c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8.7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46301</v>
      </c>
      <c r="O5" s="368"/>
      <c r="P5" s="368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1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zoomScale="110" zoomScaleNormal="1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21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  <c r="S30" s="215"/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534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8.75" customHeight="1" x14ac:dyDescent="0.4">
      <c r="A6" s="397" t="s">
        <v>536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538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540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542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46306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544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46303</v>
      </c>
      <c r="O5" s="368"/>
      <c r="P5" s="368"/>
      <c r="R5" s="85"/>
      <c r="S5" s="266"/>
    </row>
    <row r="6" spans="1:22 16383:16384" ht="15" customHeight="1" x14ac:dyDescent="0.4">
      <c r="A6" s="397" t="s">
        <v>546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46312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46311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2026-10-16T05:15:31Z</dcterms:modified>
</cp:coreProperties>
</file>