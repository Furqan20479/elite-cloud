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896FE8-3394-4DFF-A8A3-97E4A32E572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52"/>
  <c r="M16" i="48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<sst xmlns="http://schemas.openxmlformats.org/spreadsheetml/2006/main" count="3948" uniqueCount="527">
  <si>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</si>
  <si>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</si>
  <si>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</si>
  <si>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</si>
  <si>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</si>
  <si>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</si>
  <si>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</si>
  <si>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</si>
  <si>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</si>
  <si>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</si>
  <si>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</si>
  <si>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</si>
  <si>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</si>
  <si>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</si>
  <si>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</si>
  <si>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</si>
  <si>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</si>
  <si>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</si>
  <si>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</si>
  <si>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</si>
  <si>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</si>
  <si>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</si>
  <si>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</si>
  <si>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</si>
  <si>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</si>
  <si>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</si>
  <si>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</si>
  <si>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</si>
  <si>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</si>
  <si>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</si>
  <si>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</si>
  <si>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</si>
  <si>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</si>
  <si>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</si>
  <si>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</si>
  <si>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</si>
  <si>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</si>
  <si>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</si>
  <si>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</si>
  <si>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</si>
  <si>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</si>
  <si>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</si>
  <si>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</si>
  <si>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</si>
  <si>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</si>
  <si>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</si>
  <si>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</si>
  <si>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</si>
  <si>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</si>
  <si>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</si>
  <si>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</si>
  <si>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</si>
  <si>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</si>
  <si>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</si>
  <si>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</si>
  <si>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</si>
  <si>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</si>
  <si>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</si>
  <si>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</si>
  <si>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</si>
  <si>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</si>
  <si>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</si>
  <si>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</si>
  <si>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</si>
  <si>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</si>
  <si>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</si>
  <si>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</si>
  <si>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</si>
  <si>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</si>
  <si>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</si>
  <si>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</si>
  <si>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</si>
  <si>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</si>
  <si>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</si>
  <si>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</si>
  <si>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</si>
  <si>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</si>
  <si>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</si>
  <si>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</si>
  <si>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</si>
  <si>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</si>
  <si>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</si>
  <si>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</si>
  <si>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</si>
  <si>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</si>
  <si>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</si>
  <si>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</si>
  <si>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</si>
  <si>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</si>
  <si>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</si>
  <si>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</si>
  <si>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</si>
  <si>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</si>
  <si>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</si>
  <si>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</si>
  <si>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</si>
  <si>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</si>
  <si>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</si>
  <si>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</si>
  <si>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</si>
  <si>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</si>
  <si>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</si>
  <si>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</si>
  <si>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</si>
  <si>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</si>
  <si>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</si>
  <si>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</si>
  <si>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</si>
  <si>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</si>
  <si>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</si>
  <si>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</si>
  <si>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</si>
  <si>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</si>
  <si>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</si>
  <si>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</si>
  <si>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</si>
  <si>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</si>
  <si>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</si>
  <si>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</si>
  <si>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</si>
  <si>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</si>
  <si>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</si>
  <si>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</si>
  <si>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</si>
  <si>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</si>
  <si>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</si>
  <si>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</si>
  <si>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</si>
  <si>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</si>
  <si>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</si>
  <si>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</si>
  <si>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</si>
  <si>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</si>
  <si>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</si>
  <si>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</si>
  <si>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</si>
  <si>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</si>
  <si>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</si>
  <si>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</si>
  <si>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</si>
  <si>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</si>
  <si>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</si>
  <si>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</si>
  <si>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</si>
  <si>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</si>
  <si>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</si>
  <si>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</si>
  <si>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</si>
  <si>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</si>
  <si>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</si>
  <si>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</si>
  <si>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</si>
  <si>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</si>
  <si>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</si>
  <si>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</si>
  <si>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</si>
  <si>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</si>
  <si>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</si>
  <si>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</si>
  <si>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</si>
  <si>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</si>
  <si>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</si>
  <si>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</si>
  <si>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</si>
  <si>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</si>
  <si>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</si>
  <si>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</si>
  <si>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</si>
  <si>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</si>
  <si>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</si>
  <si>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</si>
  <si>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</si>
  <si>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</si>
  <si>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</si>
  <si>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</si>
  <si>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</si>
  <si>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</si>
  <si>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</si>
  <si>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</si>
  <si>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</si>
  <si>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</si>
  <si>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</si>
  <si>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</si>
  <si>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</si>
  <si>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</si>
  <si>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</si>
  <si>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</si>
  <si>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</si>
  <si>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</si>
  <si>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</si>
  <si>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</si>
  <si>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</si>
  <si>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</si>
  <si>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</si>
  <si>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</si>
  <si>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</si>
  <si>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</si>
  <si>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</si>
  <si>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</si>
  <si>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</si>
  <si>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</si>
  <si>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</si>
  <si>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</si>
  <si>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</si>
  <si>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</si>
  <si>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</si>
  <si>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</si>
  <si>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</si>
  <si>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</si>
  <si>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</si>
  <si>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</si>
  <si>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</si>
  <si>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</si>
  <si>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</si>
  <si>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</si>
  <si>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</si>
  <si>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</si>
  <si>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</si>
  <si>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</si>
  <si>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</si>
  <si>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</si>
  <si>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</si>
  <si>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</si>
  <si>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</si>
  <si>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</si>
  <si>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</si>
  <si>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</si>
  <si>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</si>
  <si>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</si>
  <si>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</si>
  <si>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</si>
  <si>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</si>
  <si>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</si>
  <si>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</si>
  <si>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</si>
  <si>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</si>
  <si>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</si>
  <si>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</si>
  <si>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</si>
  <si>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</si>
  <si>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</si>
  <si>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</si>
  <si>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</si>
  <si>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</si>
  <si>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</si>
  <si>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</si>
  <si>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</si>
  <si>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</si>
  <si>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</si>
  <si>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</si>
  <si>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</si>
  <si>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</si>
  <si>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</si>
  <si>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</si>
  <si>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</si>
  <si>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</si>
  <si>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</si>
  <si>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</si>
  <si>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</si>
  <si>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</si>
  <si>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</si>
  <si>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</si>
  <si>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</si>
  <si>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</si>
  <si>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</si>
  <si>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</si>
  <si>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</si>
  <si>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</si>
  <si>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</si>
  <si>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</si>
  <si>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</si>
  <si>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</si>
  <si>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</si>
  <si>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</si>
  <si>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</si>
  <si>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</si>
  <si>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</si>
  <si>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</si>
  <si>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</si>
  <si>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</si>
  <si>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</si>
  <si>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</si>
  <si>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</si>
  <si>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</si>
  <si>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</si>
  <si>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</si>
  <si>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</si>
  <si>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</si>
  <si>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</si>
  <si>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</si>
  <si>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</si>
  <si>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</si>
  <si>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</si>
  <si>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</si>
  <si>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</si>
  <si>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</si>
  <si>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</si>
  <si>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</si>
  <si>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</si>
  <si>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</si>
  <si>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</si>
  <si>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</si>
  <si>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</si>
  <si>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</si>
  <si>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</si>
  <si>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</si>
  <si>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</si>
  <si>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</si>
  <si>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</si>
  <si>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</si>
  <si>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</si>
  <si>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</si>
  <si>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</si>
  <si>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</si>
  <si>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</si>
  <si>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</si>
  <si>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</si>
  <si>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</si>
  <si>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</si>
  <si>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</si>
  <si>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</si>
  <si>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</si>
  <si>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</si>
  <si>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</si>
  <si>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</si>
  <si>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</si>
  <si>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</si>
  <si>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</si>
  <si>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</si>
  <si>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</si>
  <si>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</si>
  <si>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</si>
  <si>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</si>
  <si>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</si>
  <si>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</si>
  <si>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</si>
  <si>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</si>
  <si>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</si>
  <si>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</si>
  <si>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</si>
  <si>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</si>
  <si>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</si>
  <si>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</si>
  <si>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</si>
  <si>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</si>
  <si>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</si>
  <si>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</si>
  <si>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</si>
  <si>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</si>
  <si>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</si>
  <si>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</si>
  <si>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</si>
  <si>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</si>
  <si>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</si>
  <si>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</si>
  <si>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</si>
  <si>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</si>
  <si>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</si>
  <si>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</si>
  <si>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</si>
  <si>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</si>
  <si>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</si>
  <si>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</si>
  <si>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</si>
  <si>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</si>
  <si>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</si>
  <si>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</si>
  <si>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</si>
  <si>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</si>
  <si>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</si>
  <si>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</si>
  <si>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</si>
  <si>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</si>
  <si>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</si>
  <si>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</si>
  <si>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</si>
  <si>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</si>
  <si>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</si>
  <si>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</si>
  <si>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</si>
  <si>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</si>
  <si>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</si>
  <si>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</si>
  <si>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</si>
  <si>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</si>
  <si>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</si>
  <si>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</si>
  <si>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</si>
  <si>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</si>
  <si>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</si>
  <si>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</si>
  <si>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</si>
  <si>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</si>
  <si>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</si>
  <si>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</si>
  <si>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</si>
  <si>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</si>
  <si>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</si>
  <si>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</si>
  <si>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</si>
  <si>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</si>
  <si>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</si>
  <si>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</si>
  <si>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</si>
  <si>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</si>
  <si>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</si>
  <si>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</si>
  <si>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</si>
  <si>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</si>
  <si>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</si>
  <si>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</si>
  <si>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</si>
  <si>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</si>
  <si>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</si>
  <si>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</si>
  <si>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</si>
  <si>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</si>
  <si>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</si>
  <si>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</si>
  <si>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</si>
  <si>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</si>
  <si>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</si>
  <si>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</si>
  <si>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</si>
  <si>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</si>
  <si>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</si>
  <si>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</si>
  <si>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</si>
  <si>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</si>
  <si>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</si>
  <si>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</si>
  <si>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</si>
  <si>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</si>
  <si>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</si>
  <si>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</si>
  <si>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</si>
  <si>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</si>
  <si>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</si>
  <si>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</si>
  <si>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</si>
  <si>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</si>
  <si>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</si>
  <si>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</si>
  <si>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</si>
  <si>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</si>
  <si>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</si>
  <si>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</si>
  <si>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</si>
  <si>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</si>
  <si>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</si>
  <si>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</si>
  <si>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</si>
  <si>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</si>
  <si>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</si>
  <si>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</si>
  <si>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</si>
  <si>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</si>
  <si>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</si>
  <si>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</si>
  <si>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</si>
  <si>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</si>
  <si>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</si>
  <si>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</si>
  <si>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</si>
  <si>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</si>
  <si>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</si>
  <si>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</si>
  <si>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</si>
  <si>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</si>
  <si>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</si>
  <si>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</si>
  <si>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</si>
  <si>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</si>
  <si>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</si>
  <si>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</si>
  <si>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</si>
  <si>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</si>
  <si>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</si>
  <si>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</si>
  <si>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</si>
  <si>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</si>
  <si>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</si>
  <si>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</si>
  <si>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</si>
  <si>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</si>
  <si>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</si>
  <si>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</si>
  <si>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</si>
  <si>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</si>
  <si>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</si>
  <si>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</si>
  <si>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</si>
  <si>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</si>
  <si>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</si>
  <si>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</si>
  <si>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</si>
  <si>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</si>
  <si>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</si>
  <si>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</si>
  <si>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</si>
  <si>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</si>
  <si>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</si>
  <si>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</si>
  <si>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</si>
  <si>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</si>
  <si>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</si>
  <si>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</si>
  <si>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</si>
  <si>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</si>
  <si>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</si>
  <si>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</si>
  <si>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</si>
  <si>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</si>
  <si>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</si>
  <si>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</si>
  <si>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Address: Nishat</t>
  </si>
  <si>
    <t>MS Store</t>
  </si>
  <si>
    <t>Nishat Store</t>
  </si>
  <si>
    <t>Qadri Store</t>
  </si>
  <si>
    <t xml:space="preserve">Delsia Bakers </t>
  </si>
  <si>
    <t xml:space="preserve">Bread &amp; Butter </t>
  </si>
  <si>
    <t>Bilal Store</t>
  </si>
  <si>
    <t>Rafiq Store</t>
  </si>
  <si>
    <t xml:space="preserve">Sharif Mart </t>
  </si>
  <si>
    <t>Chaudry Store</t>
  </si>
  <si>
    <t>Khan Store</t>
  </si>
  <si>
    <t>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</si>
</sst>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MS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Nishat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Qadri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Delsia Bakers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 xml:space="preserve">Bread &amp; Butter </v>
      </c>
      <c r="T7" s="301">
        <f>+'5'!P35</f>
        <v>20211.161091101694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Bilal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Rafiq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Sharif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Chaudry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</v>
      </c>
      <c r="H16" s="113">
        <f t="shared" ref="H16:M16" si="3">SUM(H7:H15)</f>
        <v>360</v>
      </c>
      <c r="I16" s="114">
        <f t="shared" si="3"/>
        <v>22922</v>
      </c>
      <c r="J16" s="274">
        <f>SUM(J7:J15)</f>
        <v>1833.76</v>
      </c>
      <c r="K16" s="275">
        <f t="shared" si="3"/>
        <v>802.2700000000001</v>
      </c>
      <c r="L16" s="276">
        <f t="shared" si="3"/>
        <v>0</v>
      </c>
      <c r="M16" s="232">
        <f t="shared" si="3"/>
        <v>20285.97</v>
      </c>
      <c r="N16" s="233">
        <f>SUM(N7:N15)</f>
        <v>4332.2033898305081</v>
      </c>
      <c r="O16" s="101">
        <f>SUM(O7:O15)</f>
        <v>123.09086694915254</v>
      </c>
      <c r="P16" s="113">
        <f>SUM(P7:P15)</f>
        <v>24741.264256779661</v>
      </c>
      <c r="Q16" s="128">
        <f>SUM(Q7:Q15)</f>
        <v>60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22922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1833.76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802.2700000000001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20285.97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4332.2033898305081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24618.17338983051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123.09086694915254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24741.264256779661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24741.264256779654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280</v>
      </c>
      <c r="I25" s="114">
        <f t="shared" si="7"/>
        <v>18725</v>
      </c>
      <c r="J25" s="274">
        <f>SUM(J16:J24)</f>
        <v>1498</v>
      </c>
      <c r="K25" s="275">
        <f t="shared" si="7"/>
        <v>655.37500000000011</v>
      </c>
      <c r="L25" s="276">
        <f t="shared" si="7"/>
        <v>0</v>
      </c>
      <c r="M25" s="232">
        <f t="shared" si="7"/>
        <v>16571.625</v>
      </c>
      <c r="N25" s="233">
        <f>SUM(N16:N24)</f>
        <v>3538.983050847457</v>
      </c>
      <c r="O25" s="101">
        <f>SUM(O16:O24)</f>
        <v>100.55304025423729</v>
      </c>
      <c r="P25" s="234">
        <f>SUM(P16:P24)</f>
        <v>20211.161091101698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18725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655.37500000000011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16571.625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3538.983050847457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20110.608050847455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100.55304025423727</v>
      </c>
    </row>
    <row r="35" spans="2:16" ht="15.75" customHeight="1" thickBot="1" x14ac:dyDescent="0.4">
      <c r="N35" s="345" t="s">
        <v>88</v>
      </c>
      <c r="O35" s="346"/>
      <c r="P35" s="297">
        <f>+P33+P34</f>
        <v>20211.161091101694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2026-10-16T12:42:47Z</dcterms:modified>
</cp:coreProperties>
</file>