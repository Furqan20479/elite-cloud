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2AA51F-DEA3-4066-9164-94EB030E47B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<sst xmlns="http://schemas.openxmlformats.org/spreadsheetml/2006/main" count="3948" uniqueCount="526">
  <si>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</si>
  <si>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</si>
  <si>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</si>
  <si>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</si>
  <si>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</si>
  <si>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</si>
  <si>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</si>
  <si>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</si>
  <si>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</si>
  <si>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</si>
  <si>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</si>
  <si>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</si>
  <si>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</si>
  <si>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</si>
  <si>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</si>
  <si>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</si>
  <si>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</si>
  <si>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</si>
  <si>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</si>
  <si>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</si>
  <si>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</si>
  <si>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</si>
  <si>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</si>
  <si>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</si>
  <si>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</si>
  <si>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</si>
  <si>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</si>
  <si>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</si>
  <si>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</si>
  <si>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</si>
  <si>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</si>
  <si>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</si>
  <si>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</si>
  <si>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</si>
  <si>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</si>
  <si>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</si>
  <si>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</si>
  <si>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</si>
  <si>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</si>
  <si>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</si>
  <si>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</si>
  <si>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</si>
  <si>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</si>
  <si>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</si>
  <si>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</si>
  <si>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</si>
  <si>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</si>
  <si>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</si>
  <si>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</si>
  <si>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</si>
  <si>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</si>
  <si>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</si>
  <si>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</si>
  <si>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</si>
  <si>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</si>
  <si>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</si>
  <si>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</si>
  <si>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</si>
  <si>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</si>
  <si>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</si>
  <si>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</si>
  <si>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</si>
  <si>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</si>
  <si>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</si>
  <si>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</si>
  <si>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</si>
  <si>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</si>
  <si>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</si>
  <si>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</si>
  <si>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</si>
  <si>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</si>
  <si>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</si>
  <si>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</si>
  <si>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</si>
  <si>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</si>
  <si>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</si>
  <si>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</si>
  <si>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</si>
  <si>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</si>
  <si>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</si>
  <si>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</si>
  <si>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</si>
  <si>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</si>
  <si>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</si>
  <si>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</si>
  <si>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</si>
  <si>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</si>
  <si>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</si>
  <si>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</si>
  <si>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</si>
  <si>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</si>
  <si>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</si>
  <si>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</si>
  <si>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</si>
  <si>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</si>
  <si>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</si>
  <si>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</si>
  <si>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</si>
  <si>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</si>
  <si>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</si>
  <si>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</si>
  <si>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</si>
  <si>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</si>
  <si>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</si>
  <si>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</si>
  <si>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</si>
  <si>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</si>
  <si>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</si>
  <si>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</si>
  <si>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</si>
  <si>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</si>
  <si>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</si>
  <si>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</si>
  <si>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</si>
  <si>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</si>
  <si>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</si>
  <si>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</si>
  <si>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</si>
  <si>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</si>
  <si>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</si>
  <si>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</si>
  <si>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</si>
  <si>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</si>
  <si>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</si>
  <si>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</si>
  <si>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</si>
  <si>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</si>
  <si>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</si>
  <si>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</si>
  <si>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</si>
  <si>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</si>
  <si>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</si>
  <si>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</si>
  <si>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</si>
  <si>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</si>
  <si>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</si>
  <si>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</si>
  <si>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</si>
  <si>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</si>
  <si>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</si>
  <si>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</si>
  <si>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</si>
  <si>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</si>
  <si>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</si>
  <si>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</si>
  <si>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</si>
  <si>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</si>
  <si>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</si>
  <si>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</si>
  <si>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</si>
  <si>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</si>
  <si>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</si>
  <si>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</si>
  <si>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</si>
  <si>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</si>
  <si>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</si>
  <si>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</si>
  <si>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</si>
  <si>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</si>
  <si>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</si>
  <si>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</si>
  <si>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</si>
  <si>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</si>
  <si>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</si>
  <si>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</si>
  <si>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</si>
  <si>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</si>
  <si>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</si>
  <si>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</si>
  <si>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</si>
  <si>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</si>
  <si>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</si>
  <si>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</si>
  <si>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</si>
  <si>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</si>
  <si>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</si>
  <si>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</si>
  <si>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</si>
  <si>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</si>
  <si>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</si>
  <si>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</si>
  <si>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</si>
  <si>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</si>
  <si>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</si>
  <si>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</si>
  <si>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</si>
  <si>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</si>
  <si>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</si>
  <si>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</si>
  <si>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</si>
  <si>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</si>
  <si>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</si>
  <si>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</si>
  <si>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</si>
  <si>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</si>
  <si>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</si>
  <si>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</si>
  <si>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</si>
  <si>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</si>
  <si>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</si>
  <si>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</si>
  <si>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</si>
  <si>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</si>
  <si>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</si>
  <si>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</si>
  <si>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</si>
  <si>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</si>
  <si>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</si>
  <si>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</si>
  <si>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</si>
  <si>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</si>
  <si>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</si>
  <si>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</si>
  <si>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</si>
  <si>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</si>
  <si>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</si>
  <si>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</si>
  <si>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</si>
  <si>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</si>
  <si>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</si>
  <si>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</si>
  <si>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</si>
  <si>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</si>
  <si>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</si>
  <si>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</si>
  <si>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</si>
  <si>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</si>
  <si>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</si>
  <si>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</si>
  <si>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</si>
  <si>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</si>
  <si>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</si>
  <si>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</si>
  <si>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</si>
  <si>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</si>
  <si>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</si>
  <si>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</si>
  <si>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</si>
  <si>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</si>
  <si>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</si>
  <si>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</si>
  <si>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</si>
  <si>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</si>
  <si>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</si>
  <si>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</si>
  <si>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</si>
  <si>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</si>
  <si>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</si>
  <si>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</si>
  <si>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</si>
  <si>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</si>
  <si>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</si>
  <si>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</si>
  <si>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</si>
  <si>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</si>
  <si>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</si>
  <si>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</si>
  <si>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</si>
  <si>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</si>
  <si>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</si>
  <si>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</si>
  <si>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</si>
  <si>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</si>
  <si>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</si>
  <si>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</si>
  <si>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</si>
  <si>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</si>
  <si>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</si>
  <si>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</si>
  <si>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</si>
  <si>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</si>
  <si>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</si>
  <si>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</si>
  <si>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</si>
  <si>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</si>
  <si>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</si>
  <si>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</si>
  <si>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</si>
  <si>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</si>
  <si>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</si>
  <si>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</si>
  <si>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</si>
  <si>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</si>
  <si>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</si>
  <si>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</si>
  <si>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</si>
  <si>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</si>
  <si>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</si>
  <si>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</si>
  <si>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</si>
  <si>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</si>
  <si>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</si>
  <si>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</si>
  <si>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</si>
  <si>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</si>
  <si>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</si>
  <si>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</si>
  <si>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</si>
  <si>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</si>
  <si>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</si>
  <si>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</si>
  <si>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</si>
  <si>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</si>
  <si>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</si>
  <si>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</si>
  <si>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</si>
  <si>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</si>
  <si>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</si>
  <si>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</si>
  <si>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</si>
  <si>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</si>
  <si>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</si>
  <si>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</si>
  <si>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</si>
  <si>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</si>
  <si>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</si>
  <si>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</si>
  <si>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</si>
  <si>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</si>
  <si>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</si>
  <si>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</si>
  <si>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</si>
  <si>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</si>
  <si>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</si>
  <si>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</si>
  <si>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</si>
  <si>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</si>
  <si>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</si>
  <si>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</si>
  <si>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</si>
  <si>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</si>
  <si>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</si>
  <si>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</si>
  <si>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</si>
  <si>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</si>
  <si>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</si>
  <si>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</si>
  <si>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</si>
  <si>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</si>
  <si>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</si>
  <si>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</si>
  <si>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</si>
  <si>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</si>
  <si>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</si>
  <si>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</si>
  <si>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</si>
  <si>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</si>
  <si>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</si>
  <si>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</si>
  <si>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</si>
  <si>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</si>
  <si>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</si>
  <si>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</si>
  <si>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</si>
  <si>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</si>
  <si>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</si>
  <si>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</si>
  <si>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</si>
  <si>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</si>
  <si>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</si>
  <si>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</si>
  <si>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</si>
  <si>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</si>
  <si>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</si>
  <si>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</si>
  <si>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</si>
  <si>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</si>
  <si>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</si>
  <si>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</si>
  <si>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</si>
  <si>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</si>
  <si>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</si>
  <si>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</si>
  <si>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</si>
  <si>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</si>
  <si>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</si>
  <si>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</si>
  <si>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</si>
  <si>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</si>
  <si>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</si>
  <si>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</si>
  <si>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</si>
  <si>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</si>
  <si>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</si>
  <si>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</si>
  <si>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</si>
  <si>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</si>
  <si>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</si>
  <si>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</si>
  <si>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</si>
  <si>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</si>
  <si>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</si>
  <si>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</si>
  <si>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</si>
  <si>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</si>
  <si>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</si>
  <si>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</si>
  <si>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</si>
  <si>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</si>
  <si>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</si>
  <si>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</si>
  <si>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</si>
  <si>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</si>
  <si>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</si>
  <si>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</si>
  <si>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</si>
  <si>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</si>
  <si>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</si>
  <si>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</si>
  <si>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</si>
  <si>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</si>
  <si>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</si>
  <si>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</si>
  <si>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</si>
  <si>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</si>
  <si>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</si>
  <si>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</si>
  <si>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</si>
  <si>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</si>
  <si>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</si>
  <si>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</si>
  <si>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</si>
  <si>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</si>
  <si>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</si>
  <si>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</si>
  <si>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</si>
  <si>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</si>
  <si>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</si>
  <si>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</si>
  <si>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</si>
  <si>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</si>
  <si>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</si>
  <si>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</si>
  <si>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</si>
  <si>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</si>
  <si>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</si>
  <si>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</si>
  <si>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</si>
  <si>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</si>
  <si>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</si>
  <si>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</si>
  <si>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</si>
  <si>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</si>
  <si>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</si>
  <si>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</si>
  <si>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</si>
  <si>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</si>
  <si>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</si>
  <si>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</si>
  <si>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</si>
  <si>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</si>
  <si>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</si>
  <si>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</si>
  <si>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</si>
  <si>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</si>
  <si>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</si>
  <si>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</si>
  <si>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</si>
  <si>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</si>
  <si>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</si>
  <si>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</si>
  <si>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</si>
  <si>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</si>
  <si>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</si>
  <si>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</si>
  <si>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</si>
  <si>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</si>
  <si>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</si>
  <si>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</si>
  <si>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</si>
  <si>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</si>
  <si>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</si>
  <si>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</si>
  <si>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</si>
  <si>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</si>
  <si>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</si>
  <si>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</si>
  <si>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</si>
  <si>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</si>
  <si>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</si>
  <si>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</si>
  <si>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</si>
  <si>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</si>
  <si>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</si>
  <si>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</si>
  <si>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</si>
  <si>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</si>
  <si>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</si>
  <si>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</si>
  <si>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</si>
  <si>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</si>
  <si>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</si>
  <si>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</si>
  <si>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</si>
  <si>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</si>
  <si>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</si>
  <si>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</si>
  <si>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</si>
  <si>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</si>
  <si>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</si>
  <si>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</si>
  <si>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</si>
  <si>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</si>
  <si>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</si>
  <si>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</si>
  <si>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</si>
  <si>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</si>
  <si>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</si>
  <si>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</si>
  <si>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</si>
  <si>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</si>
  <si>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</si>
  <si>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</si>
  <si>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</si>
  <si>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</si>
  <si>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Cavalery Ground 7 Street</t>
  </si>
  <si>
    <t xml:space="preserve">Al Harmain </t>
  </si>
  <si>
    <t xml:space="preserve">K Mart </t>
  </si>
  <si>
    <t xml:space="preserve">Address: Mian chowk 7 street Near Shifah Hospital </t>
  </si>
  <si>
    <t>Mughal GS</t>
  </si>
  <si>
    <t>S Mukhtar Store</t>
  </si>
  <si>
    <t>Sk Super store</t>
  </si>
  <si>
    <t xml:space="preserve">Address: Qanchi Amer Sidhu </t>
  </si>
  <si>
    <t>Haji Hassan Deen Store</t>
  </si>
  <si>
    <t>Noor Gs</t>
  </si>
  <si>
    <t xml:space="preserve">Address: Bulley Shah Road Near Noor Masjid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</si>
</sst>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 Harmain 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 Mart 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Mughal GS</v>
      </c>
      <c r="T5" s="301">
        <f>+'3'!P35</f>
        <v>679.51547485169476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 Mukhtar Store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52</v>
      </c>
      <c r="I7" s="235">
        <f>(G7*D7)*F7+H7*F7</f>
        <v>2728.0499999999997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218.244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95.481750000000005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2414.3242499999997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515.59322033898286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14.649587351694915</v>
      </c>
      <c r="P7" s="310">
        <f>M7+N7+O7</f>
        <v>2944.5670576906778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Sk Super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9</v>
      </c>
      <c r="R8" s="313">
        <v>6</v>
      </c>
      <c r="S8" s="300" t="str">
        <f>+'6'!A6:A6</f>
        <v>Haji Hassan Deen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3">
        <v>7</v>
      </c>
      <c r="S9" s="300" t="str">
        <f>+'7'!A6:A6</f>
        <v>Noor Gs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</v>
      </c>
      <c r="I10" s="236">
        <f t="shared" si="0"/>
        <v>4939.5200000000004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395.16160000000002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172.88320000000002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4371.4752000000008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26.525172610169491</v>
      </c>
      <c r="P10" s="311">
        <f t="shared" si="2"/>
        <v>5331.5596946440683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49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768.81355932203394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21.844259796610171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4.9000000000000004</v>
      </c>
      <c r="H16" s="113">
        <f t="shared" ref="H16:M16" si="3">SUM(H7:H15)</f>
        <v>196</v>
      </c>
      <c r="I16" s="114">
        <f t="shared" si="3"/>
        <v>13188.21</v>
      </c>
      <c r="J16" s="274">
        <f>SUM(J7:J15)</f>
        <v>1055.0568000000001</v>
      </c>
      <c r="K16" s="275">
        <f t="shared" si="3"/>
        <v>461.58735000000001</v>
      </c>
      <c r="L16" s="276">
        <f t="shared" si="3"/>
        <v>0</v>
      </c>
      <c r="M16" s="232">
        <f t="shared" si="3"/>
        <v>11671.565850000001</v>
      </c>
      <c r="N16" s="233">
        <f>SUM(N7:N15)</f>
        <v>2492.5423728813557</v>
      </c>
      <c r="O16" s="101">
        <f>SUM(O7:O15)</f>
        <v>70.82054111440678</v>
      </c>
      <c r="P16" s="113">
        <f>SUM(P7:P15)</f>
        <v>14234.928763995762</v>
      </c>
      <c r="Q16" s="128">
        <f>SUM(Q7:Q15)</f>
        <v>113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13188.21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1055.0568000000001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461.58735000000001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11671.565849999999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2492.5423728813557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14164.108222881354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70.82054111440678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14234.92876399576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14234.928763995764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7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119">
        <f t="shared" si="5"/>
        <v>1411.2952132881355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1542.8735999999999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</v>
      </c>
      <c r="I21" s="236">
        <f t="shared" si="0"/>
        <v>2033.92</v>
      </c>
      <c r="J21" s="272">
        <f t="shared" si="1"/>
        <v>162.71360000000001</v>
      </c>
      <c r="K21" s="128">
        <f t="shared" si="1"/>
        <v>71.187200000000004</v>
      </c>
      <c r="L21" s="119">
        <f t="shared" si="1"/>
        <v>0</v>
      </c>
      <c r="M21" s="230">
        <f t="shared" si="2"/>
        <v>1800.0192000000002</v>
      </c>
      <c r="N21" s="277">
        <f t="shared" si="3"/>
        <v>384.40677966101697</v>
      </c>
      <c r="O21" s="239">
        <f t="shared" si="4"/>
        <v>10.922129898305085</v>
      </c>
      <c r="P21" s="119">
        <f t="shared" si="5"/>
        <v>2195.3481095593224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12" sqref="I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2026-10-16T12:41:08Z</dcterms:modified>
</cp:coreProperties>
</file>