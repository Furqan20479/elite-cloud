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E164DC0B-6FF2-4C67-A74D-5219785407DC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0" l="1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L20" i="48"/>
  <c r="J20" i="48"/>
  <c r="K20" i="53"/>
  <c r="L20" i="53"/>
  <c r="M20" i="53" s="1"/>
  <c r="O20" i="53" s="1"/>
  <c r="P20" i="53" s="1"/>
  <c r="J20" i="53"/>
  <c r="K20" i="43"/>
  <c r="L20" i="43"/>
  <c r="M20" i="43"/>
  <c r="O20" i="43" s="1"/>
  <c r="P20" i="43" s="1"/>
  <c r="J20" i="43"/>
  <c r="K20" i="57"/>
  <c r="J20" i="57"/>
  <c r="L20" i="57"/>
  <c r="M20" i="57" s="1"/>
  <c r="O20" i="57" s="1"/>
  <c r="P20" i="57" s="1"/>
  <c r="K20" i="61"/>
  <c r="J20" i="61"/>
  <c r="L20" i="61"/>
  <c r="M20" i="61"/>
  <c r="O20" i="61" s="1"/>
  <c r="P20" i="61" s="1"/>
  <c r="K20" i="71"/>
  <c r="J20" i="71"/>
  <c r="M20" i="71" s="1"/>
  <c r="O20" i="71" s="1"/>
  <c r="P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6" i="44" l="1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M20" i="65"/>
  <c r="O20" i="65" s="1"/>
  <c r="P20" i="65" s="1"/>
  <c r="M20" i="64"/>
  <c r="O20" i="64" s="1"/>
  <c r="P20" i="64" s="1"/>
  <c r="M20" i="52"/>
  <c r="M20" i="66"/>
  <c r="O20" i="66" s="1"/>
  <c r="P20" i="66" s="1"/>
  <c r="M20" i="59"/>
  <c r="O20" i="59" s="1"/>
  <c r="P20" i="59" s="1"/>
  <c r="M20" i="54"/>
  <c r="O20" i="54" s="1"/>
  <c r="P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M20" i="58"/>
  <c r="O20" i="58" s="1"/>
  <c r="P20" i="58" s="1"/>
  <c r="J25" i="47"/>
  <c r="P29" i="47" s="1"/>
  <c r="M20" i="55"/>
  <c r="O20" i="55" s="1"/>
  <c r="P20" i="55" s="1"/>
  <c r="M20" i="56"/>
  <c r="O20" i="56" s="1"/>
  <c r="P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25" i="52" l="1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<sst xmlns="http://schemas.openxmlformats.org/spreadsheetml/2006/main" count="3948" uniqueCount="526">
  <si>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</si>
  <si>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</si>
  <si>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</si>
  <si>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</si>
  <si>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</si>
  <si>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</si>
  <si>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</si>
  <si>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</si>
  <si>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</si>
  <si>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</si>
  <si>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</si>
  <si>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</si>
  <si>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</si>
  <si>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</si>
  <si>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</si>
  <si>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</si>
  <si>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</si>
  <si>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</si>
  <si>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</si>
  <si>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</si>
  <si>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</si>
  <si>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</si>
  <si>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</si>
  <si>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</si>
  <si>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</si>
  <si>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</si>
  <si>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</si>
  <si>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</si>
  <si>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</si>
  <si>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</si>
  <si>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</si>
  <si>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</si>
  <si>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</si>
  <si>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</si>
  <si>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</si>
  <si>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</si>
  <si>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</si>
  <si>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</si>
  <si>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</si>
  <si>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</si>
  <si>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</si>
  <si>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</si>
  <si>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</si>
  <si>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</si>
  <si>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</si>
  <si>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</si>
  <si>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</si>
  <si>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</si>
  <si>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</si>
  <si>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</si>
  <si>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</si>
  <si>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</si>
  <si>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</si>
  <si>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</si>
  <si>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</si>
  <si>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</si>
  <si>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</si>
  <si>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</si>
  <si>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</si>
  <si>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</si>
  <si>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</si>
  <si>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</si>
  <si>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</si>
  <si>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</si>
  <si>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</si>
  <si>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</si>
  <si>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</si>
  <si>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</si>
  <si>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</si>
  <si>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</si>
  <si>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</si>
  <si>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</si>
  <si>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</si>
  <si>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</si>
  <si>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</si>
  <si>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</si>
  <si>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</si>
  <si>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</si>
  <si>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</si>
  <si>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</si>
  <si>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</si>
  <si>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</si>
  <si>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</si>
  <si>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</si>
  <si>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</si>
  <si>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</si>
  <si>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</si>
  <si>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</si>
  <si>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</si>
  <si>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</si>
  <si>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</si>
  <si>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</si>
  <si>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</si>
  <si>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</si>
  <si>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</si>
  <si>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</si>
  <si>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</si>
  <si>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</si>
  <si>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</si>
  <si>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</si>
  <si>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</si>
  <si>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</si>
  <si>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</si>
  <si>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</si>
  <si>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</si>
  <si>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</si>
  <si>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</si>
  <si>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</si>
  <si>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</si>
  <si>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</si>
  <si>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</si>
  <si>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</si>
  <si>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</si>
  <si>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</si>
  <si>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</si>
  <si>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</si>
  <si>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</si>
  <si>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</si>
  <si>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</si>
  <si>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</si>
  <si>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</si>
  <si>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</si>
  <si>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</si>
  <si>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</si>
  <si>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</si>
  <si>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</si>
  <si>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</si>
  <si>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</si>
  <si>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</si>
  <si>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</si>
  <si>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</si>
  <si>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</si>
  <si>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</si>
  <si>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</si>
  <si>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</si>
  <si>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</si>
  <si>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</si>
  <si>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</si>
  <si>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</si>
  <si>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</si>
  <si>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</si>
  <si>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</si>
  <si>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</si>
  <si>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</si>
  <si>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</si>
  <si>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</si>
  <si>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</si>
  <si>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</si>
  <si>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</si>
  <si>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</si>
  <si>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</si>
  <si>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</si>
  <si>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</si>
  <si>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</si>
  <si>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</si>
  <si>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</si>
  <si>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</si>
  <si>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</si>
  <si>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</si>
  <si>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</si>
  <si>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</si>
  <si>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</si>
  <si>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</si>
  <si>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</si>
  <si>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</si>
  <si>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</si>
  <si>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</si>
  <si>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</si>
  <si>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</si>
  <si>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</si>
  <si>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</si>
  <si>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</si>
  <si>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</si>
  <si>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</si>
  <si>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</si>
  <si>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</si>
  <si>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</si>
  <si>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</si>
  <si>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</si>
  <si>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</si>
  <si>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</si>
  <si>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</si>
  <si>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</si>
  <si>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</si>
  <si>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</si>
  <si>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</si>
  <si>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</si>
  <si>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</si>
  <si>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</si>
  <si>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</si>
  <si>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</si>
  <si>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</si>
  <si>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</si>
  <si>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</si>
  <si>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</si>
  <si>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</si>
  <si>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</si>
  <si>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</si>
  <si>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</si>
  <si>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</si>
  <si>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</si>
  <si>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</si>
  <si>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</si>
  <si>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</si>
  <si>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</si>
  <si>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</si>
  <si>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</si>
  <si>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</si>
  <si>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</si>
  <si>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</si>
  <si>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</si>
  <si>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</si>
  <si>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</si>
  <si>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</si>
  <si>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</si>
  <si>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</si>
  <si>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</si>
  <si>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</si>
  <si>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</si>
  <si>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</si>
  <si>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</si>
  <si>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</si>
  <si>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</si>
  <si>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</si>
  <si>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</si>
  <si>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</si>
  <si>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</si>
  <si>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</si>
  <si>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</si>
  <si>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</si>
  <si>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</si>
  <si>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</si>
  <si>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</si>
  <si>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</si>
  <si>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</si>
  <si>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</si>
  <si>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</si>
  <si>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</si>
  <si>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</si>
  <si>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</si>
  <si>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</si>
  <si>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</si>
  <si>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</si>
  <si>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</si>
  <si>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</si>
  <si>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</si>
  <si>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</si>
  <si>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</si>
  <si>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</si>
  <si>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</si>
  <si>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</si>
  <si>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</si>
  <si>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</si>
  <si>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</si>
  <si>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</si>
  <si>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</si>
  <si>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</si>
  <si>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</si>
  <si>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</si>
  <si>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</si>
  <si>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</si>
  <si>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</si>
  <si>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</si>
  <si>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</si>
  <si>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</si>
  <si>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</si>
  <si>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</si>
  <si>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</si>
  <si>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</si>
  <si>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</si>
  <si>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</si>
  <si>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</si>
  <si>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</si>
  <si>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</si>
  <si>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</si>
  <si>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</si>
  <si>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</si>
  <si>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</si>
  <si>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</si>
  <si>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</si>
  <si>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</si>
  <si>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</si>
  <si>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</si>
  <si>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</si>
  <si>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</si>
  <si>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</si>
  <si>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</si>
  <si>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</si>
  <si>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</si>
  <si>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</si>
  <si>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</si>
  <si>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</si>
  <si>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</si>
  <si>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</si>
  <si>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</si>
  <si>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</si>
  <si>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</si>
  <si>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</si>
  <si>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</si>
  <si>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</si>
  <si>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</si>
  <si>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</si>
  <si>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</si>
  <si>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</si>
  <si>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</si>
  <si>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</si>
  <si>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</si>
  <si>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</si>
  <si>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</si>
  <si>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</si>
  <si>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</si>
  <si>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</si>
  <si>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</si>
  <si>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</si>
  <si>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</si>
  <si>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</si>
  <si>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</si>
  <si>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</si>
  <si>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</si>
  <si>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</si>
  <si>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</si>
  <si>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</si>
  <si>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</si>
  <si>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</si>
  <si>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</si>
  <si>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</si>
  <si>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</si>
  <si>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</si>
  <si>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</si>
  <si>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</si>
  <si>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</si>
  <si>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</si>
  <si>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</si>
  <si>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</si>
  <si>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</si>
  <si>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</si>
  <si>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</si>
  <si>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</si>
  <si>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</si>
  <si>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</si>
  <si>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</si>
  <si>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</si>
  <si>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</si>
  <si>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</si>
  <si>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</si>
  <si>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</si>
  <si>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</si>
  <si>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</si>
  <si>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</si>
  <si>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</si>
  <si>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</si>
  <si>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</si>
  <si>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</si>
  <si>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</si>
  <si>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</si>
  <si>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</si>
  <si>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</si>
  <si>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</si>
  <si>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</si>
  <si>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</si>
  <si>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</si>
  <si>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</si>
  <si>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</si>
  <si>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</si>
  <si>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</si>
  <si>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</si>
  <si>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</si>
  <si>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</si>
  <si>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</si>
  <si>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</si>
  <si>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</si>
  <si>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</si>
  <si>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</si>
  <si>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</si>
  <si>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</si>
  <si>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</si>
  <si>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</si>
  <si>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</si>
  <si>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</si>
  <si>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</si>
  <si>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</si>
  <si>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</si>
  <si>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</si>
  <si>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</si>
  <si>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</si>
  <si>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</si>
  <si>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</si>
  <si>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</si>
  <si>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</si>
  <si>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</si>
  <si>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</si>
  <si>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</si>
  <si>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</si>
  <si>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</si>
  <si>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</si>
  <si>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</si>
  <si>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</si>
  <si>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</si>
  <si>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</si>
  <si>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</si>
  <si>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</si>
  <si>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</si>
  <si>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</si>
  <si>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</si>
  <si>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</si>
  <si>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</si>
  <si>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</si>
  <si>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</si>
  <si>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</si>
  <si>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</si>
  <si>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</si>
  <si>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</si>
  <si>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</si>
  <si>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</si>
  <si>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</si>
  <si>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</si>
  <si>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</si>
  <si>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</si>
  <si>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</si>
  <si>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</si>
  <si>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</si>
  <si>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</si>
  <si>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</si>
  <si>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</si>
  <si>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</si>
  <si>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</si>
  <si>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</si>
  <si>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</si>
  <si>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</si>
  <si>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</si>
  <si>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</si>
  <si>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</si>
  <si>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</si>
  <si>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</si>
  <si>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</si>
  <si>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</si>
  <si>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</si>
  <si>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</si>
  <si>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</si>
  <si>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</si>
  <si>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</si>
  <si>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</si>
  <si>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</si>
  <si>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</si>
  <si>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</si>
  <si>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</si>
  <si>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</si>
  <si>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</si>
  <si>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</si>
  <si>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</si>
  <si>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</si>
  <si>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</si>
  <si>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</si>
  <si>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</si>
  <si>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</si>
  <si>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</si>
  <si>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</si>
  <si>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</si>
  <si>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</si>
  <si>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</si>
  <si>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</si>
  <si>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</si>
  <si>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</si>
  <si>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</si>
  <si>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</si>
  <si>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</si>
  <si>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</si>
  <si>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</si>
  <si>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</si>
  <si>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</si>
  <si>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</si>
  <si>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</si>
  <si>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</si>
  <si>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</si>
  <si>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</si>
  <si>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</si>
  <si>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</si>
  <si>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</si>
  <si>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</si>
  <si>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</si>
  <si>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</si>
  <si>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</si>
  <si>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</si>
  <si>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</si>
  <si>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</si>
  <si>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</si>
  <si>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</si>
  <si>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</si>
  <si>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</si>
  <si>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</si>
  <si>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</si>
  <si>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</si>
  <si>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</si>
  <si>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</si>
  <si>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</si>
  <si>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</si>
  <si>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</si>
  <si>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</si>
  <si>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</si>
  <si>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</si>
  <si>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</si>
  <si>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</si>
  <si>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</si>
  <si>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</si>
  <si>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</si>
  <si>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</si>
  <si>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</si>
  <si>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</si>
  <si>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</si>
  <si>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</si>
  <si>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</si>
  <si>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</si>
  <si>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</si>
  <si>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</si>
  <si>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Furqan</t>
  </si>
  <si>
    <t>Address: Cavalery Ground 7 Street</t>
  </si>
  <si>
    <t xml:space="preserve">Al Harmain </t>
  </si>
  <si>
    <t xml:space="preserve">K Mart </t>
  </si>
  <si>
    <t xml:space="preserve">Address: Mian chowk 7 street Near Shifah Hospital </t>
  </si>
  <si>
    <t>Mughal GS</t>
  </si>
  <si>
    <t>S Mukhtar Store</t>
  </si>
  <si>
    <t>Sk Super store</t>
  </si>
  <si>
    <t xml:space="preserve">Address: Qanchi Amer Sidhu </t>
  </si>
  <si>
    <t>Haji Hassan Deen Store</t>
  </si>
  <si>
    <t>Noor Gs</t>
  </si>
  <si>
    <t xml:space="preserve">Address: Bulley Shah Road Near Noor Masjid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</si>
</sst>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A30" workbookViewId="0">
      <selection activeCell="I36" sqref="I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9" t="s">
        <v>91</v>
      </c>
      <c r="B2" s="369"/>
      <c r="C2" s="369"/>
      <c r="E2" s="356" t="s">
        <v>498</v>
      </c>
      <c r="F2" s="357"/>
      <c r="G2" s="357"/>
      <c r="H2" s="354" t="s">
        <v>514</v>
      </c>
      <c r="I2" s="354"/>
      <c r="J2" s="355"/>
      <c r="R2" s="351" t="s">
        <v>497</v>
      </c>
      <c r="S2" s="352"/>
      <c r="T2" s="353"/>
    </row>
    <row r="3" spans="1:20 16377:16378" ht="21.75" customHeight="1" thickBot="1" x14ac:dyDescent="0.4">
      <c r="A3" s="370" t="s">
        <v>92</v>
      </c>
      <c r="B3" s="370"/>
      <c r="C3" s="370"/>
      <c r="E3" s="360" t="s">
        <v>508</v>
      </c>
      <c r="F3" s="361"/>
      <c r="G3" s="361"/>
      <c r="H3" s="358">
        <v>46309</v>
      </c>
      <c r="I3" s="358"/>
      <c r="J3" s="359"/>
      <c r="K3" s="371" t="s">
        <v>43</v>
      </c>
      <c r="L3" s="371"/>
      <c r="M3" s="371"/>
      <c r="N3" s="370"/>
      <c r="O3" s="370"/>
      <c r="P3" s="370"/>
      <c r="R3" s="299">
        <v>1</v>
      </c>
      <c r="S3" s="300" t="str">
        <f>+'1'!A6:A6</f>
        <v xml:space="preserve">Al Harmain </v>
      </c>
      <c r="T3" s="301">
        <f>+'1'!P35</f>
        <v>1881.7269510508474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 xml:space="preserve">K Mart </v>
      </c>
      <c r="T4" s="301">
        <f>+'2'!P35</f>
        <v>10802.526335847459</v>
      </c>
      <c r="XEX4" t="s">
        <v>105</v>
      </c>
    </row>
    <row r="5" spans="1:20 16377:16378" ht="21.75" customHeight="1" thickBot="1" x14ac:dyDescent="0.4">
      <c r="A5" s="390" t="s">
        <v>51</v>
      </c>
      <c r="B5" s="362"/>
      <c r="C5" s="392" t="s">
        <v>90</v>
      </c>
      <c r="D5" s="115" t="s">
        <v>52</v>
      </c>
      <c r="E5" s="394" t="s">
        <v>58</v>
      </c>
      <c r="F5" s="395"/>
      <c r="G5" s="367" t="s">
        <v>54</v>
      </c>
      <c r="H5" s="368"/>
      <c r="I5" s="396" t="s">
        <v>77</v>
      </c>
      <c r="J5" s="366" t="s">
        <v>55</v>
      </c>
      <c r="K5" s="367"/>
      <c r="L5" s="368"/>
      <c r="M5" s="362" t="s">
        <v>84</v>
      </c>
      <c r="N5" s="364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Mughal GS</v>
      </c>
      <c r="T5" s="301">
        <f>+'3'!P35</f>
        <v>679.51547485169476</v>
      </c>
      <c r="XEX5" t="s">
        <v>106</v>
      </c>
    </row>
    <row r="6" spans="1:20 16377:16378" ht="21.75" customHeight="1" thickBot="1" x14ac:dyDescent="0.4">
      <c r="A6" s="391"/>
      <c r="B6" s="363"/>
      <c r="C6" s="393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5"/>
      <c r="J6" s="143" t="s">
        <v>59</v>
      </c>
      <c r="K6" s="144" t="s">
        <v>39</v>
      </c>
      <c r="L6" s="145" t="s">
        <v>493</v>
      </c>
      <c r="M6" s="363"/>
      <c r="N6" s="365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S Mukhtar Store</v>
      </c>
      <c r="T6" s="301">
        <f>+'4'!P35</f>
        <v>3136.2115850847463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92</v>
      </c>
      <c r="I7" s="235">
        <f>(G7*D7)*F7+H7*F7</f>
        <v>4826.55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386.12399999999997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168.92925000000002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4271.4967500000002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912.20338983050806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25.918500699152542</v>
      </c>
      <c r="P7" s="310">
        <f>M7+N7+O7</f>
        <v>5209.6186405296612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Sk Super store</v>
      </c>
      <c r="T7" s="301">
        <f>+'5'!P35</f>
        <v>3136.2115850847458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9</v>
      </c>
      <c r="I8" s="236">
        <f t="shared" ref="I8:I14" si="0">(G8*D8)*F8+H8*F8</f>
        <v>472.16249999999997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37.772999999999996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16.5256875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417.86381249999999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89.23728813559319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2.5355055031779656</v>
      </c>
      <c r="P8" s="311">
        <f t="shared" ref="P8:P15" si="2">M8+N8+O8</f>
        <v>509.63660613877113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Haji Hassan Deen Store</v>
      </c>
      <c r="T8" s="301">
        <f>+'6'!P35</f>
        <v>574.97360630720334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15</v>
      </c>
      <c r="I9" s="236">
        <f t="shared" si="0"/>
        <v>786.9375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62.954999999999998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27.5428125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696.43968749999999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148.72881355932196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4.22584250529661</v>
      </c>
      <c r="P9" s="311">
        <f t="shared" si="2"/>
        <v>849.39434356461845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Noor Gs</v>
      </c>
      <c r="T9" s="301">
        <f>+'7'!P35</f>
        <v>1489.7049500402541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117</v>
      </c>
      <c r="I10" s="236">
        <f t="shared" si="0"/>
        <v>8498.8799999999992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679.91039999999998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297.46080000000001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7521.5087999999996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1606.2711864406781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45.638899932203394</v>
      </c>
      <c r="P10" s="311">
        <f t="shared" si="2"/>
        <v>9173.4188863728796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20</v>
      </c>
      <c r="I11" s="236">
        <f t="shared" si="0"/>
        <v>1452.8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116.22400000000002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50.848000000000006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1285.7279999999998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274.57627118644069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7.8015213559322039</v>
      </c>
      <c r="P11" s="311">
        <f t="shared" si="2"/>
        <v>1568.1057925423727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56</v>
      </c>
      <c r="I12" s="236">
        <f t="shared" si="0"/>
        <v>4067.84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325.42720000000003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142.37440000000001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3600.0384000000004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768.81355932203394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21.844259796610171</v>
      </c>
      <c r="P12" s="311">
        <f t="shared" si="2"/>
        <v>4390.6962191186449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72">
        <f>COUNT(A7:A15)</f>
        <v>0</v>
      </c>
      <c r="B16" s="373"/>
      <c r="C16" s="373" t="s">
        <v>40</v>
      </c>
      <c r="D16" s="373"/>
      <c r="E16" s="373"/>
      <c r="F16" s="374"/>
      <c r="G16" s="117">
        <f>H16/40</f>
        <v>7.7249999999999996</v>
      </c>
      <c r="H16" s="113">
        <f t="shared" ref="H16:M16" si="3">SUM(H7:H15)</f>
        <v>309</v>
      </c>
      <c r="I16" s="114">
        <f t="shared" si="3"/>
        <v>20105.169999999998</v>
      </c>
      <c r="J16" s="274">
        <f>SUM(J7:J15)</f>
        <v>1608.4135999999999</v>
      </c>
      <c r="K16" s="275">
        <f t="shared" si="3"/>
        <v>703.68095000000005</v>
      </c>
      <c r="L16" s="276">
        <f t="shared" si="3"/>
        <v>0</v>
      </c>
      <c r="M16" s="232">
        <f t="shared" si="3"/>
        <v>17793.07545</v>
      </c>
      <c r="N16" s="233">
        <f>SUM(N7:N15)</f>
        <v>3799.8305084745762</v>
      </c>
      <c r="O16" s="101">
        <f>SUM(O7:O15)</f>
        <v>107.9645297923729</v>
      </c>
      <c r="P16" s="113">
        <f>SUM(P7:P15)</f>
        <v>21700.870488266948</v>
      </c>
      <c r="Q16" s="128">
        <f>SUM(Q7:Q15)</f>
        <v>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75" t="s">
        <v>64</v>
      </c>
      <c r="C19" s="376"/>
      <c r="D19" s="376"/>
      <c r="E19" s="376"/>
      <c r="F19" s="376"/>
      <c r="G19" s="376"/>
      <c r="H19" s="376"/>
      <c r="I19" s="376"/>
      <c r="J19" s="376"/>
      <c r="K19" s="376"/>
      <c r="L19" s="377"/>
      <c r="N19" s="384" t="s">
        <v>60</v>
      </c>
      <c r="O19" s="385"/>
      <c r="P19" s="139">
        <f>I16</f>
        <v>20105.169999999998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78"/>
      <c r="C20" s="379"/>
      <c r="D20" s="379"/>
      <c r="E20" s="379"/>
      <c r="F20" s="379"/>
      <c r="G20" s="379"/>
      <c r="H20" s="379"/>
      <c r="I20" s="379"/>
      <c r="J20" s="379"/>
      <c r="K20" s="379"/>
      <c r="L20" s="380"/>
      <c r="N20" s="386" t="s">
        <v>85</v>
      </c>
      <c r="O20" s="387"/>
      <c r="P20" s="140">
        <f>+J16</f>
        <v>1608.4135999999999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78"/>
      <c r="C21" s="379"/>
      <c r="D21" s="379"/>
      <c r="E21" s="379"/>
      <c r="F21" s="379"/>
      <c r="G21" s="379"/>
      <c r="H21" s="379"/>
      <c r="I21" s="379"/>
      <c r="J21" s="379"/>
      <c r="K21" s="379"/>
      <c r="L21" s="380"/>
      <c r="N21" s="386" t="s">
        <v>86</v>
      </c>
      <c r="O21" s="387"/>
      <c r="P21" s="140">
        <f>+K16+L16</f>
        <v>703.68095000000005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78"/>
      <c r="C22" s="379"/>
      <c r="D22" s="379"/>
      <c r="E22" s="379"/>
      <c r="F22" s="379"/>
      <c r="G22" s="379"/>
      <c r="H22" s="379"/>
      <c r="I22" s="379"/>
      <c r="J22" s="379"/>
      <c r="K22" s="379"/>
      <c r="L22" s="380"/>
      <c r="M22" s="131"/>
      <c r="N22" s="386" t="s">
        <v>87</v>
      </c>
      <c r="O22" s="387"/>
      <c r="P22" s="140">
        <f>P19-P20-P21</f>
        <v>17793.075449999997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78"/>
      <c r="C23" s="379"/>
      <c r="D23" s="379"/>
      <c r="E23" s="379"/>
      <c r="F23" s="379"/>
      <c r="G23" s="379"/>
      <c r="H23" s="379"/>
      <c r="I23" s="379"/>
      <c r="J23" s="379"/>
      <c r="K23" s="379"/>
      <c r="L23" s="380"/>
      <c r="M23" s="131"/>
      <c r="N23" s="136" t="s">
        <v>61</v>
      </c>
      <c r="O23" s="133">
        <v>0.18</v>
      </c>
      <c r="P23" s="140">
        <f>+N16</f>
        <v>3799.8305084745762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78"/>
      <c r="C24" s="379"/>
      <c r="D24" s="379"/>
      <c r="E24" s="379"/>
      <c r="F24" s="379"/>
      <c r="G24" s="379"/>
      <c r="H24" s="379"/>
      <c r="I24" s="379"/>
      <c r="J24" s="379"/>
      <c r="K24" s="379"/>
      <c r="L24" s="380"/>
      <c r="M24" s="131"/>
      <c r="N24" s="388" t="s">
        <v>76</v>
      </c>
      <c r="O24" s="389"/>
      <c r="P24" s="140">
        <f>P22+P23</f>
        <v>21592.905958474574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81"/>
      <c r="C25" s="382"/>
      <c r="D25" s="382"/>
      <c r="E25" s="382"/>
      <c r="F25" s="382"/>
      <c r="G25" s="382"/>
      <c r="H25" s="382"/>
      <c r="I25" s="382"/>
      <c r="J25" s="382"/>
      <c r="K25" s="382"/>
      <c r="L25" s="383"/>
      <c r="M25" s="99"/>
      <c r="N25" s="138" t="s">
        <v>83</v>
      </c>
      <c r="O25" s="137" t="e">
        <f>IF(#REF!="Filer",0.5%,2.5%)</f>
        <v>#REF!</v>
      </c>
      <c r="P25" s="140">
        <f>+O16</f>
        <v>107.9645297923729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45" t="s">
        <v>88</v>
      </c>
      <c r="O26" s="346"/>
      <c r="P26" s="297">
        <f>+P24+P25</f>
        <v>21700.870488266948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7"/>
      <c r="D27" s="347"/>
      <c r="E27" s="347"/>
      <c r="F27" s="347"/>
      <c r="G27" s="347"/>
      <c r="H27" s="347"/>
      <c r="I27" s="348"/>
      <c r="J27" s="349"/>
      <c r="K27" s="350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21700.870488266952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21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Summary!H3</f>
        <v>46309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46308</v>
      </c>
      <c r="O5" s="370"/>
      <c r="P5" s="370"/>
      <c r="R5" s="85"/>
      <c r="S5" s="266"/>
    </row>
    <row r="6" spans="1:22 16383:16384" ht="17.25" customHeight="1" x14ac:dyDescent="0.4">
      <c r="A6" s="399" t="s">
        <v>516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6</v>
      </c>
      <c r="I20" s="236">
        <f t="shared" si="7"/>
        <v>435.84000000000003</v>
      </c>
      <c r="J20" s="272">
        <f t="shared" si="1"/>
        <v>34.867200000000004</v>
      </c>
      <c r="K20" s="128">
        <f t="shared" si="1"/>
        <v>15.254400000000002</v>
      </c>
      <c r="L20" s="119">
        <f t="shared" si="1"/>
        <v>0</v>
      </c>
      <c r="M20" s="230">
        <f t="shared" si="2"/>
        <v>385.71840000000003</v>
      </c>
      <c r="N20" s="277">
        <f t="shared" si="3"/>
        <v>82.372881355932208</v>
      </c>
      <c r="O20" s="239">
        <f t="shared" si="4"/>
        <v>2.3404564067796612</v>
      </c>
      <c r="P20" s="119">
        <f t="shared" si="5"/>
        <v>470.43173776271186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18</v>
      </c>
      <c r="I21" s="236">
        <f t="shared" si="7"/>
        <v>1307.52</v>
      </c>
      <c r="J21" s="272">
        <f t="shared" si="1"/>
        <v>104.6016</v>
      </c>
      <c r="K21" s="128">
        <f t="shared" si="1"/>
        <v>45.763200000000005</v>
      </c>
      <c r="L21" s="119">
        <f t="shared" si="1"/>
        <v>0</v>
      </c>
      <c r="M21" s="230">
        <f t="shared" si="2"/>
        <v>1157.1551999999999</v>
      </c>
      <c r="N21" s="277">
        <f t="shared" si="3"/>
        <v>247.11864406779662</v>
      </c>
      <c r="O21" s="239">
        <f t="shared" si="4"/>
        <v>7.0213692203389826</v>
      </c>
      <c r="P21" s="119">
        <f t="shared" si="5"/>
        <v>1411.2952132881355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" si="8">SUM(G16:G24)</f>
        <v>0</v>
      </c>
      <c r="H25" s="113">
        <f t="shared" ref="H25" si="9">SUM(H16:H24)</f>
        <v>24</v>
      </c>
      <c r="I25" s="114">
        <f t="shared" ref="I25:M25" si="10">SUM(I16:I24)</f>
        <v>1743.3600000000001</v>
      </c>
      <c r="J25" s="274">
        <f>SUM(J16:J24)</f>
        <v>139.46880000000002</v>
      </c>
      <c r="K25" s="275">
        <f t="shared" si="10"/>
        <v>61.017600000000009</v>
      </c>
      <c r="L25" s="276">
        <f t="shared" si="10"/>
        <v>0</v>
      </c>
      <c r="M25" s="232">
        <f t="shared" si="10"/>
        <v>1542.8735999999999</v>
      </c>
      <c r="N25" s="233">
        <f>SUM(N16:N24)</f>
        <v>329.49152542372883</v>
      </c>
      <c r="O25" s="101">
        <f>SUM(O16:O24)</f>
        <v>9.3618256271186446</v>
      </c>
      <c r="P25" s="234">
        <f>SUM(P16:P24)</f>
        <v>1881.7269510508474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1743.3600000000001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139.46880000000002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61.017600000000009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1542.8736000000001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329.49152542372883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1872.3651254237288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9.3618256271186446</v>
      </c>
    </row>
    <row r="35" spans="2:16" ht="15.75" customHeight="1" thickBot="1" x14ac:dyDescent="0.4">
      <c r="N35" s="345" t="s">
        <v>88</v>
      </c>
      <c r="O35" s="346"/>
      <c r="P35" s="297">
        <f>+P33+P34</f>
        <v>1881.7269510508474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2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46308</v>
      </c>
      <c r="O5" s="370"/>
      <c r="P5" s="370"/>
      <c r="R5" s="85"/>
      <c r="S5" s="266"/>
    </row>
    <row r="6" spans="1:22 16383:16384" ht="15" customHeight="1" x14ac:dyDescent="0.4">
      <c r="A6" s="399" t="s">
        <v>517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518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80</v>
      </c>
      <c r="I16" s="235">
        <f>(G16*D16)*F16+H16*F16</f>
        <v>4197</v>
      </c>
      <c r="J16" s="271">
        <f>$I16*S16</f>
        <v>335.76</v>
      </c>
      <c r="K16" s="127">
        <f>$I16*T16</f>
        <v>146.89500000000001</v>
      </c>
      <c r="L16" s="118">
        <f>$I16*U16</f>
        <v>0</v>
      </c>
      <c r="M16" s="229">
        <f>I16-SUM(J16:L16)</f>
        <v>3714.3450000000003</v>
      </c>
      <c r="N16" s="248">
        <f>+(G16*D16+H16)*V16</f>
        <v>793.22033898305051</v>
      </c>
      <c r="O16" s="238">
        <f>(N16+M16)*$O$15</f>
        <v>22.537826694915253</v>
      </c>
      <c r="P16" s="118">
        <f>M16+N16+O16</f>
        <v>4530.103165677966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80</v>
      </c>
      <c r="I19" s="236">
        <f t="shared" si="0"/>
        <v>5811.2</v>
      </c>
      <c r="J19" s="272">
        <f t="shared" si="1"/>
        <v>464.89600000000002</v>
      </c>
      <c r="K19" s="128">
        <f t="shared" si="1"/>
        <v>203.39200000000002</v>
      </c>
      <c r="L19" s="119">
        <f t="shared" si="1"/>
        <v>0</v>
      </c>
      <c r="M19" s="230">
        <f t="shared" si="2"/>
        <v>5142.9120000000003</v>
      </c>
      <c r="N19" s="277">
        <f t="shared" si="3"/>
        <v>1098.3050847457628</v>
      </c>
      <c r="O19" s="239">
        <f t="shared" si="4"/>
        <v>31.206085423728815</v>
      </c>
      <c r="P19" s="119">
        <f t="shared" si="5"/>
        <v>6272.4231701694916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160</v>
      </c>
      <c r="I25" s="114">
        <f t="shared" si="7"/>
        <v>10008.200000000001</v>
      </c>
      <c r="J25" s="274">
        <f>SUM(J16:J24)</f>
        <v>800.65599999999995</v>
      </c>
      <c r="K25" s="275">
        <f t="shared" si="7"/>
        <v>350.28700000000003</v>
      </c>
      <c r="L25" s="276">
        <f t="shared" si="7"/>
        <v>0</v>
      </c>
      <c r="M25" s="232">
        <f t="shared" si="7"/>
        <v>8857.2570000000014</v>
      </c>
      <c r="N25" s="233">
        <f>SUM(N16:N24)</f>
        <v>1891.5254237288132</v>
      </c>
      <c r="O25" s="101">
        <f>SUM(O16:O24)</f>
        <v>53.743912118644069</v>
      </c>
      <c r="P25" s="234">
        <f>SUM(P16:P24)</f>
        <v>10802.526335847459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10008.200000000001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800.65599999999995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350.28700000000003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8857.2570000000014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1891.5254237288132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10748.782423728815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53.743912118644076</v>
      </c>
    </row>
    <row r="35" spans="2:16" ht="15.75" customHeight="1" thickBot="1" x14ac:dyDescent="0.4">
      <c r="N35" s="345" t="s">
        <v>88</v>
      </c>
      <c r="O35" s="346"/>
      <c r="P35" s="297">
        <f>+P33+P34</f>
        <v>10802.526335847459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46308</v>
      </c>
      <c r="O5" s="370"/>
      <c r="P5" s="370"/>
      <c r="R5" s="85"/>
      <c r="S5" s="266"/>
    </row>
    <row r="6" spans="1:22 16383:16384" ht="18.75" customHeight="1" x14ac:dyDescent="0.4">
      <c r="A6" s="399" t="s">
        <v>519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12</v>
      </c>
      <c r="I16" s="235">
        <f>(G16*D16)*F16+H16*F16</f>
        <v>629.54999999999995</v>
      </c>
      <c r="J16" s="271">
        <f>$I16*S16</f>
        <v>50.363999999999997</v>
      </c>
      <c r="K16" s="127">
        <f>$I16*T16</f>
        <v>22.03425</v>
      </c>
      <c r="L16" s="118">
        <f>$I16*U16</f>
        <v>0</v>
      </c>
      <c r="M16" s="229">
        <f>I16-SUM(J16:L16)</f>
        <v>557.15174999999999</v>
      </c>
      <c r="N16" s="248">
        <f>+(G16*D16+H16)*V16</f>
        <v>118.98305084745758</v>
      </c>
      <c r="O16" s="238">
        <f>(N16+M16)*$O$15</f>
        <v>3.3806740042372878</v>
      </c>
      <c r="P16" s="118">
        <f>M16+N16+O16</f>
        <v>679.51547485169488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12</v>
      </c>
      <c r="I25" s="114">
        <f t="shared" si="7"/>
        <v>629.54999999999995</v>
      </c>
      <c r="J25" s="274">
        <f>SUM(J16:J24)</f>
        <v>50.363999999999997</v>
      </c>
      <c r="K25" s="275">
        <f t="shared" si="7"/>
        <v>22.03425</v>
      </c>
      <c r="L25" s="276">
        <f t="shared" si="7"/>
        <v>0</v>
      </c>
      <c r="M25" s="232">
        <f t="shared" si="7"/>
        <v>557.15174999999999</v>
      </c>
      <c r="N25" s="233">
        <f>SUM(N16:N24)</f>
        <v>118.98305084745758</v>
      </c>
      <c r="O25" s="101">
        <f>SUM(O16:O24)</f>
        <v>3.3806740042372878</v>
      </c>
      <c r="P25" s="234">
        <f>SUM(P16:P24)</f>
        <v>679.51547485169488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629.54999999999995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50.363999999999997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22.03425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557.15174999999988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118.98305084745758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676.13480084745743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3.3806740042372874</v>
      </c>
    </row>
    <row r="35" spans="2:16" ht="15.75" customHeight="1" thickBot="1" x14ac:dyDescent="0.4">
      <c r="N35" s="345" t="s">
        <v>88</v>
      </c>
      <c r="O35" s="346"/>
      <c r="P35" s="297">
        <f>+P33+P34</f>
        <v>679.51547485169476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46308</v>
      </c>
      <c r="O5" s="370"/>
      <c r="P5" s="370"/>
      <c r="R5" s="85"/>
      <c r="S5" s="266"/>
    </row>
    <row r="6" spans="1:22 16383:16384" ht="15" customHeight="1" x14ac:dyDescent="0.4">
      <c r="A6" s="399" t="s">
        <v>520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8</v>
      </c>
      <c r="I19" s="236">
        <f t="shared" si="0"/>
        <v>581.12</v>
      </c>
      <c r="J19" s="272">
        <f t="shared" si="1"/>
        <v>46.489600000000003</v>
      </c>
      <c r="K19" s="128">
        <f t="shared" si="1"/>
        <v>20.339200000000002</v>
      </c>
      <c r="L19" s="119">
        <f t="shared" si="1"/>
        <v>0</v>
      </c>
      <c r="M19" s="230">
        <f t="shared" si="2"/>
        <v>514.2912</v>
      </c>
      <c r="N19" s="277">
        <f t="shared" si="3"/>
        <v>109.83050847457628</v>
      </c>
      <c r="O19" s="239">
        <f t="shared" si="4"/>
        <v>3.1206085423728815</v>
      </c>
      <c r="P19" s="119">
        <f t="shared" si="5"/>
        <v>627.24231701694919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</v>
      </c>
      <c r="I20" s="236">
        <f t="shared" si="0"/>
        <v>290.56</v>
      </c>
      <c r="J20" s="272">
        <f t="shared" si="1"/>
        <v>23.244800000000001</v>
      </c>
      <c r="K20" s="128">
        <f t="shared" si="1"/>
        <v>10.169600000000001</v>
      </c>
      <c r="L20" s="119">
        <f t="shared" si="1"/>
        <v>0</v>
      </c>
      <c r="M20" s="230">
        <f t="shared" si="2"/>
        <v>257.1456</v>
      </c>
      <c r="N20" s="277">
        <f t="shared" si="3"/>
        <v>54.915254237288138</v>
      </c>
      <c r="O20" s="239">
        <f t="shared" si="4"/>
        <v>1.5603042711864408</v>
      </c>
      <c r="P20" s="119">
        <f t="shared" si="5"/>
        <v>313.62115850847459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28</v>
      </c>
      <c r="I21" s="236">
        <f t="shared" si="0"/>
        <v>2033.92</v>
      </c>
      <c r="J21" s="272">
        <f t="shared" si="1"/>
        <v>162.71360000000001</v>
      </c>
      <c r="K21" s="128">
        <f t="shared" si="1"/>
        <v>71.187200000000004</v>
      </c>
      <c r="L21" s="119">
        <f t="shared" si="1"/>
        <v>0</v>
      </c>
      <c r="M21" s="230">
        <f t="shared" si="2"/>
        <v>1800.0192000000002</v>
      </c>
      <c r="N21" s="277">
        <f t="shared" si="3"/>
        <v>384.40677966101697</v>
      </c>
      <c r="O21" s="239">
        <f t="shared" si="4"/>
        <v>10.922129898305085</v>
      </c>
      <c r="P21" s="119">
        <f t="shared" si="5"/>
        <v>2195.3481095593224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40</v>
      </c>
      <c r="I25" s="114">
        <f t="shared" si="7"/>
        <v>2905.6000000000004</v>
      </c>
      <c r="J25" s="274">
        <f>SUM(J16:J24)</f>
        <v>232.44800000000004</v>
      </c>
      <c r="K25" s="275">
        <f t="shared" si="7"/>
        <v>101.696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3136.2115850847463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2905.6000000000004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232.44800000000004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101.696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2571.4560000000006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3120.6085423728819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15.603042711864409</v>
      </c>
    </row>
    <row r="35" spans="2:16" ht="15.75" customHeight="1" thickBot="1" x14ac:dyDescent="0.4">
      <c r="N35" s="345" t="s">
        <v>88</v>
      </c>
      <c r="O35" s="346"/>
      <c r="P35" s="297">
        <f>+P33+P34</f>
        <v>3136.2115850847463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46308</v>
      </c>
      <c r="O5" s="370"/>
      <c r="P5" s="370"/>
      <c r="R5" s="85"/>
      <c r="S5" s="266"/>
    </row>
    <row r="6" spans="1:22 16383:16384" ht="15" customHeight="1" x14ac:dyDescent="0.4">
      <c r="A6" s="399" t="s">
        <v>521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522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116.224</v>
      </c>
      <c r="K19" s="128">
        <f t="shared" si="1"/>
        <v>50.848000000000006</v>
      </c>
      <c r="L19" s="119">
        <f t="shared" si="1"/>
        <v>0</v>
      </c>
      <c r="M19" s="230">
        <f t="shared" si="2"/>
        <v>1285.7280000000001</v>
      </c>
      <c r="N19" s="277">
        <f t="shared" si="3"/>
        <v>274.57627118644069</v>
      </c>
      <c r="O19" s="239">
        <f t="shared" si="4"/>
        <v>7.8015213559322039</v>
      </c>
      <c r="P19" s="119">
        <f t="shared" si="5"/>
        <v>1568.1057925423729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232.44800000000001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2905.6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232.44800000000001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101.69600000000001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2571.4560000000001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3120.6085423728814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45" t="s">
        <v>88</v>
      </c>
      <c r="O35" s="346"/>
      <c r="P35" s="297">
        <f>+P33+P34</f>
        <v>3136.2115850847458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'1'!N4:P5</f>
        <v>46309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46308</v>
      </c>
      <c r="O5" s="370"/>
      <c r="P5" s="370"/>
      <c r="R5" s="85"/>
      <c r="S5" s="266"/>
    </row>
    <row r="6" spans="1:22 16383:16384" ht="15" customHeight="1" x14ac:dyDescent="0.4">
      <c r="A6" s="399" t="s">
        <v>523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3</v>
      </c>
      <c r="I17" s="236">
        <f t="shared" ref="I17:I23" si="0">(G17*D17)*F17+H17*F17</f>
        <v>157.38749999999999</v>
      </c>
      <c r="J17" s="272">
        <f t="shared" ref="J17:L24" si="1">$I17*S17</f>
        <v>12.590999999999999</v>
      </c>
      <c r="K17" s="128">
        <f>$I17*T17</f>
        <v>5.5085625</v>
      </c>
      <c r="L17" s="119">
        <f>$I17*U17</f>
        <v>0</v>
      </c>
      <c r="M17" s="230">
        <f t="shared" ref="M17:M24" si="2">I17-SUM(J17:L17)</f>
        <v>139.2879375</v>
      </c>
      <c r="N17" s="277">
        <f t="shared" ref="N17:N24" si="3">+(G17*D17+H17)*V17</f>
        <v>29.745762711864394</v>
      </c>
      <c r="O17" s="239">
        <f t="shared" ref="O17:O24" si="4">(N17+M17)*$O$15</f>
        <v>0.84516850105932195</v>
      </c>
      <c r="P17" s="119">
        <f t="shared" ref="P17:P24" si="5">M17+N17+O17</f>
        <v>169.87886871292372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3</v>
      </c>
      <c r="I18" s="236">
        <f t="shared" si="0"/>
        <v>157.38749999999999</v>
      </c>
      <c r="J18" s="272">
        <f t="shared" si="1"/>
        <v>12.590999999999999</v>
      </c>
      <c r="K18" s="128">
        <f t="shared" si="1"/>
        <v>5.5085625</v>
      </c>
      <c r="L18" s="119">
        <f t="shared" si="1"/>
        <v>0</v>
      </c>
      <c r="M18" s="230">
        <f t="shared" si="2"/>
        <v>139.2879375</v>
      </c>
      <c r="N18" s="277">
        <f t="shared" si="3"/>
        <v>29.745762711864394</v>
      </c>
      <c r="O18" s="239">
        <f t="shared" si="4"/>
        <v>0.84516850105932195</v>
      </c>
      <c r="P18" s="119">
        <f t="shared" si="5"/>
        <v>169.87886871292372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3</v>
      </c>
      <c r="I19" s="236">
        <f t="shared" si="0"/>
        <v>217.92000000000002</v>
      </c>
      <c r="J19" s="272">
        <f t="shared" si="1"/>
        <v>17.433600000000002</v>
      </c>
      <c r="K19" s="128">
        <f t="shared" si="1"/>
        <v>7.6272000000000011</v>
      </c>
      <c r="L19" s="119">
        <f t="shared" si="1"/>
        <v>0</v>
      </c>
      <c r="M19" s="230">
        <f t="shared" si="2"/>
        <v>192.85920000000002</v>
      </c>
      <c r="N19" s="277">
        <f t="shared" si="3"/>
        <v>41.186440677966104</v>
      </c>
      <c r="O19" s="239">
        <f t="shared" si="4"/>
        <v>1.1702282033898306</v>
      </c>
      <c r="P19" s="119">
        <f t="shared" si="5"/>
        <v>235.21586888135593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9</v>
      </c>
      <c r="I25" s="114">
        <f t="shared" si="7"/>
        <v>532.69499999999994</v>
      </c>
      <c r="J25" s="274">
        <f>SUM(J16:J24)</f>
        <v>42.615600000000001</v>
      </c>
      <c r="K25" s="275">
        <f t="shared" si="7"/>
        <v>18.644325000000002</v>
      </c>
      <c r="L25" s="276">
        <f t="shared" si="7"/>
        <v>0</v>
      </c>
      <c r="M25" s="232">
        <f t="shared" si="7"/>
        <v>471.43507499999998</v>
      </c>
      <c r="N25" s="233">
        <f>SUM(N16:N24)</f>
        <v>100.67796610169489</v>
      </c>
      <c r="O25" s="101">
        <f>SUM(O16:O24)</f>
        <v>2.8605652055084745</v>
      </c>
      <c r="P25" s="234">
        <f>SUM(P16:P24)</f>
        <v>574.97360630720334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532.69499999999994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42.615600000000001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18.644325000000002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471.43507499999998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100.67796610169489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572.11304110169488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2.8605652055084745</v>
      </c>
    </row>
    <row r="35" spans="2:16" ht="15.75" customHeight="1" thickBot="1" x14ac:dyDescent="0.4">
      <c r="N35" s="345" t="s">
        <v>88</v>
      </c>
      <c r="O35" s="346"/>
      <c r="P35" s="297">
        <f>+P33+P34</f>
        <v>574.97360630720334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2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46308</v>
      </c>
      <c r="O5" s="370"/>
      <c r="P5" s="370"/>
      <c r="R5" s="85"/>
      <c r="S5" s="266"/>
    </row>
    <row r="6" spans="1:22 16383:16384" ht="15" customHeight="1" x14ac:dyDescent="0.4">
      <c r="A6" s="399" t="s">
        <v>524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6</v>
      </c>
      <c r="I17" s="236">
        <f t="shared" ref="I17:I23" si="0">(G17*D17)*F17+H17*F17</f>
        <v>314.77499999999998</v>
      </c>
      <c r="J17" s="272">
        <f t="shared" ref="J17:L24" si="1">$I17*S17</f>
        <v>25.181999999999999</v>
      </c>
      <c r="K17" s="128">
        <f>$I17*T17</f>
        <v>11.017125</v>
      </c>
      <c r="L17" s="119">
        <f>$I17*U17</f>
        <v>0</v>
      </c>
      <c r="M17" s="230">
        <f t="shared" ref="M17:M24" si="2">I17-SUM(J17:L17)</f>
        <v>278.575875</v>
      </c>
      <c r="N17" s="277">
        <f t="shared" ref="N17:N24" si="3">+(G17*D17+H17)*V17</f>
        <v>59.491525423728788</v>
      </c>
      <c r="O17" s="239">
        <f t="shared" ref="O17:O24" si="4">(N17+M17)*$O$15</f>
        <v>1.6903370021186439</v>
      </c>
      <c r="P17" s="119">
        <f t="shared" ref="P17:P24" si="5">M17+N17+O17</f>
        <v>339.75773742584744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12</v>
      </c>
      <c r="I18" s="236">
        <f t="shared" si="0"/>
        <v>629.54999999999995</v>
      </c>
      <c r="J18" s="272">
        <f t="shared" si="1"/>
        <v>50.363999999999997</v>
      </c>
      <c r="K18" s="128">
        <f t="shared" si="1"/>
        <v>22.03425</v>
      </c>
      <c r="L18" s="119">
        <f t="shared" si="1"/>
        <v>0</v>
      </c>
      <c r="M18" s="230">
        <f t="shared" si="2"/>
        <v>557.15174999999999</v>
      </c>
      <c r="N18" s="277">
        <f t="shared" si="3"/>
        <v>118.98305084745758</v>
      </c>
      <c r="O18" s="239">
        <f t="shared" si="4"/>
        <v>3.3806740042372878</v>
      </c>
      <c r="P18" s="119">
        <f t="shared" si="5"/>
        <v>679.51547485169488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6</v>
      </c>
      <c r="I19" s="236">
        <f t="shared" si="0"/>
        <v>435.84000000000003</v>
      </c>
      <c r="J19" s="272">
        <f t="shared" si="1"/>
        <v>34.867200000000004</v>
      </c>
      <c r="K19" s="128">
        <f t="shared" si="1"/>
        <v>15.254400000000002</v>
      </c>
      <c r="L19" s="119">
        <f t="shared" si="1"/>
        <v>0</v>
      </c>
      <c r="M19" s="230">
        <f t="shared" si="2"/>
        <v>385.71840000000003</v>
      </c>
      <c r="N19" s="277">
        <f t="shared" si="3"/>
        <v>82.372881355932208</v>
      </c>
      <c r="O19" s="239">
        <f t="shared" si="4"/>
        <v>2.3404564067796612</v>
      </c>
      <c r="P19" s="119">
        <f t="shared" si="5"/>
        <v>470.43173776271186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24</v>
      </c>
      <c r="I25" s="114">
        <f t="shared" si="7"/>
        <v>1380.165</v>
      </c>
      <c r="J25" s="274">
        <f>SUM(J16:J24)</f>
        <v>110.41319999999999</v>
      </c>
      <c r="K25" s="275">
        <f t="shared" si="7"/>
        <v>48.305775000000004</v>
      </c>
      <c r="L25" s="276">
        <f t="shared" si="7"/>
        <v>0</v>
      </c>
      <c r="M25" s="232">
        <f t="shared" si="7"/>
        <v>1221.446025</v>
      </c>
      <c r="N25" s="233">
        <f>SUM(N16:N24)</f>
        <v>260.84745762711862</v>
      </c>
      <c r="O25" s="101">
        <f>SUM(O16:O24)</f>
        <v>7.4114674131355924</v>
      </c>
      <c r="P25" s="234">
        <f>SUM(P16:P24)</f>
        <v>1489.7049500402543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1380.165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110.41319999999999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48.305775000000004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1221.446025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260.84745762711862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1482.2934826271185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7.4114674131355924</v>
      </c>
    </row>
    <row r="35" spans="2:16" ht="15.75" customHeight="1" thickBot="1" x14ac:dyDescent="0.4">
      <c r="N35" s="345" t="s">
        <v>88</v>
      </c>
      <c r="O35" s="346"/>
      <c r="P35" s="297">
        <f>+P33+P34</f>
        <v>1489.7049500402541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46308</v>
      </c>
      <c r="O5" s="370"/>
      <c r="P5" s="370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9" t="s">
        <v>91</v>
      </c>
      <c r="B2" s="369"/>
      <c r="C2" s="369"/>
    </row>
    <row r="3" spans="1:18 16382:16383" ht="15" customHeight="1" x14ac:dyDescent="0.35">
      <c r="A3" s="370" t="s">
        <v>92</v>
      </c>
      <c r="B3" s="370"/>
      <c r="C3" s="370"/>
      <c r="F3" s="85"/>
      <c r="G3" s="1"/>
      <c r="J3" s="371" t="s">
        <v>43</v>
      </c>
      <c r="K3" s="371"/>
      <c r="L3" s="371"/>
      <c r="M3" s="370"/>
      <c r="N3" s="370"/>
      <c r="O3" s="370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0" t="s">
        <v>65</v>
      </c>
      <c r="B4" s="370"/>
      <c r="C4" s="370"/>
      <c r="F4" s="85"/>
      <c r="G4" s="1"/>
      <c r="J4" s="371" t="s">
        <v>44</v>
      </c>
      <c r="K4" s="371"/>
      <c r="L4" s="371"/>
      <c r="M4" s="401">
        <f ca="1">TODAY()+1</f>
        <v>46311</v>
      </c>
      <c r="N4" s="401"/>
      <c r="O4" s="401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71" t="s">
        <v>45</v>
      </c>
      <c r="K5" s="371"/>
      <c r="L5" s="371"/>
      <c r="M5" s="401">
        <f ca="1">M4-1</f>
        <v>46310</v>
      </c>
      <c r="N5" s="370"/>
      <c r="O5" s="370"/>
      <c r="Q5" s="85"/>
      <c r="R5" s="1"/>
    </row>
    <row r="6" spans="1:18 16382:16383" ht="15" customHeight="1" x14ac:dyDescent="0.35">
      <c r="A6" s="371" t="s">
        <v>94</v>
      </c>
      <c r="B6" s="371"/>
      <c r="C6" s="371"/>
      <c r="F6" s="85"/>
      <c r="G6" s="86"/>
      <c r="J6" s="371" t="s">
        <v>69</v>
      </c>
      <c r="K6" s="371"/>
      <c r="L6" s="371"/>
      <c r="M6" s="400" t="s">
        <v>62</v>
      </c>
      <c r="N6" s="400"/>
      <c r="O6" s="400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1" t="s">
        <v>73</v>
      </c>
      <c r="B7" s="371"/>
      <c r="C7" s="371"/>
      <c r="F7" s="85"/>
      <c r="G7" s="86"/>
      <c r="J7" s="371" t="s">
        <v>66</v>
      </c>
      <c r="K7" s="371"/>
      <c r="L7" s="371"/>
      <c r="M7" s="400" t="s">
        <v>70</v>
      </c>
      <c r="N7" s="400"/>
      <c r="O7" s="400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7" t="s">
        <v>95</v>
      </c>
      <c r="B8" s="397"/>
      <c r="C8" s="397"/>
      <c r="F8" s="85"/>
      <c r="G8" s="86"/>
      <c r="J8" s="371" t="s">
        <v>67</v>
      </c>
      <c r="K8" s="371"/>
      <c r="L8" s="371"/>
      <c r="M8" s="400" t="s">
        <v>71</v>
      </c>
      <c r="N8" s="400"/>
      <c r="O8" s="400"/>
      <c r="Q8" s="85"/>
      <c r="R8" s="86"/>
    </row>
    <row r="9" spans="1:18 16382:16383" x14ac:dyDescent="0.35">
      <c r="A9" s="397" t="s">
        <v>96</v>
      </c>
      <c r="B9" s="397"/>
      <c r="C9" s="397"/>
      <c r="F9" s="85"/>
      <c r="G9" s="86"/>
      <c r="J9" s="371" t="s">
        <v>68</v>
      </c>
      <c r="K9" s="371"/>
      <c r="L9" s="371"/>
      <c r="M9" s="400" t="s">
        <v>104</v>
      </c>
      <c r="N9" s="400"/>
      <c r="O9" s="400"/>
      <c r="Q9" s="85"/>
      <c r="R9" s="86"/>
      <c r="XFC9" t="s">
        <v>49</v>
      </c>
    </row>
    <row r="10" spans="1:18 16382:16383" x14ac:dyDescent="0.35">
      <c r="A10" s="397" t="s">
        <v>97</v>
      </c>
      <c r="B10" s="397"/>
      <c r="C10" s="397"/>
      <c r="F10" s="85"/>
      <c r="G10" s="1"/>
      <c r="J10" s="371" t="s">
        <v>46</v>
      </c>
      <c r="K10" s="371"/>
      <c r="L10" s="371"/>
      <c r="M10" s="370" t="s">
        <v>47</v>
      </c>
      <c r="N10" s="370"/>
      <c r="O10" s="370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1" t="s">
        <v>48</v>
      </c>
      <c r="K11" s="371"/>
      <c r="L11" s="371"/>
      <c r="M11" s="370" t="s">
        <v>49</v>
      </c>
      <c r="N11" s="370"/>
      <c r="O11" s="370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1" t="s">
        <v>50</v>
      </c>
      <c r="K12" s="371"/>
      <c r="L12" s="371"/>
      <c r="M12" s="370"/>
      <c r="N12" s="370"/>
      <c r="O12" s="370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0" t="s">
        <v>51</v>
      </c>
      <c r="B14" s="362"/>
      <c r="C14" s="392" t="s">
        <v>90</v>
      </c>
      <c r="D14" s="88" t="s">
        <v>52</v>
      </c>
      <c r="E14" s="95" t="s">
        <v>74</v>
      </c>
      <c r="F14" s="115" t="s">
        <v>53</v>
      </c>
      <c r="G14" s="366" t="s">
        <v>54</v>
      </c>
      <c r="H14" s="368"/>
      <c r="I14" s="396" t="s">
        <v>77</v>
      </c>
      <c r="J14" s="367" t="s">
        <v>55</v>
      </c>
      <c r="K14" s="368"/>
      <c r="L14" s="39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1"/>
      <c r="B15" s="363"/>
      <c r="C15" s="393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5"/>
      <c r="J15" s="144" t="s">
        <v>39</v>
      </c>
      <c r="K15" s="145" t="s">
        <v>59</v>
      </c>
      <c r="L15" s="36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7"/>
      <c r="M28" s="384" t="s">
        <v>60</v>
      </c>
      <c r="N28" s="385"/>
      <c r="O28" s="139">
        <f>I25</f>
        <v>1452.8</v>
      </c>
    </row>
    <row r="29" spans="1:18 16383:16383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80"/>
      <c r="M29" s="386" t="s">
        <v>85</v>
      </c>
      <c r="N29" s="387"/>
      <c r="O29" s="140">
        <f>K25</f>
        <v>0</v>
      </c>
    </row>
    <row r="30" spans="1:18 16383:16383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80"/>
      <c r="M30" s="386" t="s">
        <v>86</v>
      </c>
      <c r="N30" s="387"/>
      <c r="O30" s="140">
        <f>J25</f>
        <v>50.848000000000006</v>
      </c>
    </row>
    <row r="31" spans="1:18 16383:16383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80"/>
      <c r="L31" s="131"/>
      <c r="M31" s="386" t="s">
        <v>87</v>
      </c>
      <c r="N31" s="387"/>
      <c r="O31" s="140">
        <f>O28-O29-O30</f>
        <v>1401.952</v>
      </c>
    </row>
    <row r="32" spans="1:18 16383:16383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80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80"/>
      <c r="L33" s="131"/>
      <c r="M33" s="388" t="s">
        <v>76</v>
      </c>
      <c r="N33" s="389"/>
      <c r="O33" s="140">
        <f>O31+O32</f>
        <v>1710.3814400000001</v>
      </c>
    </row>
    <row r="34" spans="2:15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3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5" t="s">
        <v>88</v>
      </c>
      <c r="N35" s="346"/>
      <c r="O35" s="141">
        <f>O28-O29+O31+O34</f>
        <v>2897.511536</v>
      </c>
    </row>
    <row r="36" spans="2:15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4" t="s">
        <v>439</v>
      </c>
      <c r="E1" s="337" t="s">
        <v>58</v>
      </c>
      <c r="F1" s="337"/>
      <c r="G1" s="338" t="s">
        <v>440</v>
      </c>
      <c r="H1" s="338"/>
      <c r="I1" s="411" t="s">
        <v>441</v>
      </c>
      <c r="J1" s="411"/>
      <c r="K1" s="411" t="s">
        <v>442</v>
      </c>
      <c r="L1" s="411"/>
      <c r="M1" s="406" t="s">
        <v>484</v>
      </c>
      <c r="N1" s="407"/>
      <c r="O1" s="408"/>
    </row>
    <row r="2" spans="3:24" ht="29" x14ac:dyDescent="0.35">
      <c r="C2" s="337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9" t="s">
        <v>476</v>
      </c>
      <c r="D6" s="409"/>
      <c r="E6" s="409"/>
      <c r="F6" s="409"/>
      <c r="G6" s="409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5" t="s">
        <v>58</v>
      </c>
      <c r="F7" s="405"/>
      <c r="G7" s="403" t="s">
        <v>440</v>
      </c>
      <c r="H7" s="338"/>
      <c r="I7" s="339" t="s">
        <v>441</v>
      </c>
      <c r="J7" s="340"/>
      <c r="K7" s="339" t="s">
        <v>442</v>
      </c>
      <c r="L7" s="340"/>
      <c r="M7" s="406" t="s">
        <v>484</v>
      </c>
      <c r="N7" s="407"/>
      <c r="O7" s="408"/>
      <c r="P7" s="256" t="s">
        <v>475</v>
      </c>
      <c r="Q7" s="242" t="s">
        <v>473</v>
      </c>
      <c r="R7" s="404" t="s">
        <v>475</v>
      </c>
      <c r="S7" s="404" t="s">
        <v>485</v>
      </c>
      <c r="T7" s="402" t="s">
        <v>486</v>
      </c>
      <c r="U7" s="402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3"/>
      <c r="U8" s="403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0" t="s">
        <v>477</v>
      </c>
      <c r="D12" s="410"/>
      <c r="E12" s="410"/>
      <c r="F12" s="410"/>
      <c r="G12" s="410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6" t="s">
        <v>484</v>
      </c>
      <c r="N13" s="407"/>
      <c r="O13" s="408"/>
      <c r="P13" s="256" t="s">
        <v>475</v>
      </c>
      <c r="Q13" s="242" t="s">
        <v>473</v>
      </c>
      <c r="R13" s="404" t="s">
        <v>475</v>
      </c>
      <c r="S13" s="404" t="s">
        <v>485</v>
      </c>
      <c r="T13" s="402" t="s">
        <v>486</v>
      </c>
      <c r="U13" s="402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3"/>
      <c r="U14" s="403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9" t="s">
        <v>478</v>
      </c>
      <c r="D19" s="409"/>
      <c r="E19" s="409"/>
      <c r="F19" s="409"/>
      <c r="G19" s="409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6" t="s">
        <v>484</v>
      </c>
      <c r="N20" s="407"/>
      <c r="O20" s="408"/>
      <c r="P20" s="256" t="s">
        <v>475</v>
      </c>
      <c r="Q20" s="242" t="s">
        <v>473</v>
      </c>
      <c r="R20" s="404" t="s">
        <v>475</v>
      </c>
      <c r="S20" s="404" t="s">
        <v>485</v>
      </c>
      <c r="T20" s="402" t="s">
        <v>486</v>
      </c>
      <c r="U20" s="402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3"/>
      <c r="U21" s="403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9" t="s">
        <v>479</v>
      </c>
      <c r="D26" s="409"/>
      <c r="E26" s="409"/>
      <c r="F26" s="409"/>
      <c r="G26" s="409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6" t="s">
        <v>484</v>
      </c>
      <c r="N27" s="407"/>
      <c r="O27" s="408"/>
      <c r="P27" s="256" t="s">
        <v>475</v>
      </c>
      <c r="Q27" s="242" t="s">
        <v>473</v>
      </c>
      <c r="R27" s="404" t="s">
        <v>475</v>
      </c>
      <c r="S27" s="404" t="s">
        <v>485</v>
      </c>
      <c r="T27" s="402" t="s">
        <v>486</v>
      </c>
      <c r="U27" s="402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3"/>
      <c r="U28" s="403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4" t="s">
        <v>439</v>
      </c>
      <c r="D1" s="337" t="s">
        <v>58</v>
      </c>
      <c r="E1" s="337"/>
      <c r="F1" s="338" t="s">
        <v>440</v>
      </c>
      <c r="G1" s="338"/>
      <c r="H1" s="411" t="s">
        <v>441</v>
      </c>
      <c r="I1" s="411"/>
      <c r="J1" s="411" t="s">
        <v>442</v>
      </c>
      <c r="K1" s="411"/>
      <c r="L1" s="406" t="s">
        <v>484</v>
      </c>
      <c r="M1" s="407"/>
      <c r="N1" s="408"/>
    </row>
    <row r="2" spans="2:17" ht="29" x14ac:dyDescent="0.35">
      <c r="B2" s="337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2026-10-15T04:23:29Z</dcterms:modified>
</cp:coreProperties>
</file>