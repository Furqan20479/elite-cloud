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7344D8F0-185F-437B-A25B-FFC33B969464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J20" i="53"/>
  <c r="K20" i="43"/>
  <c r="L20" i="43"/>
  <c r="M20" i="43"/>
  <c r="O20" i="43" s="1"/>
  <c r="P20" i="43" s="1"/>
  <c r="J20" i="43"/>
  <c r="K20" i="57"/>
  <c r="J20" i="57"/>
  <c r="L20" i="57"/>
  <c r="M20" i="57" s="1"/>
  <c r="O20" i="57" s="1"/>
  <c r="P20" i="57" s="1"/>
  <c r="K20" i="61"/>
  <c r="J20" i="61"/>
  <c r="L20" i="61"/>
  <c r="M20" i="61"/>
  <c r="O20" i="61" s="1"/>
  <c r="P20" i="61" s="1"/>
  <c r="K20" i="71"/>
  <c r="J20" i="71"/>
  <c r="M20" i="71" s="1"/>
  <c r="O20" i="71" s="1"/>
  <c r="P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4" l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25" i="52" l="1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<sst xmlns="http://schemas.openxmlformats.org/spreadsheetml/2006/main" count="3948" uniqueCount="526">
  <si>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</si>
  <si>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</si>
  <si>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</si>
  <si>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</si>
  <si>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</si>
  <si>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</si>
  <si>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</si>
  <si>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</si>
  <si>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</si>
  <si>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</si>
  <si>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</si>
  <si>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</si>
  <si>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</si>
  <si>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</si>
  <si>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</si>
  <si>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</si>
  <si>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</si>
  <si>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</si>
  <si>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</si>
  <si>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</si>
  <si>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</si>
  <si>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</si>
  <si>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</si>
  <si>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</si>
  <si>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</si>
  <si>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</si>
  <si>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</si>
  <si>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</si>
  <si>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</si>
  <si>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</si>
  <si>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</si>
  <si>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</si>
  <si>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</si>
  <si>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</si>
  <si>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</si>
  <si>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</si>
  <si>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</si>
  <si>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</si>
  <si>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</si>
  <si>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</si>
  <si>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</si>
  <si>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</si>
  <si>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</si>
  <si>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</si>
  <si>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</si>
  <si>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</si>
  <si>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</si>
  <si>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</si>
  <si>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</si>
  <si>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</si>
  <si>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</si>
  <si>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</si>
  <si>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</si>
  <si>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</si>
  <si>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</si>
  <si>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</si>
  <si>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</si>
  <si>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</si>
  <si>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</si>
  <si>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</si>
  <si>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</si>
  <si>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</si>
  <si>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</si>
  <si>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</si>
  <si>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</si>
  <si>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</si>
  <si>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</si>
  <si>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</si>
  <si>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</si>
  <si>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</si>
  <si>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</si>
  <si>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</si>
  <si>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</si>
  <si>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</si>
  <si>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</si>
  <si>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</si>
  <si>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</si>
  <si>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</si>
  <si>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</si>
  <si>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</si>
  <si>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</si>
  <si>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</si>
  <si>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</si>
  <si>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</si>
  <si>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</si>
  <si>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</si>
  <si>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</si>
  <si>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</si>
  <si>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</si>
  <si>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</si>
  <si>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</si>
  <si>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</si>
  <si>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</si>
  <si>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</si>
  <si>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</si>
  <si>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</si>
  <si>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</si>
  <si>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</si>
  <si>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</si>
  <si>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</si>
  <si>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</si>
  <si>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</si>
  <si>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</si>
  <si>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</si>
  <si>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</si>
  <si>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</si>
  <si>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</si>
  <si>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</si>
  <si>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</si>
  <si>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</si>
  <si>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</si>
  <si>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</si>
  <si>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</si>
  <si>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</si>
  <si>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</si>
  <si>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</si>
  <si>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</si>
  <si>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</si>
  <si>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</si>
  <si>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</si>
  <si>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</si>
  <si>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</si>
  <si>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</si>
  <si>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</si>
  <si>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</si>
  <si>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</si>
  <si>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</si>
  <si>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</si>
  <si>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</si>
  <si>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</si>
  <si>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</si>
  <si>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</si>
  <si>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</si>
  <si>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</si>
  <si>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</si>
  <si>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</si>
  <si>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</si>
  <si>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</si>
  <si>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</si>
  <si>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</si>
  <si>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</si>
  <si>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</si>
  <si>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</si>
  <si>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</si>
  <si>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</si>
  <si>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</si>
  <si>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</si>
  <si>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</si>
  <si>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</si>
  <si>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</si>
  <si>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</si>
  <si>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</si>
  <si>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</si>
  <si>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</si>
  <si>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</si>
  <si>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</si>
  <si>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</si>
  <si>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</si>
  <si>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</si>
  <si>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</si>
  <si>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</si>
  <si>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</si>
  <si>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</si>
  <si>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</si>
  <si>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</si>
  <si>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</si>
  <si>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</si>
  <si>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</si>
  <si>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</si>
  <si>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</si>
  <si>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</si>
  <si>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</si>
  <si>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</si>
  <si>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</si>
  <si>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</si>
  <si>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</si>
  <si>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</si>
  <si>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</si>
  <si>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</si>
  <si>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</si>
  <si>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</si>
  <si>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</si>
  <si>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</si>
  <si>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</si>
  <si>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</si>
  <si>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</si>
  <si>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</si>
  <si>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</si>
  <si>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</si>
  <si>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</si>
  <si>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</si>
  <si>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</si>
  <si>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</si>
  <si>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</si>
  <si>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</si>
  <si>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</si>
  <si>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</si>
  <si>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</si>
  <si>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</si>
  <si>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</si>
  <si>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</si>
  <si>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</si>
  <si>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</si>
  <si>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</si>
  <si>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</si>
  <si>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</si>
  <si>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</si>
  <si>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</si>
  <si>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</si>
  <si>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</si>
  <si>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</si>
  <si>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</si>
  <si>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</si>
  <si>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</si>
  <si>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</si>
  <si>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</si>
  <si>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</si>
  <si>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</si>
  <si>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</si>
  <si>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</si>
  <si>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</si>
  <si>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</si>
  <si>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</si>
  <si>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</si>
  <si>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</si>
  <si>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</si>
  <si>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</si>
  <si>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</si>
  <si>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</si>
  <si>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</si>
  <si>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</si>
  <si>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</si>
  <si>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</si>
  <si>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</si>
  <si>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</si>
  <si>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</si>
  <si>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</si>
  <si>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</si>
  <si>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</si>
  <si>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</si>
  <si>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</si>
  <si>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</si>
  <si>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</si>
  <si>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</si>
  <si>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</si>
  <si>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</si>
  <si>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</si>
  <si>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</si>
  <si>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</si>
  <si>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</si>
  <si>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</si>
  <si>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</si>
  <si>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</si>
  <si>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</si>
  <si>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</si>
  <si>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</si>
  <si>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</si>
  <si>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</si>
  <si>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</si>
  <si>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</si>
  <si>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</si>
  <si>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</si>
  <si>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</si>
  <si>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</si>
  <si>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</si>
  <si>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</si>
  <si>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</si>
  <si>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</si>
  <si>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</si>
  <si>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</si>
  <si>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</si>
  <si>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</si>
  <si>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</si>
  <si>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</si>
  <si>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</si>
  <si>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</si>
  <si>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</si>
  <si>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</si>
  <si>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</si>
  <si>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</si>
  <si>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</si>
  <si>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</si>
  <si>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</si>
  <si>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</si>
  <si>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</si>
  <si>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</si>
  <si>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</si>
  <si>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</si>
  <si>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</si>
  <si>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</si>
  <si>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</si>
  <si>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</si>
  <si>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</si>
  <si>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</si>
  <si>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</si>
  <si>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</si>
  <si>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</si>
  <si>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</si>
  <si>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</si>
  <si>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</si>
  <si>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</si>
  <si>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</si>
  <si>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</si>
  <si>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</si>
  <si>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</si>
  <si>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</si>
  <si>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</si>
  <si>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</si>
  <si>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</si>
  <si>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</si>
  <si>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</si>
  <si>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</si>
  <si>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</si>
  <si>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</si>
  <si>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</si>
  <si>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</si>
  <si>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</si>
  <si>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</si>
  <si>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</si>
  <si>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</si>
  <si>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</si>
  <si>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</si>
  <si>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</si>
  <si>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</si>
  <si>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</si>
  <si>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</si>
  <si>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</si>
  <si>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</si>
  <si>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</si>
  <si>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</si>
  <si>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</si>
  <si>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</si>
  <si>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</si>
  <si>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</si>
  <si>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</si>
  <si>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</si>
  <si>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</si>
  <si>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</si>
  <si>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</si>
  <si>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</si>
  <si>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</si>
  <si>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</si>
  <si>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</si>
  <si>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</si>
  <si>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</si>
  <si>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</si>
  <si>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</si>
  <si>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</si>
  <si>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</si>
  <si>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</si>
  <si>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</si>
  <si>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</si>
  <si>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</si>
  <si>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</si>
  <si>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</si>
  <si>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</si>
  <si>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</si>
  <si>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</si>
  <si>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</si>
  <si>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</si>
  <si>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</si>
  <si>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</si>
  <si>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</si>
  <si>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</si>
  <si>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</si>
  <si>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</si>
  <si>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</si>
  <si>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</si>
  <si>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</si>
  <si>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</si>
  <si>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</si>
  <si>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</si>
  <si>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</si>
  <si>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</si>
  <si>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</si>
  <si>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</si>
  <si>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</si>
  <si>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</si>
  <si>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</si>
  <si>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</si>
  <si>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</si>
  <si>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</si>
  <si>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</si>
  <si>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</si>
  <si>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</si>
  <si>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</si>
  <si>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</si>
  <si>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</si>
  <si>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</si>
  <si>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</si>
  <si>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</si>
  <si>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</si>
  <si>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</si>
  <si>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</si>
  <si>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</si>
  <si>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</si>
  <si>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</si>
  <si>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</si>
  <si>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</si>
  <si>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</si>
  <si>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</si>
  <si>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</si>
  <si>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</si>
  <si>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</si>
  <si>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</si>
  <si>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</si>
  <si>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</si>
  <si>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</si>
  <si>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</si>
  <si>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</si>
  <si>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</si>
  <si>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</si>
  <si>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</si>
  <si>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</si>
  <si>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</si>
  <si>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</si>
  <si>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</si>
  <si>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</si>
  <si>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</si>
  <si>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</si>
  <si>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</si>
  <si>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</si>
  <si>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</si>
  <si>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</si>
  <si>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</si>
  <si>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</si>
  <si>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</si>
  <si>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</si>
  <si>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</si>
  <si>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</si>
  <si>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</si>
  <si>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</si>
  <si>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</si>
  <si>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</si>
  <si>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</si>
  <si>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</si>
  <si>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</si>
  <si>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</si>
  <si>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</si>
  <si>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</si>
  <si>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</si>
  <si>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</si>
  <si>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</si>
  <si>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</si>
  <si>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</si>
  <si>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</si>
  <si>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</si>
  <si>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</si>
  <si>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</si>
  <si>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</si>
  <si>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</si>
  <si>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</si>
  <si>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</si>
  <si>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</si>
  <si>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</si>
  <si>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</si>
  <si>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</si>
  <si>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</si>
  <si>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</si>
  <si>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</si>
  <si>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</si>
  <si>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</si>
  <si>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</si>
  <si>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</si>
  <si>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</si>
  <si>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</si>
  <si>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</si>
  <si>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</si>
  <si>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</si>
  <si>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</si>
  <si>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</si>
  <si>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</si>
  <si>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</si>
  <si>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</si>
  <si>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</si>
  <si>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</si>
  <si>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</si>
  <si>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</si>
  <si>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</si>
  <si>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</si>
  <si>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</si>
  <si>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</si>
  <si>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</si>
  <si>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</si>
  <si>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</si>
  <si>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</si>
  <si>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</si>
  <si>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</si>
  <si>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</si>
  <si>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</si>
  <si>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</si>
  <si>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</si>
  <si>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</si>
  <si>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</si>
  <si>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</si>
  <si>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</si>
  <si>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</si>
  <si>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</si>
  <si>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</si>
  <si>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</si>
  <si>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</si>
  <si>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</si>
  <si>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</si>
  <si>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</si>
  <si>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</si>
  <si>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</si>
  <si>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</si>
  <si>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</si>
  <si>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</si>
  <si>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</si>
  <si>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</si>
  <si>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</si>
  <si>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</si>
  <si>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</si>
  <si>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Furqan</t>
  </si>
  <si>
    <t>Address: Cavalery Ground 7 Street</t>
  </si>
  <si>
    <t xml:space="preserve">Al Harmain </t>
  </si>
  <si>
    <t xml:space="preserve">K Mart </t>
  </si>
  <si>
    <t xml:space="preserve">Address: Mian chowk 7 street Near Shifah Hospital </t>
  </si>
  <si>
    <t>Mughal GS</t>
  </si>
  <si>
    <t>S Mukhtar Store</t>
  </si>
  <si>
    <t>Sk Super store</t>
  </si>
  <si>
    <t xml:space="preserve">Address: Qanchi Amer Sidhu </t>
  </si>
  <si>
    <t>Haji Hassan Deen Store</t>
  </si>
  <si>
    <t>Noor Gs</t>
  </si>
  <si>
    <t xml:space="preserve">Address: Bulley Shah Road Near Noor Masjid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</si>
</sst>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sqref="A1:T3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514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46309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 xml:space="preserve">Al Harmain </v>
      </c>
      <c r="T3" s="301">
        <f>+'1'!P35</f>
        <v>1881.7269510508474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K Mart </v>
      </c>
      <c r="T4" s="301">
        <f>+'2'!P35</f>
        <v>10802.526335847459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Mughal GS</v>
      </c>
      <c r="T5" s="301">
        <f>+'3'!P35</f>
        <v>679.51547485169476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S Mukhtar Store</v>
      </c>
      <c r="T6" s="301">
        <f>+'4'!P35</f>
        <v>3136.2115850847463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92</v>
      </c>
      <c r="I7" s="235">
        <f>(G7*D7)*F7+H7*F7</f>
        <v>4826.55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386.12399999999997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168.92925000000002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4271.4967500000002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912.20338983050806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25.918500699152542</v>
      </c>
      <c r="P7" s="310">
        <f>M7+N7+O7</f>
        <v>5209.6186405296612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Sk Super store</v>
      </c>
      <c r="T7" s="301">
        <f>+'5'!P35</f>
        <v>3136.2115850847458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9</v>
      </c>
      <c r="I8" s="236">
        <f t="shared" ref="I8:I14" si="0">(G8*D8)*F8+H8*F8</f>
        <v>472.16249999999997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37.772999999999996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16.5256875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417.86381249999999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89.23728813559319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2.5355055031779656</v>
      </c>
      <c r="P8" s="311">
        <f t="shared" ref="P8:P15" si="2">M8+N8+O8</f>
        <v>509.63660613877113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Haji Hassan Deen Store</v>
      </c>
      <c r="T8" s="301">
        <f>+'6'!P35</f>
        <v>574.97360630720334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15</v>
      </c>
      <c r="I9" s="236">
        <f t="shared" si="0"/>
        <v>786.9375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62.954999999999998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27.5428125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696.43968749999999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148.72881355932196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4.22584250529661</v>
      </c>
      <c r="P9" s="311">
        <f t="shared" si="2"/>
        <v>849.39434356461845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Noor Gs</v>
      </c>
      <c r="T9" s="301">
        <f>+'7'!P35</f>
        <v>1489.7049500402541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117</v>
      </c>
      <c r="I10" s="236">
        <f t="shared" si="0"/>
        <v>8498.8799999999992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679.91039999999998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297.46080000000001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7521.5087999999996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1606.2711864406781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45.638899932203394</v>
      </c>
      <c r="P10" s="311">
        <f t="shared" si="2"/>
        <v>9173.4188863728796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20</v>
      </c>
      <c r="I11" s="236">
        <f t="shared" si="0"/>
        <v>1452.8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116.22400000000002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50.848000000000006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1285.7279999999998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274.57627118644069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7.8015213559322039</v>
      </c>
      <c r="P11" s="311">
        <f t="shared" si="2"/>
        <v>1568.1057925423727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56</v>
      </c>
      <c r="I12" s="236">
        <f t="shared" si="0"/>
        <v>4067.84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325.42720000000003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142.37440000000001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3600.0384000000004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768.81355932203394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21.844259796610171</v>
      </c>
      <c r="P12" s="311">
        <f t="shared" si="2"/>
        <v>4390.6962191186449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7.7249999999999996</v>
      </c>
      <c r="H16" s="113">
        <f t="shared" ref="H16:M16" si="3">SUM(H7:H15)</f>
        <v>309</v>
      </c>
      <c r="I16" s="114">
        <f t="shared" si="3"/>
        <v>20105.169999999998</v>
      </c>
      <c r="J16" s="274">
        <f>SUM(J7:J15)</f>
        <v>1608.4135999999999</v>
      </c>
      <c r="K16" s="275">
        <f t="shared" si="3"/>
        <v>703.68095000000005</v>
      </c>
      <c r="L16" s="276">
        <f t="shared" si="3"/>
        <v>0</v>
      </c>
      <c r="M16" s="232">
        <f t="shared" si="3"/>
        <v>17793.07545</v>
      </c>
      <c r="N16" s="233">
        <f>SUM(N7:N15)</f>
        <v>3799.8305084745762</v>
      </c>
      <c r="O16" s="101">
        <f>SUM(O7:O15)</f>
        <v>107.9645297923729</v>
      </c>
      <c r="P16" s="113">
        <f>SUM(P7:P15)</f>
        <v>21700.870488266948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20105.169999999998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1608.4135999999999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703.68095000000005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17793.075449999997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3799.8305084745762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21592.905958474574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107.9645297923729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21700.870488266948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21700.870488266952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7" workbookViewId="0">
      <selection activeCell="H16" sqref="H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7.2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7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18</v>
      </c>
      <c r="I21" s="236">
        <f t="shared" si="7"/>
        <v>1307.52</v>
      </c>
      <c r="J21" s="272">
        <f t="shared" si="1"/>
        <v>104.6016</v>
      </c>
      <c r="K21" s="128">
        <f t="shared" si="1"/>
        <v>45.763200000000005</v>
      </c>
      <c r="L21" s="119">
        <f t="shared" si="1"/>
        <v>0</v>
      </c>
      <c r="M21" s="230">
        <f t="shared" si="2"/>
        <v>1157.1551999999999</v>
      </c>
      <c r="N21" s="277">
        <f t="shared" si="3"/>
        <v>247.11864406779662</v>
      </c>
      <c r="O21" s="239">
        <f t="shared" si="4"/>
        <v>7.0213692203389826</v>
      </c>
      <c r="P21" s="119">
        <f t="shared" si="5"/>
        <v>1411.2952132881355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24</v>
      </c>
      <c r="I25" s="114">
        <f t="shared" ref="I25:M25" si="10">SUM(I16:I24)</f>
        <v>1743.3600000000001</v>
      </c>
      <c r="J25" s="274">
        <f>SUM(J16:J24)</f>
        <v>139.46880000000002</v>
      </c>
      <c r="K25" s="275">
        <f t="shared" si="10"/>
        <v>61.017600000000009</v>
      </c>
      <c r="L25" s="276">
        <f t="shared" si="10"/>
        <v>0</v>
      </c>
      <c r="M25" s="232">
        <f t="shared" si="10"/>
        <v>1542.8735999999999</v>
      </c>
      <c r="N25" s="233">
        <f>SUM(N16:N24)</f>
        <v>329.49152542372883</v>
      </c>
      <c r="O25" s="101">
        <f>SUM(O16:O24)</f>
        <v>9.3618256271186446</v>
      </c>
      <c r="P25" s="234">
        <f>SUM(P16:P24)</f>
        <v>1881.7269510508474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1743.3600000000001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139.46880000000002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61.017600000000009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1542.8736000000001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329.49152542372883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1872.3651254237288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9.3618256271186446</v>
      </c>
    </row>
    <row r="35" spans="2:16" ht="15.75" customHeight="1" thickBot="1" x14ac:dyDescent="0.4">
      <c r="N35" s="374" t="s">
        <v>88</v>
      </c>
      <c r="O35" s="375"/>
      <c r="P35" s="297">
        <f>+P33+P34</f>
        <v>1881.7269510508474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2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518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335.76</v>
      </c>
      <c r="K16" s="127">
        <f>$I16*T16</f>
        <v>146.89500000000001</v>
      </c>
      <c r="L16" s="118">
        <f>$I16*U16</f>
        <v>0</v>
      </c>
      <c r="M16" s="229">
        <f>I16-SUM(J16:L16)</f>
        <v>3714.3450000000003</v>
      </c>
      <c r="N16" s="248">
        <f>+(G16*D16+H16)*V16</f>
        <v>793.22033898305051</v>
      </c>
      <c r="O16" s="238">
        <f>(N16+M16)*$O$15</f>
        <v>22.537826694915253</v>
      </c>
      <c r="P16" s="118">
        <f>M16+N16+O16</f>
        <v>4530.103165677966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0"/>
        <v>5811.2</v>
      </c>
      <c r="J19" s="272">
        <f t="shared" si="1"/>
        <v>464.89600000000002</v>
      </c>
      <c r="K19" s="128">
        <f t="shared" si="1"/>
        <v>203.39200000000002</v>
      </c>
      <c r="L19" s="119">
        <f t="shared" si="1"/>
        <v>0</v>
      </c>
      <c r="M19" s="230">
        <f t="shared" si="2"/>
        <v>5142.9120000000003</v>
      </c>
      <c r="N19" s="277">
        <f t="shared" si="3"/>
        <v>1098.3050847457628</v>
      </c>
      <c r="O19" s="239">
        <f t="shared" si="4"/>
        <v>31.206085423728815</v>
      </c>
      <c r="P19" s="119">
        <f t="shared" si="5"/>
        <v>6272.4231701694916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800.65599999999995</v>
      </c>
      <c r="K25" s="275">
        <f t="shared" si="7"/>
        <v>350.28700000000003</v>
      </c>
      <c r="L25" s="276">
        <f t="shared" si="7"/>
        <v>0</v>
      </c>
      <c r="M25" s="232">
        <f t="shared" si="7"/>
        <v>8857.2570000000014</v>
      </c>
      <c r="N25" s="233">
        <f>SUM(N16:N24)</f>
        <v>1891.5254237288132</v>
      </c>
      <c r="O25" s="101">
        <f>SUM(O16:O24)</f>
        <v>53.743912118644069</v>
      </c>
      <c r="P25" s="234">
        <f>SUM(P16:P24)</f>
        <v>10802.526335847459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10008.200000000001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800.65599999999995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350.28700000000003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8857.2570000000014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10748.782423728815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53.743912118644076</v>
      </c>
    </row>
    <row r="35" spans="2:16" ht="15.75" customHeight="1" thickBot="1" x14ac:dyDescent="0.4">
      <c r="N35" s="374" t="s">
        <v>88</v>
      </c>
      <c r="O35" s="375"/>
      <c r="P35" s="297">
        <f>+P33+P34</f>
        <v>10802.526335847459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8.7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</v>
      </c>
      <c r="I25" s="114">
        <f t="shared" si="7"/>
        <v>629.54999999999995</v>
      </c>
      <c r="J25" s="274">
        <f>SUM(J16:J24)</f>
        <v>50.363999999999997</v>
      </c>
      <c r="K25" s="275">
        <f t="shared" si="7"/>
        <v>22.03425</v>
      </c>
      <c r="L25" s="276">
        <f t="shared" si="7"/>
        <v>0</v>
      </c>
      <c r="M25" s="232">
        <f t="shared" si="7"/>
        <v>557.15174999999999</v>
      </c>
      <c r="N25" s="233">
        <f>SUM(N16:N24)</f>
        <v>118.98305084745758</v>
      </c>
      <c r="O25" s="101">
        <f>SUM(O16:O24)</f>
        <v>3.3806740042372878</v>
      </c>
      <c r="P25" s="234">
        <f>SUM(P16:P24)</f>
        <v>679.51547485169488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629.54999999999995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50.363999999999997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22.03425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557.15174999999988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118.98305084745758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676.13480084745743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3.3806740042372874</v>
      </c>
    </row>
    <row r="35" spans="2:16" ht="15.75" customHeight="1" thickBot="1" x14ac:dyDescent="0.4">
      <c r="N35" s="374" t="s">
        <v>88</v>
      </c>
      <c r="O35" s="375"/>
      <c r="P35" s="297">
        <f>+P33+P34</f>
        <v>679.51547485169476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3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</v>
      </c>
      <c r="I19" s="236">
        <f t="shared" si="0"/>
        <v>581.12</v>
      </c>
      <c r="J19" s="272">
        <f t="shared" si="1"/>
        <v>46.489600000000003</v>
      </c>
      <c r="K19" s="128">
        <f t="shared" si="1"/>
        <v>20.339200000000002</v>
      </c>
      <c r="L19" s="119">
        <f t="shared" si="1"/>
        <v>0</v>
      </c>
      <c r="M19" s="230">
        <f t="shared" si="2"/>
        <v>514.2912</v>
      </c>
      <c r="N19" s="277">
        <f t="shared" si="3"/>
        <v>109.83050847457628</v>
      </c>
      <c r="O19" s="239">
        <f t="shared" si="4"/>
        <v>3.1206085423728815</v>
      </c>
      <c r="P19" s="119">
        <f t="shared" si="5"/>
        <v>627.24231701694919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</v>
      </c>
      <c r="I20" s="236">
        <f t="shared" si="0"/>
        <v>290.56</v>
      </c>
      <c r="J20" s="272">
        <f t="shared" si="1"/>
        <v>23.244800000000001</v>
      </c>
      <c r="K20" s="128">
        <f t="shared" si="1"/>
        <v>10.169600000000001</v>
      </c>
      <c r="L20" s="119">
        <f t="shared" si="1"/>
        <v>0</v>
      </c>
      <c r="M20" s="230">
        <f t="shared" si="2"/>
        <v>257.1456</v>
      </c>
      <c r="N20" s="277">
        <f t="shared" si="3"/>
        <v>54.915254237288138</v>
      </c>
      <c r="O20" s="239">
        <f t="shared" si="4"/>
        <v>1.5603042711864408</v>
      </c>
      <c r="P20" s="119">
        <f t="shared" si="5"/>
        <v>313.62115850847459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28</v>
      </c>
      <c r="I21" s="236">
        <f t="shared" si="0"/>
        <v>2033.92</v>
      </c>
      <c r="J21" s="272">
        <f t="shared" si="1"/>
        <v>162.71360000000001</v>
      </c>
      <c r="K21" s="128">
        <f t="shared" si="1"/>
        <v>71.187200000000004</v>
      </c>
      <c r="L21" s="119">
        <f t="shared" si="1"/>
        <v>0</v>
      </c>
      <c r="M21" s="230">
        <f t="shared" si="2"/>
        <v>1800.0192000000002</v>
      </c>
      <c r="N21" s="277">
        <f t="shared" si="3"/>
        <v>384.40677966101697</v>
      </c>
      <c r="O21" s="239">
        <f t="shared" si="4"/>
        <v>10.922129898305085</v>
      </c>
      <c r="P21" s="119">
        <f t="shared" si="5"/>
        <v>2195.3481095593224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2905.6000000000004</v>
      </c>
      <c r="J25" s="274">
        <f>SUM(J16:J24)</f>
        <v>232.44800000000004</v>
      </c>
      <c r="K25" s="275">
        <f t="shared" si="7"/>
        <v>101.696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3136.2115850847463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2905.6000000000004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15.603042711864409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3136.2115850847463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3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523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</v>
      </c>
      <c r="I17" s="236">
        <f t="shared" ref="I17:I23" si="0">(G17*D17)*F17+H17*F17</f>
        <v>157.38749999999999</v>
      </c>
      <c r="J17" s="272">
        <f t="shared" ref="J17:L24" si="1">$I17*S17</f>
        <v>12.590999999999999</v>
      </c>
      <c r="K17" s="128">
        <f>$I17*T17</f>
        <v>5.5085625</v>
      </c>
      <c r="L17" s="119">
        <f>$I17*U17</f>
        <v>0</v>
      </c>
      <c r="M17" s="230">
        <f t="shared" ref="M17:M24" si="2">I17-SUM(J17:L17)</f>
        <v>139.2879375</v>
      </c>
      <c r="N17" s="277">
        <f t="shared" ref="N17:N24" si="3">+(G17*D17+H17)*V17</f>
        <v>29.745762711864394</v>
      </c>
      <c r="O17" s="239">
        <f t="shared" ref="O17:O24" si="4">(N17+M17)*$O$15</f>
        <v>0.84516850105932195</v>
      </c>
      <c r="P17" s="119">
        <f t="shared" ref="P17:P24" si="5">M17+N17+O17</f>
        <v>169.87886871292372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</v>
      </c>
      <c r="I18" s="236">
        <f t="shared" si="0"/>
        <v>157.38749999999999</v>
      </c>
      <c r="J18" s="272">
        <f t="shared" si="1"/>
        <v>12.590999999999999</v>
      </c>
      <c r="K18" s="128">
        <f t="shared" si="1"/>
        <v>5.5085625</v>
      </c>
      <c r="L18" s="119">
        <f t="shared" si="1"/>
        <v>0</v>
      </c>
      <c r="M18" s="230">
        <f t="shared" si="2"/>
        <v>139.2879375</v>
      </c>
      <c r="N18" s="277">
        <f t="shared" si="3"/>
        <v>29.745762711864394</v>
      </c>
      <c r="O18" s="239">
        <f t="shared" si="4"/>
        <v>0.84516850105932195</v>
      </c>
      <c r="P18" s="119">
        <f t="shared" si="5"/>
        <v>169.87886871292372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119">
        <f t="shared" si="5"/>
        <v>235.21586888135593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9</v>
      </c>
      <c r="I25" s="114">
        <f t="shared" si="7"/>
        <v>532.69499999999994</v>
      </c>
      <c r="J25" s="274">
        <f>SUM(J16:J24)</f>
        <v>42.615600000000001</v>
      </c>
      <c r="K25" s="275">
        <f t="shared" si="7"/>
        <v>18.644325000000002</v>
      </c>
      <c r="L25" s="276">
        <f t="shared" si="7"/>
        <v>0</v>
      </c>
      <c r="M25" s="232">
        <f t="shared" si="7"/>
        <v>471.43507499999998</v>
      </c>
      <c r="N25" s="233">
        <f>SUM(N16:N24)</f>
        <v>100.67796610169489</v>
      </c>
      <c r="O25" s="101">
        <f>SUM(O16:O24)</f>
        <v>2.8605652055084745</v>
      </c>
      <c r="P25" s="234">
        <f>SUM(P16:P24)</f>
        <v>574.97360630720334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532.69499999999994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42.615600000000001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18.644325000000002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471.43507499999998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100.67796610169489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572.11304110169488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2.8605652055084745</v>
      </c>
    </row>
    <row r="35" spans="2:16" ht="15.75" customHeight="1" thickBot="1" x14ac:dyDescent="0.4">
      <c r="N35" s="374" t="s">
        <v>88</v>
      </c>
      <c r="O35" s="375"/>
      <c r="P35" s="297">
        <f>+P33+P34</f>
        <v>574.97360630720334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2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24</v>
      </c>
      <c r="I25" s="114">
        <f t="shared" si="7"/>
        <v>1380.165</v>
      </c>
      <c r="J25" s="274">
        <f>SUM(J16:J24)</f>
        <v>110.41319999999999</v>
      </c>
      <c r="K25" s="275">
        <f t="shared" si="7"/>
        <v>48.305775000000004</v>
      </c>
      <c r="L25" s="276">
        <f t="shared" si="7"/>
        <v>0</v>
      </c>
      <c r="M25" s="232">
        <f t="shared" si="7"/>
        <v>1221.446025</v>
      </c>
      <c r="N25" s="233">
        <f>SUM(N16:N24)</f>
        <v>260.84745762711862</v>
      </c>
      <c r="O25" s="101">
        <f>SUM(O16:O24)</f>
        <v>7.4114674131355924</v>
      </c>
      <c r="P25" s="234">
        <f>SUM(P16:P24)</f>
        <v>1489.7049500402543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1380.165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110.41319999999999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48.305775000000004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1221.446025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260.84745762711862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1482.2934826271185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7.4114674131355924</v>
      </c>
    </row>
    <row r="35" spans="2:16" ht="15.75" customHeight="1" thickBot="1" x14ac:dyDescent="0.4">
      <c r="N35" s="374" t="s">
        <v>88</v>
      </c>
      <c r="O35" s="375"/>
      <c r="P35" s="297">
        <f>+P33+P34</f>
        <v>1489.7049500402541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46309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46308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2026-10-13T11:23:43Z</dcterms:modified>
</cp:coreProperties>
</file>