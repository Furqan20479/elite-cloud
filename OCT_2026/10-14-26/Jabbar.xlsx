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F127090-3D2F-4D7E-9E62-612988C716F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M16" i="44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<sst xmlns="http://schemas.openxmlformats.org/spreadsheetml/2006/main" count="3948" uniqueCount="520">
  <si>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</si>
  <si>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</si>
  <si>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</si>
  <si>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</si>
  <si>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</si>
  <si>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</si>
  <si>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</si>
  <si>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</si>
  <si>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</si>
  <si>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</si>
  <si>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</si>
  <si>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</si>
  <si>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</si>
  <si>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</si>
  <si>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</si>
  <si>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</si>
  <si>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</si>
  <si>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</si>
  <si>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</si>
  <si>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</si>
  <si>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</si>
  <si>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</si>
  <si>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</si>
  <si>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</si>
  <si>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</si>
  <si>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</si>
  <si>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</si>
  <si>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</si>
  <si>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</si>
  <si>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</si>
  <si>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</si>
  <si>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</si>
  <si>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</si>
  <si>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</si>
  <si>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</si>
  <si>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</si>
  <si>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</si>
  <si>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</si>
  <si>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</si>
  <si>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</si>
  <si>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</si>
  <si>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</si>
  <si>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</si>
  <si>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</si>
  <si>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</si>
  <si>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</si>
  <si>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</si>
  <si>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</si>
  <si>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</si>
  <si>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</si>
  <si>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</si>
  <si>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</si>
  <si>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</si>
  <si>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</si>
  <si>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</si>
  <si>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</si>
  <si>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</si>
  <si>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</si>
  <si>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</si>
  <si>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</si>
  <si>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</si>
  <si>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</si>
  <si>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</si>
  <si>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</si>
  <si>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</si>
  <si>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</si>
  <si>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</si>
  <si>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</si>
  <si>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</si>
  <si>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</si>
  <si>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</si>
  <si>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</si>
  <si>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</si>
  <si>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</si>
  <si>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</si>
  <si>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</si>
  <si>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</si>
  <si>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</si>
  <si>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</si>
  <si>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</si>
  <si>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</si>
  <si>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</si>
  <si>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</si>
  <si>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</si>
  <si>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</si>
  <si>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</si>
  <si>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</si>
  <si>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</si>
  <si>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</si>
  <si>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</si>
  <si>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</si>
  <si>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</si>
  <si>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</si>
  <si>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</si>
  <si>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</si>
  <si>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</si>
  <si>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</si>
  <si>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</si>
  <si>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</si>
  <si>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</si>
  <si>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</si>
  <si>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</si>
  <si>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</si>
  <si>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</si>
  <si>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</si>
  <si>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</si>
  <si>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</si>
  <si>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</si>
  <si>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</si>
  <si>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</si>
  <si>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</si>
  <si>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</si>
  <si>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</si>
  <si>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</si>
  <si>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</si>
  <si>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</si>
  <si>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</si>
  <si>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</si>
  <si>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</si>
  <si>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</si>
  <si>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</si>
  <si>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</si>
  <si>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</si>
  <si>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</si>
  <si>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</si>
  <si>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</si>
  <si>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</si>
  <si>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</si>
  <si>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</si>
  <si>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</si>
  <si>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</si>
  <si>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</si>
  <si>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</si>
  <si>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</si>
  <si>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</si>
  <si>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</si>
  <si>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</si>
  <si>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</si>
  <si>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</si>
  <si>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</si>
  <si>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</si>
  <si>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</si>
  <si>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</si>
  <si>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</si>
  <si>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</si>
  <si>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</si>
  <si>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</si>
  <si>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</si>
  <si>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</si>
  <si>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</si>
  <si>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</si>
  <si>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</si>
  <si>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</si>
  <si>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</si>
  <si>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</si>
  <si>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</si>
  <si>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</si>
  <si>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</si>
  <si>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</si>
  <si>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</si>
  <si>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</si>
  <si>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</si>
  <si>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</si>
  <si>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</si>
  <si>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</si>
  <si>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</si>
  <si>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</si>
  <si>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</si>
  <si>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</si>
  <si>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</si>
  <si>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</si>
  <si>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</si>
  <si>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</si>
  <si>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</si>
  <si>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</si>
  <si>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</si>
  <si>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</si>
  <si>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</si>
  <si>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</si>
  <si>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</si>
  <si>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</si>
  <si>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</si>
  <si>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</si>
  <si>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</si>
  <si>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</si>
  <si>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</si>
  <si>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</si>
  <si>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</si>
  <si>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</si>
  <si>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</si>
  <si>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</si>
  <si>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</si>
  <si>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</si>
  <si>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</si>
  <si>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</si>
  <si>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</si>
  <si>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</si>
  <si>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</si>
  <si>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</si>
  <si>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</si>
  <si>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</si>
  <si>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</si>
  <si>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</si>
  <si>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</si>
  <si>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</si>
  <si>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</si>
  <si>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</si>
  <si>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</si>
  <si>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</si>
  <si>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</si>
  <si>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</si>
  <si>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</si>
  <si>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</si>
  <si>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</si>
  <si>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</si>
  <si>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</si>
  <si>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</si>
  <si>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</si>
  <si>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</si>
  <si>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</si>
  <si>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</si>
  <si>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</si>
  <si>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</si>
  <si>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</si>
  <si>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</si>
  <si>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</si>
  <si>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</si>
  <si>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</si>
  <si>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</si>
  <si>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</si>
  <si>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</si>
  <si>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</si>
  <si>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</si>
  <si>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</si>
  <si>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</si>
  <si>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</si>
  <si>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</si>
  <si>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</si>
  <si>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</si>
  <si>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</si>
  <si>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</si>
  <si>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</si>
  <si>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</si>
  <si>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</si>
  <si>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</si>
  <si>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</si>
  <si>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</si>
  <si>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</si>
  <si>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</si>
  <si>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</si>
  <si>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</si>
  <si>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</si>
  <si>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</si>
  <si>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</si>
  <si>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</si>
  <si>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</si>
  <si>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</si>
  <si>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</si>
  <si>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</si>
  <si>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</si>
  <si>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</si>
  <si>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</si>
  <si>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</si>
  <si>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</si>
  <si>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</si>
  <si>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</si>
  <si>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</si>
  <si>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</si>
  <si>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</si>
  <si>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</si>
  <si>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</si>
  <si>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</si>
  <si>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</si>
  <si>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</si>
  <si>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</si>
  <si>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</si>
  <si>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</si>
  <si>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</si>
  <si>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</si>
  <si>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</si>
  <si>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</si>
  <si>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</si>
  <si>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</si>
  <si>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</si>
  <si>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</si>
  <si>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</si>
  <si>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</si>
  <si>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</si>
  <si>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</si>
  <si>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</si>
  <si>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</si>
  <si>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</si>
  <si>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</si>
  <si>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</si>
  <si>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</si>
  <si>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</si>
  <si>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</si>
  <si>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</si>
  <si>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</si>
  <si>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</si>
  <si>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</si>
  <si>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</si>
  <si>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</si>
  <si>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</si>
  <si>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</si>
  <si>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</si>
  <si>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</si>
  <si>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</si>
  <si>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</si>
  <si>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</si>
  <si>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</si>
  <si>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</si>
  <si>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</si>
  <si>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</si>
  <si>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</si>
  <si>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</si>
  <si>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</si>
  <si>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</si>
  <si>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</si>
  <si>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</si>
  <si>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</si>
  <si>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</si>
  <si>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</si>
  <si>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</si>
  <si>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</si>
  <si>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</si>
  <si>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</si>
  <si>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</si>
  <si>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</si>
  <si>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</si>
  <si>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</si>
  <si>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</si>
  <si>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</si>
  <si>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</si>
  <si>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</si>
  <si>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</si>
  <si>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</si>
  <si>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</si>
  <si>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</si>
  <si>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</si>
  <si>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</si>
  <si>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</si>
  <si>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</si>
  <si>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</si>
  <si>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</si>
  <si>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</si>
  <si>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</si>
  <si>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</si>
  <si>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</si>
  <si>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</si>
  <si>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</si>
  <si>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</si>
  <si>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</si>
  <si>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</si>
  <si>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</si>
  <si>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</si>
  <si>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</si>
  <si>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</si>
  <si>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</si>
  <si>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</si>
  <si>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</si>
  <si>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</si>
  <si>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</si>
  <si>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</si>
  <si>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</si>
  <si>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</si>
  <si>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</si>
  <si>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</si>
  <si>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</si>
  <si>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</si>
  <si>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</si>
  <si>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</si>
  <si>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</si>
  <si>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</si>
  <si>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</si>
  <si>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</si>
  <si>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</si>
  <si>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</si>
  <si>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</si>
  <si>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</si>
  <si>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</si>
  <si>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</si>
  <si>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</si>
  <si>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</si>
  <si>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</si>
  <si>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</si>
  <si>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</si>
  <si>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</si>
  <si>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</si>
  <si>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</si>
  <si>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</si>
  <si>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</si>
  <si>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</si>
  <si>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</si>
  <si>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</si>
  <si>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</si>
  <si>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</si>
  <si>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</si>
  <si>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</si>
  <si>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</si>
  <si>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</si>
  <si>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</si>
  <si>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</si>
  <si>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</si>
  <si>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</si>
  <si>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</si>
  <si>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</si>
  <si>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</si>
  <si>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</si>
  <si>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</si>
  <si>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</si>
  <si>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</si>
  <si>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</si>
  <si>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</si>
  <si>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</si>
  <si>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</si>
  <si>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</si>
  <si>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</si>
  <si>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</si>
  <si>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</si>
  <si>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</si>
  <si>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</si>
  <si>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</si>
  <si>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</si>
  <si>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</si>
  <si>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</si>
  <si>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</si>
  <si>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</si>
  <si>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</si>
  <si>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</si>
  <si>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</si>
  <si>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</si>
  <si>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</si>
  <si>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</si>
  <si>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</si>
  <si>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</si>
  <si>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</si>
  <si>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</si>
  <si>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</si>
  <si>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</si>
  <si>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</si>
  <si>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</si>
  <si>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</si>
  <si>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</si>
  <si>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</si>
  <si>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</si>
  <si>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</si>
  <si>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</si>
  <si>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</si>
  <si>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</si>
  <si>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</si>
  <si>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</si>
  <si>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</si>
  <si>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</si>
  <si>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</si>
  <si>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</si>
  <si>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</si>
  <si>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</si>
  <si>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</si>
  <si>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</si>
  <si>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</si>
  <si>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</si>
  <si>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</si>
  <si>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</si>
  <si>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</si>
  <si>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</si>
  <si>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</si>
  <si>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</si>
  <si>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</si>
  <si>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</si>
  <si>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</si>
  <si>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</si>
  <si>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</si>
  <si>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</si>
  <si>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</si>
  <si>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</si>
  <si>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</si>
  <si>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</si>
  <si>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</si>
  <si>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</si>
  <si>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</si>
  <si>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</si>
  <si>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</si>
  <si>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</si>
  <si>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</si>
  <si>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</si>
  <si>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</si>
  <si>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</si>
  <si>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</si>
  <si>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</si>
  <si>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</si>
  <si>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</si>
  <si>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</si>
  <si>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</si>
  <si>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</si>
  <si>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</si>
  <si>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</si>
  <si>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</si>
  <si>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</si>
  <si>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</si>
  <si>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</si>
  <si>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</si>
  <si>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</si>
  <si>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</si>
  <si>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</si>
  <si>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</si>
  <si>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</si>
  <si>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</si>
  <si>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</si>
  <si>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</si>
  <si>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</si>
  <si>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</si>
  <si>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</si>
  <si>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</si>
  <si>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</si>
  <si>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Address: Abid Market</t>
  </si>
  <si>
    <t xml:space="preserve">Medicine Mart </t>
  </si>
  <si>
    <t>Shahid Sweet Mart</t>
  </si>
  <si>
    <t>Chartal GS</t>
  </si>
  <si>
    <t>Bilal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</si>
</sst>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5" workbookViewId="0">
      <selection activeCell="E31" sqref="E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Medicine Mart </v>
      </c>
      <c r="T3" s="301">
        <f>+'1'!P35</f>
        <v>5401.2631679237284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Shahid Sweet Mart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Chartal GS</v>
      </c>
      <c r="T5" s="301">
        <f>+'3'!P35</f>
        <v>5401.2631679237284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Bilal Store</v>
      </c>
      <c r="T6" s="301">
        <f>+'4'!P35</f>
        <v>2265.051582838983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45</v>
      </c>
      <c r="I7" s="235">
        <f>(G7*D7)*F7+H7*F7</f>
        <v>2360.8125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188.86500000000001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82.628437500000018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2089.3190624999997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446.18644067796589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12.67752751588983</v>
      </c>
      <c r="P7" s="310">
        <f>M7+N7+O7</f>
        <v>2548.1830306938555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30</v>
      </c>
      <c r="I8" s="236">
        <f t="shared" ref="I8:I14" si="0">(G8*D8)*F8+H8*F8</f>
        <v>1573.875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125.91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55.085625000000007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1392.879375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297.45762711864393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8.45168501059322</v>
      </c>
      <c r="P8" s="311">
        <f t="shared" ref="P8:P15" si="2">M8+N8+O8</f>
        <v>1698.7886871292369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45</v>
      </c>
      <c r="I9" s="236">
        <f t="shared" si="0"/>
        <v>2360.8125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188.86500000000001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82.628437500000018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2089.3190624999997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446.18644067796589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12.67752751588983</v>
      </c>
      <c r="P9" s="311">
        <f t="shared" si="2"/>
        <v>2548.1830306938555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45</v>
      </c>
      <c r="I10" s="236">
        <f t="shared" si="0"/>
        <v>3268.8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261.50399999999996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114.40800000000002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2892.8880000000004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617.7966101694916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17.553423050847456</v>
      </c>
      <c r="P10" s="311">
        <f t="shared" si="2"/>
        <v>3528.2380332203393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30</v>
      </c>
      <c r="I11" s="236">
        <f t="shared" si="0"/>
        <v>2179.1999999999998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174.33600000000001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76.272000000000006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1928.5919999999999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411.86440677966107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11.702282033898307</v>
      </c>
      <c r="P11" s="311">
        <f t="shared" si="2"/>
        <v>2352.1586888135594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45</v>
      </c>
      <c r="I12" s="236">
        <f t="shared" si="0"/>
        <v>3268.8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261.50399999999996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114.40800000000002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2892.8880000000004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617.7966101694916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17.553423050847456</v>
      </c>
      <c r="P12" s="311">
        <f t="shared" si="2"/>
        <v>3528.2380332203393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</v>
      </c>
      <c r="H16" s="113">
        <f t="shared" ref="H16:M16" si="3">SUM(H7:H15)</f>
        <v>240</v>
      </c>
      <c r="I16" s="114">
        <f t="shared" si="3"/>
        <v>15012.3</v>
      </c>
      <c r="J16" s="274">
        <f>SUM(J7:J15)</f>
        <v>1200.9839999999999</v>
      </c>
      <c r="K16" s="275">
        <f t="shared" si="3"/>
        <v>525.43050000000005</v>
      </c>
      <c r="L16" s="276">
        <f t="shared" si="3"/>
        <v>0</v>
      </c>
      <c r="M16" s="232">
        <f t="shared" si="3"/>
        <v>13285.885500000002</v>
      </c>
      <c r="N16" s="233">
        <f>SUM(N7:N15)</f>
        <v>2837.28813559322</v>
      </c>
      <c r="O16" s="101">
        <f>SUM(O7:O15)</f>
        <v>80.615868177966092</v>
      </c>
      <c r="P16" s="113">
        <f>SUM(P7:P15)</f>
        <v>16203.789503771184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15012.3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1200.9839999999999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525.43050000000005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13285.885499999999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2837.28813559322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16123.173635593219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80.615868177966092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16203.789503771184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16203.789503771186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400.32800000000003</v>
      </c>
      <c r="K25" s="275">
        <f t="shared" si="10"/>
        <v>175.14350000000002</v>
      </c>
      <c r="L25" s="276">
        <f t="shared" si="10"/>
        <v>0</v>
      </c>
      <c r="M25" s="232">
        <f t="shared" si="10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2026-10-13T11:29:54Z</dcterms:modified>
</cp:coreProperties>
</file>