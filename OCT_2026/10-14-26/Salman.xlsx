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E81495B-A77D-4008-BD7B-3AE66227C890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2" l="1"/>
  <c r="J7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P16" i="53"/>
  <c r="P25" i="53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<sst xmlns="http://schemas.openxmlformats.org/spreadsheetml/2006/main" count="3948" uniqueCount="535">
  <si>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</si>
  <si>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</si>
  <si>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</si>
  <si>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</si>
  <si>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</si>
  <si>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</si>
  <si>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</si>
  <si>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</si>
  <si>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</si>
  <si>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</si>
  <si>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</si>
  <si>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</si>
  <si>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</si>
  <si>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</si>
  <si>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</si>
  <si>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</si>
  <si>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</si>
  <si>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</si>
  <si>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</si>
  <si>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</si>
  <si>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</si>
  <si>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</si>
  <si>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</si>
  <si>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</si>
  <si>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</si>
  <si>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</si>
  <si>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</si>
  <si>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</si>
  <si>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</si>
  <si>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</si>
  <si>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</si>
  <si>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</si>
  <si>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</si>
  <si>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</si>
  <si>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</si>
  <si>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</si>
  <si>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</si>
  <si>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</si>
  <si>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</si>
  <si>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</si>
  <si>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</si>
  <si>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</si>
  <si>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</si>
  <si>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</si>
  <si>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</si>
  <si>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</si>
  <si>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</si>
  <si>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</si>
  <si>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</si>
  <si>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</si>
  <si>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</si>
  <si>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</si>
  <si>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</si>
  <si>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</si>
  <si>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</si>
  <si>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</si>
  <si>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</si>
  <si>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</si>
  <si>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</si>
  <si>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</si>
  <si>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</si>
  <si>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</si>
  <si>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</si>
  <si>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</si>
  <si>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</si>
  <si>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</si>
  <si>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</si>
  <si>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</si>
  <si>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</si>
  <si>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</si>
  <si>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</si>
  <si>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</si>
  <si>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</si>
  <si>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</si>
  <si>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</si>
  <si>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</si>
  <si>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</si>
  <si>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</si>
  <si>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</si>
  <si>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</si>
  <si>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</si>
  <si>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</si>
  <si>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</si>
  <si>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</si>
  <si>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</si>
  <si>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</si>
  <si>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</si>
  <si>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</si>
  <si>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</si>
  <si>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</si>
  <si>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</si>
  <si>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</si>
  <si>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</si>
  <si>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</si>
  <si>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</si>
  <si>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</si>
  <si>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</si>
  <si>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</si>
  <si>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</si>
  <si>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</si>
  <si>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</si>
  <si>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</si>
  <si>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</si>
  <si>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</si>
  <si>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</si>
  <si>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</si>
  <si>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</si>
  <si>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</si>
  <si>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</si>
  <si>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</si>
  <si>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</si>
  <si>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</si>
  <si>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</si>
  <si>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</si>
  <si>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</si>
  <si>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</si>
  <si>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</si>
  <si>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</si>
  <si>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</si>
  <si>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</si>
  <si>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</si>
  <si>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</si>
  <si>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</si>
  <si>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</si>
  <si>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</si>
  <si>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</si>
  <si>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</si>
  <si>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</si>
  <si>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</si>
  <si>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</si>
  <si>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</si>
  <si>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</si>
  <si>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</si>
  <si>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</si>
  <si>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</si>
  <si>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</si>
  <si>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</si>
  <si>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</si>
  <si>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</si>
  <si>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</si>
  <si>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</si>
  <si>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</si>
  <si>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</si>
  <si>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</si>
  <si>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</si>
  <si>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</si>
  <si>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</si>
  <si>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</si>
  <si>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</si>
  <si>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</si>
  <si>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</si>
  <si>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</si>
  <si>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</si>
  <si>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</si>
  <si>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</si>
  <si>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</si>
  <si>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</si>
  <si>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</si>
  <si>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</si>
  <si>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</si>
  <si>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</si>
  <si>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</si>
  <si>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</si>
  <si>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</si>
  <si>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</si>
  <si>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</si>
  <si>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</si>
  <si>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</si>
  <si>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</si>
  <si>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</si>
  <si>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</si>
  <si>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</si>
  <si>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</si>
  <si>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</si>
  <si>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</si>
  <si>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</si>
  <si>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</si>
  <si>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</si>
  <si>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</si>
  <si>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</si>
  <si>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</si>
  <si>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</si>
  <si>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</si>
  <si>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</si>
  <si>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</si>
  <si>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</si>
  <si>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</si>
  <si>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</si>
  <si>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</si>
  <si>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</si>
  <si>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</si>
  <si>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</si>
  <si>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</si>
  <si>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</si>
  <si>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</si>
  <si>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</si>
  <si>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</si>
  <si>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</si>
  <si>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</si>
  <si>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</si>
  <si>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</si>
  <si>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</si>
  <si>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</si>
  <si>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</si>
  <si>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</si>
  <si>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</si>
  <si>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</si>
  <si>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</si>
  <si>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</si>
  <si>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</si>
  <si>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</si>
  <si>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</si>
  <si>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</si>
  <si>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</si>
  <si>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</si>
  <si>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</si>
  <si>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</si>
  <si>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</si>
  <si>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</si>
  <si>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</si>
  <si>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</si>
  <si>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</si>
  <si>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</si>
  <si>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</si>
  <si>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</si>
  <si>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</si>
  <si>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</si>
  <si>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</si>
  <si>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</si>
  <si>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</si>
  <si>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</si>
  <si>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</si>
  <si>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</si>
  <si>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</si>
  <si>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</si>
  <si>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</si>
  <si>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</si>
  <si>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</si>
  <si>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</si>
  <si>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</si>
  <si>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</si>
  <si>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</si>
  <si>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</si>
  <si>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</si>
  <si>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</si>
  <si>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</si>
  <si>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</si>
  <si>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</si>
  <si>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</si>
  <si>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</si>
  <si>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</si>
  <si>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</si>
  <si>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</si>
  <si>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</si>
  <si>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</si>
  <si>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</si>
  <si>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</si>
  <si>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</si>
  <si>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</si>
  <si>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</si>
  <si>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</si>
  <si>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</si>
  <si>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</si>
  <si>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</si>
  <si>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</si>
  <si>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</si>
  <si>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</si>
  <si>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</si>
  <si>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</si>
  <si>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</si>
  <si>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</si>
  <si>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</si>
  <si>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</si>
  <si>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</si>
  <si>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</si>
  <si>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</si>
  <si>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</si>
  <si>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</si>
  <si>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</si>
  <si>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</si>
  <si>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</si>
  <si>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</si>
  <si>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</si>
  <si>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</si>
  <si>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</si>
  <si>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</si>
  <si>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</si>
  <si>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</si>
  <si>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</si>
  <si>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</si>
  <si>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</si>
  <si>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</si>
  <si>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</si>
  <si>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</si>
  <si>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</si>
  <si>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</si>
  <si>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</si>
  <si>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</si>
  <si>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</si>
  <si>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</si>
  <si>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</si>
  <si>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</si>
  <si>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</si>
  <si>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</si>
  <si>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</si>
  <si>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</si>
  <si>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</si>
  <si>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</si>
  <si>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</si>
  <si>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</si>
  <si>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</si>
  <si>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</si>
  <si>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</si>
  <si>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</si>
  <si>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</si>
  <si>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</si>
  <si>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</si>
  <si>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</si>
  <si>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</si>
  <si>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</si>
  <si>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</si>
  <si>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</si>
  <si>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</si>
  <si>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</si>
  <si>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</si>
  <si>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</si>
  <si>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</si>
  <si>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</si>
  <si>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</si>
  <si>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</si>
  <si>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</si>
  <si>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</si>
  <si>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</si>
  <si>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</si>
  <si>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</si>
  <si>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</si>
  <si>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</si>
  <si>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</si>
  <si>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</si>
  <si>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</si>
  <si>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</si>
  <si>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</si>
  <si>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</si>
  <si>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</si>
  <si>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</si>
  <si>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</si>
  <si>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</si>
  <si>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</si>
  <si>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</si>
  <si>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</si>
  <si>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</si>
  <si>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</si>
  <si>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</si>
  <si>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</si>
  <si>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</si>
  <si>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</si>
  <si>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</si>
  <si>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</si>
  <si>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</si>
  <si>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</si>
  <si>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</si>
  <si>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</si>
  <si>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</si>
  <si>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</si>
  <si>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</si>
  <si>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</si>
  <si>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</si>
  <si>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</si>
  <si>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</si>
  <si>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</si>
  <si>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</si>
  <si>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</si>
  <si>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</si>
  <si>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</si>
  <si>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</si>
  <si>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</si>
  <si>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</si>
  <si>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</si>
  <si>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</si>
  <si>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</si>
  <si>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</si>
  <si>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</si>
  <si>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</si>
  <si>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</si>
  <si>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</si>
  <si>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</si>
  <si>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</si>
  <si>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</si>
  <si>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</si>
  <si>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</si>
  <si>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</si>
  <si>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</si>
  <si>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</si>
  <si>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</si>
  <si>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</si>
  <si>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</si>
  <si>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</si>
  <si>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</si>
  <si>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</si>
  <si>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</si>
  <si>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</si>
  <si>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</si>
  <si>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</si>
  <si>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</si>
  <si>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</si>
  <si>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</si>
  <si>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</si>
  <si>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</si>
  <si>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</si>
  <si>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</si>
  <si>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</si>
  <si>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</si>
  <si>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</si>
  <si>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</si>
  <si>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</si>
  <si>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</si>
  <si>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</si>
  <si>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</si>
  <si>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</si>
  <si>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</si>
  <si>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</si>
  <si>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</si>
  <si>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</si>
  <si>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</si>
  <si>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</si>
  <si>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</si>
  <si>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</si>
  <si>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</si>
  <si>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</si>
  <si>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</si>
  <si>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</si>
  <si>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</si>
  <si>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</si>
  <si>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</si>
  <si>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</si>
  <si>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</si>
  <si>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</si>
  <si>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</si>
  <si>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</si>
  <si>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</si>
  <si>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</si>
  <si>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</si>
  <si>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</si>
  <si>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</si>
  <si>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</si>
  <si>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</si>
  <si>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</si>
  <si>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</si>
  <si>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</si>
  <si>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</si>
  <si>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</si>
  <si>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</si>
  <si>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</si>
  <si>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</si>
  <si>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</si>
  <si>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</si>
  <si>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</si>
  <si>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</si>
  <si>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</si>
  <si>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</si>
  <si>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</si>
  <si>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</si>
  <si>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</si>
  <si>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</si>
  <si>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</si>
  <si>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</si>
  <si>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</si>
  <si>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</si>
  <si>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</si>
  <si>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</si>
  <si>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</si>
  <si>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</si>
  <si>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</si>
  <si>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</si>
  <si>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</si>
  <si>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</si>
  <si>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</si>
  <si>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</si>
  <si>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</si>
  <si>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</si>
  <si>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</si>
  <si>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</si>
  <si>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</si>
  <si>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</si>
  <si>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</si>
  <si>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</si>
  <si>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</si>
  <si>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</si>
  <si>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</si>
  <si>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</si>
  <si>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</si>
  <si>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</si>
  <si>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</si>
  <si>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</si>
  <si>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</si>
  <si>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</si>
  <si>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</si>
  <si>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</si>
  <si>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</si>
  <si>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</si>
  <si>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</si>
  <si>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</si>
  <si>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</si>
  <si>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</si>
  <si>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</si>
  <si>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</si>
  <si>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</si>
  <si>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</si>
  <si>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</si>
  <si>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</si>
  <si>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</si>
  <si>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</si>
  <si>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</si>
  <si>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</si>
  <si>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>Address: Zilah Ghazia abad</t>
  </si>
  <si>
    <t xml:space="preserve">W Mart </t>
  </si>
  <si>
    <t>Faisal Store</t>
  </si>
  <si>
    <t>Umer GS</t>
  </si>
  <si>
    <t>Makkah Store</t>
  </si>
  <si>
    <t>Kashif Store</t>
  </si>
  <si>
    <t xml:space="preserve">Ali Hajweri Bakery </t>
  </si>
  <si>
    <t>Butt Store</t>
  </si>
  <si>
    <t>Gulam Rasool Store</t>
  </si>
  <si>
    <t xml:space="preserve">Adil Bakers </t>
  </si>
  <si>
    <t>Shahbaz Store</t>
  </si>
  <si>
    <t>Haji Store</t>
  </si>
  <si>
    <t>Wasif Store</t>
  </si>
  <si>
    <t>Shamas Store</t>
  </si>
  <si>
    <t>Qazi Store</t>
  </si>
  <si>
    <t>Lali GS</t>
  </si>
  <si>
    <t>Kamran Store</t>
  </si>
  <si>
    <t>Altaf GS</t>
  </si>
  <si>
    <t>Shah G Store</t>
  </si>
  <si>
    <t>Sultani store</t>
  </si>
  <si>
    <t>Mg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</si>
</sst>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C1" sqref="C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46309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W Mart </v>
      </c>
      <c r="T3" s="301">
        <f>+'1'!P35</f>
        <v>15681.057925423729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Faisal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Umer GS</v>
      </c>
      <c r="T5" s="301">
        <f>+'3'!P35</f>
        <v>1568.1057925423729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Makkah Store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167.87999999999997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73.447499999999991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Kashif Store</v>
      </c>
      <c r="T7" s="301">
        <f>+'5'!P35</f>
        <v>5401.2631679237284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29</v>
      </c>
      <c r="I8" s="236">
        <f t="shared" ref="I8:I14" si="0">(G8*D8)*F8+H8*F8</f>
        <v>1521.4124999999999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121.71299999999999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53.249437499999999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1346.4500624999998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287.54237288135585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8.169962176906779</v>
      </c>
      <c r="P8" s="311">
        <f t="shared" ref="P8:P15" si="2">M8+N8+O8</f>
        <v>1642.1623975582625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Ali Hajweri Bakery </v>
      </c>
      <c r="T8" s="301">
        <f>+'6'!P35</f>
        <v>339.75773742584738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50</v>
      </c>
      <c r="I9" s="236">
        <f t="shared" si="0"/>
        <v>2623.125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209.84999999999997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91.809374999999989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2321.4656249999998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495.76271186440658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14.086141684322033</v>
      </c>
      <c r="P9" s="311">
        <f t="shared" si="2"/>
        <v>2831.3144785487289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Butt Store</v>
      </c>
      <c r="T9" s="301">
        <f>+'7'!P35</f>
        <v>405.09473759427965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155</v>
      </c>
      <c r="I10" s="236">
        <f t="shared" si="0"/>
        <v>11259.2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900.73599999999976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394.07199999999989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9964.3920000000016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2127.9661016949153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60.461790508474579</v>
      </c>
      <c r="P10" s="311">
        <f t="shared" si="2"/>
        <v>12152.819892203392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Gulam Rasool Store</v>
      </c>
      <c r="T10" s="301">
        <f>+'8'!P35</f>
        <v>339.75773742584738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98</v>
      </c>
      <c r="I11" s="236">
        <f t="shared" si="0"/>
        <v>7118.72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569.49760000000015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249.15520000000004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6300.0672000000004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1345.4237288135594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38.227454644067798</v>
      </c>
      <c r="P11" s="311">
        <f t="shared" si="2"/>
        <v>7683.7183834576272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Adil Bakers </v>
      </c>
      <c r="T11" s="301">
        <f>+'9'!P35</f>
        <v>339.75773742584738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170</v>
      </c>
      <c r="I12" s="236">
        <f t="shared" si="0"/>
        <v>12348.8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987.90399999999988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432.20799999999997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10928.688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2333.898305084746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66.312931525423721</v>
      </c>
      <c r="P12" s="311">
        <f t="shared" si="2"/>
        <v>13328.89923661017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Shahbaz Store</v>
      </c>
      <c r="T12" s="301">
        <f>+'10'!P35</f>
        <v>339.75773742584738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Haji Store</v>
      </c>
      <c r="T13" s="301">
        <f>+'11'!P35</f>
        <v>339.75773742584738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Wasif Store</v>
      </c>
      <c r="T14" s="301">
        <f>+'12'!P35</f>
        <v>339.75773742584738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Shamas Store</v>
      </c>
      <c r="T15" s="301">
        <f>+'13'!P35</f>
        <v>470.43173776271186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13.55</v>
      </c>
      <c r="H16" s="113">
        <f t="shared" ref="H16:M16" si="3">SUM(H7:H15)</f>
        <v>542</v>
      </c>
      <c r="I16" s="114">
        <f t="shared" si="3"/>
        <v>36969.757500000007</v>
      </c>
      <c r="J16" s="274">
        <f>SUM(J7:J15)</f>
        <v>2957.5805999999998</v>
      </c>
      <c r="K16" s="275">
        <f t="shared" si="3"/>
        <v>1293.9415124999998</v>
      </c>
      <c r="L16" s="276">
        <f t="shared" si="3"/>
        <v>0</v>
      </c>
      <c r="M16" s="232">
        <f t="shared" si="3"/>
        <v>32718.235387500004</v>
      </c>
      <c r="N16" s="233">
        <f>SUM(N7:N15)</f>
        <v>6987.203389830509</v>
      </c>
      <c r="O16" s="101">
        <f>SUM(O7:O15)</f>
        <v>198.52719388665253</v>
      </c>
      <c r="P16" s="113">
        <f>SUM(P7:P15)</f>
        <v>39903.965971217163</v>
      </c>
      <c r="Q16" s="128">
        <f>SUM(Q7:Q15)</f>
        <v>0</v>
      </c>
      <c r="R16" s="313">
        <v>14</v>
      </c>
      <c r="S16" s="315" t="str">
        <f>+'14'!A6:A6</f>
        <v>Qazi Store</v>
      </c>
      <c r="T16" s="301">
        <f>+'14'!P35</f>
        <v>470.43173776271186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Lali GS</v>
      </c>
      <c r="T17" s="301">
        <f>+'15'!P35</f>
        <v>470.43173776271186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Kamran Store</v>
      </c>
      <c r="T18" s="301">
        <f>+'16'!P35</f>
        <v>470.43173776271186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36969.757500000007</v>
      </c>
      <c r="R19" s="299">
        <v>17</v>
      </c>
      <c r="S19" s="300" t="str">
        <f>+'17'!A6:A6</f>
        <v>Altaf GS</v>
      </c>
      <c r="T19" s="301">
        <f>+'17'!P35</f>
        <v>313.62115850847459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2957.5805999999998</v>
      </c>
      <c r="R20" s="299">
        <v>18</v>
      </c>
      <c r="S20" s="300" t="str">
        <f>+'18'!A6:A6</f>
        <v>Shah G Store</v>
      </c>
      <c r="T20" s="301">
        <f>+'18'!P35</f>
        <v>470.43173776271186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1293.9415124999998</v>
      </c>
      <c r="R21" s="299">
        <v>19</v>
      </c>
      <c r="S21" s="300" t="str">
        <f>+'19'!A6:A6</f>
        <v>Sultani store</v>
      </c>
      <c r="T21" s="301">
        <f>+'19'!P35</f>
        <v>470.43173776271186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32718.235387500004</v>
      </c>
      <c r="R22" s="299">
        <v>20</v>
      </c>
      <c r="S22" s="300" t="str">
        <f>+'20'!A6:A6</f>
        <v>Mg Mart</v>
      </c>
      <c r="T22" s="301">
        <f>+'20'!P35</f>
        <v>5401.2631679237293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6987.203389830509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39705.438777330513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198.52719388665253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39903.965971217163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39903.965971217149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119">
        <f t="shared" si="5"/>
        <v>6272.4231701694916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14528</v>
      </c>
      <c r="J25" s="274">
        <f>SUM(J16:J24)</f>
        <v>1162.24</v>
      </c>
      <c r="K25" s="275">
        <f t="shared" si="10"/>
        <v>508.48</v>
      </c>
      <c r="L25" s="276">
        <f t="shared" si="10"/>
        <v>0</v>
      </c>
      <c r="M25" s="232">
        <f t="shared" si="10"/>
        <v>12857.28</v>
      </c>
      <c r="N25" s="233">
        <f>SUM(N16:N24)</f>
        <v>2745.7627118644068</v>
      </c>
      <c r="O25" s="101">
        <f>SUM(O16:O24)</f>
        <v>78.015213559322035</v>
      </c>
      <c r="P25" s="234">
        <f>SUM(P16:P24)</f>
        <v>15681.057925423729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1162.24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508.48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12857.28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2745.7627118644068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15603.042711864407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78.015213559322035</v>
      </c>
    </row>
    <row r="35" spans="2:16" ht="15.75" customHeight="1" thickBot="1" x14ac:dyDescent="0.4">
      <c r="N35" s="374" t="s">
        <v>88</v>
      </c>
      <c r="O35" s="375"/>
      <c r="P35" s="297">
        <f>+P33+P34</f>
        <v>15681.057925423729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119">
        <f t="shared" si="5"/>
        <v>169.87886871292372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314.77499999999998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25.181999999999999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11.017125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278.57587499999994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338.06740042372871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4" t="s">
        <v>88</v>
      </c>
      <c r="O35" s="375"/>
      <c r="P35" s="297">
        <f>+P33+P34</f>
        <v>339.75773742584738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119">
        <f t="shared" ref="P17:P24" si="5">M17+N17+O17</f>
        <v>169.87886871292372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119">
        <f t="shared" si="5"/>
        <v>235.21586888135593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375.3075</v>
      </c>
      <c r="J25" s="274">
        <f>SUM(J16:J24)</f>
        <v>30.0246</v>
      </c>
      <c r="K25" s="275">
        <f t="shared" si="7"/>
        <v>13.135762500000002</v>
      </c>
      <c r="L25" s="276">
        <f t="shared" si="7"/>
        <v>0</v>
      </c>
      <c r="M25" s="232">
        <f t="shared" si="7"/>
        <v>332.14713749999999</v>
      </c>
      <c r="N25" s="233">
        <f>SUM(N16:N24)</f>
        <v>70.932203389830505</v>
      </c>
      <c r="O25" s="101">
        <f>SUM(O16:O24)</f>
        <v>2.0153967044491523</v>
      </c>
      <c r="P25" s="234">
        <f>SUM(P16:P24)</f>
        <v>405.09473759427965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375.3075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30.0246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13.135762500000002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332.14713749999999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70.932203389830505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403.07934088983052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2.0153967044491528</v>
      </c>
    </row>
    <row r="35" spans="2:16" ht="15.75" customHeight="1" thickBot="1" x14ac:dyDescent="0.4">
      <c r="N35" s="374" t="s">
        <v>88</v>
      </c>
      <c r="O35" s="375"/>
      <c r="P35" s="297">
        <f>+P33+P34</f>
        <v>405.09473759427965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314.77499999999998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25.181999999999999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11.017125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278.57587499999994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338.06740042372871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4" t="s">
        <v>88</v>
      </c>
      <c r="O35" s="375"/>
      <c r="P35" s="297">
        <f>+P33+P34</f>
        <v>339.75773742584738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119">
        <f t="shared" si="5"/>
        <v>169.87886871292372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314.77499999999998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25.181999999999999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11.017125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278.57587499999994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338.06740042372871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4" t="s">
        <v>88</v>
      </c>
      <c r="O35" s="375"/>
      <c r="P35" s="297">
        <f>+P33+P34</f>
        <v>339.75773742584738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119">
        <f t="shared" si="5"/>
        <v>169.87886871292372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314.77499999999998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25.181999999999999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11.017125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278.57587499999994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338.06740042372871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4" t="s">
        <v>88</v>
      </c>
      <c r="O35" s="375"/>
      <c r="P35" s="297">
        <f>+P33+P34</f>
        <v>339.75773742584738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21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119">
        <f t="shared" si="5"/>
        <v>169.87886871292372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314.77499999999998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25.181999999999999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11.017125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278.57587499999994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338.06740042372871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4" t="s">
        <v>88</v>
      </c>
      <c r="O35" s="375"/>
      <c r="P35" s="297">
        <f>+P33+P34</f>
        <v>339.75773742584738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119">
        <f t="shared" si="5"/>
        <v>169.87886871292372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314.77499999999998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25.181999999999999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11.017125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278.57587499999994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338.06740042372871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4" t="s">
        <v>88</v>
      </c>
      <c r="O35" s="375"/>
      <c r="P35" s="297">
        <f>+P33+P34</f>
        <v>339.75773742584738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470.43173776271192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470.43173776271192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470.43173776271192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</v>
      </c>
      <c r="I25" s="114">
        <f t="shared" si="7"/>
        <v>290.56</v>
      </c>
      <c r="J25" s="274">
        <f>SUM(J16:J24)</f>
        <v>23.244800000000001</v>
      </c>
      <c r="K25" s="275">
        <f t="shared" si="7"/>
        <v>10.169600000000001</v>
      </c>
      <c r="L25" s="276">
        <f t="shared" si="7"/>
        <v>0</v>
      </c>
      <c r="M25" s="232">
        <f t="shared" si="7"/>
        <v>257.1456</v>
      </c>
      <c r="N25" s="233">
        <f>SUM(N16:N24)</f>
        <v>54.915254237288138</v>
      </c>
      <c r="O25" s="101">
        <f>SUM(O16:O24)</f>
        <v>1.5603042711864408</v>
      </c>
      <c r="P25" s="234">
        <f>SUM(P16:P24)</f>
        <v>313.62115850847459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290.56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23.244800000000001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10.169600000000001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257.1456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54.915254237288138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312.06085423728814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1.5603042711864408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313.62115850847459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533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8.75" customHeight="1" x14ac:dyDescent="0.4">
      <c r="A6" s="400" t="s">
        <v>534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26.871956059322031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4428.6285000000007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46311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46310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2026-10-15T04:32:30Z</dcterms:modified>
</cp:coreProperties>
</file>