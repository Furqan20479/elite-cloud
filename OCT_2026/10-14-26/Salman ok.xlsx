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CF31661-8E32-4E1E-8E97-3D3CB900008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2" l="1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16" i="53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<sst xmlns="http://schemas.openxmlformats.org/spreadsheetml/2006/main" count="3948" uniqueCount="535">
  <si>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</si>
  <si>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</si>
  <si>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</si>
  <si>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</si>
  <si>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</si>
  <si>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</si>
  <si>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</si>
  <si>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</si>
  <si>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</si>
  <si>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</si>
  <si>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</si>
  <si>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</si>
  <si>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</si>
  <si>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</si>
  <si>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</si>
  <si>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</si>
  <si>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</si>
  <si>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</si>
  <si>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</si>
  <si>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</si>
  <si>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</si>
  <si>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</si>
  <si>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</si>
  <si>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</si>
  <si>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</si>
  <si>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</si>
  <si>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</si>
  <si>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</si>
  <si>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</si>
  <si>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</si>
  <si>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</si>
  <si>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</si>
  <si>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</si>
  <si>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</si>
  <si>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</si>
  <si>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</si>
  <si>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</si>
  <si>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</si>
  <si>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</si>
  <si>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</si>
  <si>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</si>
  <si>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</si>
  <si>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</si>
  <si>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</si>
  <si>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</si>
  <si>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</si>
  <si>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</si>
  <si>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</si>
  <si>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</si>
  <si>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</si>
  <si>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</si>
  <si>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</si>
  <si>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</si>
  <si>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</si>
  <si>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</si>
  <si>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</si>
  <si>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</si>
  <si>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</si>
  <si>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</si>
  <si>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</si>
  <si>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</si>
  <si>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</si>
  <si>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</si>
  <si>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</si>
  <si>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</si>
  <si>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</si>
  <si>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</si>
  <si>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</si>
  <si>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</si>
  <si>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</si>
  <si>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</si>
  <si>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</si>
  <si>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</si>
  <si>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</si>
  <si>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</si>
  <si>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</si>
  <si>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</si>
  <si>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</si>
  <si>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</si>
  <si>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</si>
  <si>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</si>
  <si>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</si>
  <si>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</si>
  <si>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</si>
  <si>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</si>
  <si>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</si>
  <si>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</si>
  <si>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</si>
  <si>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</si>
  <si>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</si>
  <si>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</si>
  <si>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</si>
  <si>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</si>
  <si>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</si>
  <si>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</si>
  <si>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</si>
  <si>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</si>
  <si>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</si>
  <si>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</si>
  <si>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</si>
  <si>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</si>
  <si>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</si>
  <si>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</si>
  <si>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</si>
  <si>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</si>
  <si>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</si>
  <si>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</si>
  <si>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</si>
  <si>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</si>
  <si>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</si>
  <si>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</si>
  <si>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</si>
  <si>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</si>
  <si>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</si>
  <si>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</si>
  <si>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</si>
  <si>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</si>
  <si>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</si>
  <si>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</si>
  <si>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</si>
  <si>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</si>
  <si>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</si>
  <si>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</si>
  <si>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</si>
  <si>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</si>
  <si>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</si>
  <si>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</si>
  <si>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</si>
  <si>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</si>
  <si>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</si>
  <si>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</si>
  <si>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</si>
  <si>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</si>
  <si>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</si>
  <si>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</si>
  <si>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</si>
  <si>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</si>
  <si>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</si>
  <si>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</si>
  <si>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</si>
  <si>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</si>
  <si>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</si>
  <si>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</si>
  <si>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</si>
  <si>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</si>
  <si>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</si>
  <si>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</si>
  <si>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</si>
  <si>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</si>
  <si>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</si>
  <si>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</si>
  <si>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</si>
  <si>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</si>
  <si>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</si>
  <si>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</si>
  <si>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</si>
  <si>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</si>
  <si>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</si>
  <si>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</si>
  <si>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</si>
  <si>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</si>
  <si>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</si>
  <si>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</si>
  <si>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</si>
  <si>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</si>
  <si>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</si>
  <si>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</si>
  <si>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</si>
  <si>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</si>
  <si>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</si>
  <si>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</si>
  <si>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</si>
  <si>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</si>
  <si>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</si>
  <si>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</si>
  <si>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</si>
  <si>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</si>
  <si>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</si>
  <si>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</si>
  <si>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</si>
  <si>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</si>
  <si>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</si>
  <si>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</si>
  <si>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</si>
  <si>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</si>
  <si>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</si>
  <si>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</si>
  <si>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</si>
  <si>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</si>
  <si>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</si>
  <si>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</si>
  <si>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</si>
  <si>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</si>
  <si>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</si>
  <si>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</si>
  <si>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</si>
  <si>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</si>
  <si>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</si>
  <si>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</si>
  <si>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</si>
  <si>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</si>
  <si>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</si>
  <si>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</si>
  <si>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</si>
  <si>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</si>
  <si>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</si>
  <si>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</si>
  <si>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</si>
  <si>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</si>
  <si>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</si>
  <si>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</si>
  <si>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</si>
  <si>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</si>
  <si>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</si>
  <si>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</si>
  <si>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</si>
  <si>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</si>
  <si>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</si>
  <si>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</si>
  <si>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</si>
  <si>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</si>
  <si>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</si>
  <si>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</si>
  <si>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</si>
  <si>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</si>
  <si>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</si>
  <si>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</si>
  <si>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</si>
  <si>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</si>
  <si>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</si>
  <si>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</si>
  <si>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</si>
  <si>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</si>
  <si>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</si>
  <si>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</si>
  <si>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</si>
  <si>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</si>
  <si>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</si>
  <si>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</si>
  <si>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</si>
  <si>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</si>
  <si>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</si>
  <si>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</si>
  <si>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</si>
  <si>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</si>
  <si>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</si>
  <si>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</si>
  <si>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</si>
  <si>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</si>
  <si>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</si>
  <si>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</si>
  <si>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</si>
  <si>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</si>
  <si>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</si>
  <si>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</si>
  <si>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</si>
  <si>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</si>
  <si>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</si>
  <si>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</si>
  <si>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</si>
  <si>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</si>
  <si>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</si>
  <si>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</si>
  <si>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</si>
  <si>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</si>
  <si>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</si>
  <si>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</si>
  <si>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</si>
  <si>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</si>
  <si>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</si>
  <si>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</si>
  <si>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</si>
  <si>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</si>
  <si>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</si>
  <si>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</si>
  <si>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</si>
  <si>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</si>
  <si>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</si>
  <si>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</si>
  <si>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</si>
  <si>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</si>
  <si>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</si>
  <si>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</si>
  <si>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</si>
  <si>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</si>
  <si>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</si>
  <si>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</si>
  <si>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</si>
  <si>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</si>
  <si>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</si>
  <si>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</si>
  <si>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</si>
  <si>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</si>
  <si>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</si>
  <si>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</si>
  <si>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</si>
  <si>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</si>
  <si>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</si>
  <si>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</si>
  <si>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</si>
  <si>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</si>
  <si>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</si>
  <si>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</si>
  <si>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</si>
  <si>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</si>
  <si>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</si>
  <si>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</si>
  <si>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</si>
  <si>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</si>
  <si>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</si>
  <si>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</si>
  <si>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</si>
  <si>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</si>
  <si>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</si>
  <si>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</si>
  <si>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</si>
  <si>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</si>
  <si>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</si>
  <si>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</si>
  <si>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</si>
  <si>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</si>
  <si>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</si>
  <si>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</si>
  <si>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</si>
  <si>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</si>
  <si>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</si>
  <si>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</si>
  <si>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</si>
  <si>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</si>
  <si>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</si>
  <si>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</si>
  <si>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</si>
  <si>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</si>
  <si>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</si>
  <si>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</si>
  <si>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</si>
  <si>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</si>
  <si>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</si>
  <si>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</si>
  <si>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</si>
  <si>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</si>
  <si>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</si>
  <si>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</si>
  <si>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</si>
  <si>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</si>
  <si>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</si>
  <si>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</si>
  <si>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</si>
  <si>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</si>
  <si>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</si>
  <si>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</si>
  <si>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</si>
  <si>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</si>
  <si>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</si>
  <si>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</si>
  <si>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</si>
  <si>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</si>
  <si>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</si>
  <si>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</si>
  <si>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</si>
  <si>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</si>
  <si>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</si>
  <si>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</si>
  <si>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</si>
  <si>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</si>
  <si>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</si>
  <si>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</si>
  <si>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</si>
  <si>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</si>
  <si>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</si>
  <si>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</si>
  <si>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</si>
  <si>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</si>
  <si>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</si>
  <si>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</si>
  <si>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</si>
  <si>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</si>
  <si>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</si>
  <si>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</si>
  <si>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</si>
  <si>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</si>
  <si>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</si>
  <si>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</si>
  <si>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</si>
  <si>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</si>
  <si>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</si>
  <si>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</si>
  <si>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</si>
  <si>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</si>
  <si>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</si>
  <si>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</si>
  <si>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</si>
  <si>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</si>
  <si>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</si>
  <si>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</si>
  <si>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</si>
  <si>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</si>
  <si>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</si>
  <si>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</si>
  <si>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</si>
  <si>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</si>
  <si>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</si>
  <si>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</si>
  <si>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</si>
  <si>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</si>
  <si>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</si>
  <si>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</si>
  <si>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</si>
  <si>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</si>
  <si>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</si>
  <si>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</si>
  <si>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</si>
  <si>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</si>
  <si>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</si>
  <si>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</si>
  <si>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</si>
  <si>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</si>
  <si>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</si>
  <si>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</si>
  <si>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</si>
  <si>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</si>
  <si>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</si>
  <si>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</si>
  <si>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</si>
  <si>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</si>
  <si>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</si>
  <si>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</si>
  <si>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</si>
  <si>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</si>
  <si>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</si>
  <si>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</si>
  <si>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</si>
  <si>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</si>
  <si>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</si>
  <si>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</si>
  <si>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</si>
  <si>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</si>
  <si>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</si>
  <si>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</si>
  <si>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</si>
  <si>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</si>
  <si>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</si>
  <si>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</si>
  <si>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</si>
  <si>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</si>
  <si>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</si>
  <si>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</si>
  <si>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</si>
  <si>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</si>
  <si>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</si>
  <si>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</si>
  <si>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</si>
  <si>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</si>
  <si>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</si>
  <si>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</si>
  <si>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</si>
  <si>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</si>
  <si>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</si>
  <si>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</si>
  <si>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</si>
  <si>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</si>
  <si>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</si>
  <si>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</si>
  <si>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</si>
  <si>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</si>
  <si>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</si>
  <si>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</si>
  <si>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</si>
  <si>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</si>
  <si>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</si>
  <si>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</si>
  <si>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</si>
  <si>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</si>
  <si>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</si>
  <si>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</si>
  <si>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</si>
  <si>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</si>
  <si>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</si>
  <si>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</si>
  <si>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</si>
  <si>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</si>
  <si>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</si>
  <si>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</si>
  <si>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</si>
  <si>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</si>
  <si>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</si>
  <si>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</si>
  <si>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</si>
  <si>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</si>
  <si>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</si>
  <si>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</si>
  <si>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</si>
  <si>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</si>
  <si>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</si>
  <si>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</si>
  <si>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</si>
  <si>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</si>
  <si>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</si>
  <si>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</si>
  <si>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</si>
  <si>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</si>
  <si>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</si>
  <si>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</si>
  <si>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</si>
  <si>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</si>
  <si>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</si>
  <si>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</si>
  <si>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</si>
  <si>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</si>
  <si>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</si>
  <si>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</si>
  <si>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</si>
  <si>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</si>
  <si>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</si>
  <si>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Address: Zilah Ghazia abad</t>
  </si>
  <si>
    <t xml:space="preserve">W Mart </t>
  </si>
  <si>
    <t>Faisal Store</t>
  </si>
  <si>
    <t>Umer GS</t>
  </si>
  <si>
    <t>Makkah Store</t>
  </si>
  <si>
    <t>Kashif Store</t>
  </si>
  <si>
    <t xml:space="preserve">Ali Hajweri Bakery </t>
  </si>
  <si>
    <t>Butt Store</t>
  </si>
  <si>
    <t>Gulam Rasool Store</t>
  </si>
  <si>
    <t xml:space="preserve">Adil Bakers </t>
  </si>
  <si>
    <t>Shahbaz Store</t>
  </si>
  <si>
    <t>Haji Store</t>
  </si>
  <si>
    <t>Wasif Store</t>
  </si>
  <si>
    <t>Shamas Store</t>
  </si>
  <si>
    <t>Qazi Store</t>
  </si>
  <si>
    <t>Lali GS</t>
  </si>
  <si>
    <t>Kamran Store</t>
  </si>
  <si>
    <t>Altaf GS</t>
  </si>
  <si>
    <t>Shah G Store</t>
  </si>
  <si>
    <t>Sultani store</t>
  </si>
  <si>
    <t>Mg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</si>
</sst>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46309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W Mart </v>
      </c>
      <c r="T3" s="301">
        <f>+'1'!P35</f>
        <v>15681.057925423729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Faisal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GS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Makkah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25</v>
      </c>
      <c r="I7" s="235">
        <f>(G7*D7)*F7+H7*F7</f>
        <v>1311.5625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104.925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45.904687500000001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1160.7328124999999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247.88135593220329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7.0430708421610166</v>
      </c>
      <c r="P7" s="310">
        <f>M7+N7+O7</f>
        <v>1415.6572392743644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15</v>
      </c>
      <c r="R7" s="313">
        <v>5</v>
      </c>
      <c r="S7" s="300" t="str">
        <f>+'5'!A6:A6</f>
        <v>Kashif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19</v>
      </c>
      <c r="I8" s="236">
        <f t="shared" ref="I8:I14" si="0">(G8*D8)*F8+H8*F8</f>
        <v>996.78750000000002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79.742999999999995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34.887562500000001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882.15693750000003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188.38983050847452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5.3527338400423723</v>
      </c>
      <c r="P8" s="311">
        <f t="shared" ref="P8:P15" si="2">M8+N8+O8</f>
        <v>1075.899501848517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10</v>
      </c>
      <c r="R8" s="313">
        <v>6</v>
      </c>
      <c r="S8" s="300" t="str">
        <f>+'6'!A6:A6</f>
        <v xml:space="preserve">Ali Hajweri Bakery </v>
      </c>
      <c r="T8" s="301">
        <f>+'6'!P35</f>
        <v>339.75773742584738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35</v>
      </c>
      <c r="I9" s="236">
        <f t="shared" si="0"/>
        <v>1836.1875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146.89499999999998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64.266562500000006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1625.0259375000001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347.03389830508456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9.8602991790254233</v>
      </c>
      <c r="P9" s="311">
        <f t="shared" si="2"/>
        <v>1981.9201349841101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3">
        <v>7</v>
      </c>
      <c r="S9" s="300" t="str">
        <f>+'7'!A6:A6</f>
        <v>Butt Store</v>
      </c>
      <c r="T9" s="301">
        <f>+'7'!P35</f>
        <v>405.09473759427965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140</v>
      </c>
      <c r="I10" s="236">
        <f t="shared" si="0"/>
        <v>10169.6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813.56799999999976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355.93599999999986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9000.0960000000014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1922.0338983050849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54.610649491525429</v>
      </c>
      <c r="P10" s="311">
        <f t="shared" si="2"/>
        <v>10976.740547796611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Gulam Rasool Store</v>
      </c>
      <c r="T10" s="301">
        <f>+'8'!P35</f>
        <v>339.75773742584738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88</v>
      </c>
      <c r="I11" s="236">
        <f t="shared" si="0"/>
        <v>6392.32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511.38560000000012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223.73120000000003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5657.2031999999999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1208.1355932203389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34.326693966101693</v>
      </c>
      <c r="P11" s="311">
        <f t="shared" si="2"/>
        <v>6899.6654871864403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 xml:space="preserve">Adil Bakers </v>
      </c>
      <c r="T11" s="301">
        <f>+'9'!P35</f>
        <v>339.75773742584738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155</v>
      </c>
      <c r="I12" s="236">
        <f t="shared" si="0"/>
        <v>11259.2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900.73599999999988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394.07199999999995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9964.3920000000016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2127.9661016949153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60.461790508474571</v>
      </c>
      <c r="P12" s="311">
        <f t="shared" si="2"/>
        <v>12152.819892203392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>Shahbaz Store</v>
      </c>
      <c r="T12" s="301">
        <f>+'10'!P35</f>
        <v>339.75773742584738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Haji Store</v>
      </c>
      <c r="T13" s="301">
        <f>+'11'!P35</f>
        <v>339.75773742584738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Wasif Store</v>
      </c>
      <c r="T14" s="301">
        <f>+'12'!P35</f>
        <v>339.75773742584738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Shamas Store</v>
      </c>
      <c r="T15" s="301">
        <f>+'13'!P35</f>
        <v>470.43173776271186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11.55</v>
      </c>
      <c r="H16" s="113">
        <f t="shared" ref="H16:M16" si="3">SUM(H7:H15)</f>
        <v>462</v>
      </c>
      <c r="I16" s="114">
        <f t="shared" si="3"/>
        <v>31965.657500000001</v>
      </c>
      <c r="J16" s="274">
        <f>SUM(J7:J15)</f>
        <v>2557.2525999999998</v>
      </c>
      <c r="K16" s="275">
        <f t="shared" si="3"/>
        <v>1118.7980124999999</v>
      </c>
      <c r="L16" s="276">
        <f t="shared" si="3"/>
        <v>0</v>
      </c>
      <c r="M16" s="232">
        <f t="shared" si="3"/>
        <v>28289.606887500006</v>
      </c>
      <c r="N16" s="233">
        <f>SUM(N7:N15)</f>
        <v>6041.4406779661022</v>
      </c>
      <c r="O16" s="101">
        <f>SUM(O7:O15)</f>
        <v>171.6552378273305</v>
      </c>
      <c r="P16" s="113">
        <f>SUM(P7:P15)</f>
        <v>34502.702803293432</v>
      </c>
      <c r="Q16" s="128">
        <f>SUM(Q7:Q15)</f>
        <v>80</v>
      </c>
      <c r="R16" s="313">
        <v>14</v>
      </c>
      <c r="S16" s="315" t="str">
        <f>+'14'!A6:A6</f>
        <v>Qazi Store</v>
      </c>
      <c r="T16" s="301">
        <f>+'14'!P35</f>
        <v>470.43173776271186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Lali GS</v>
      </c>
      <c r="T17" s="301">
        <f>+'15'!P35</f>
        <v>470.43173776271186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Kamran Store</v>
      </c>
      <c r="T18" s="301">
        <f>+'16'!P35</f>
        <v>470.43173776271186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31965.657500000001</v>
      </c>
      <c r="R19" s="299">
        <v>17</v>
      </c>
      <c r="S19" s="300" t="str">
        <f>+'17'!A6:A6</f>
        <v>Altaf GS</v>
      </c>
      <c r="T19" s="301">
        <f>+'17'!P35</f>
        <v>313.62115850847459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2557.2525999999998</v>
      </c>
      <c r="R20" s="299">
        <v>18</v>
      </c>
      <c r="S20" s="300" t="str">
        <f>+'18'!A6:A6</f>
        <v>Shah G Store</v>
      </c>
      <c r="T20" s="301">
        <f>+'18'!P35</f>
        <v>470.43173776271186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1118.7980124999999</v>
      </c>
      <c r="R21" s="299">
        <v>19</v>
      </c>
      <c r="S21" s="300" t="str">
        <f>+'19'!A6:A6</f>
        <v>Sultani store</v>
      </c>
      <c r="T21" s="301">
        <f>+'19'!P35</f>
        <v>470.43173776271186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28289.606887500002</v>
      </c>
      <c r="R22" s="299">
        <v>20</v>
      </c>
      <c r="S22" s="300" t="str">
        <f>+'20'!A6:A6</f>
        <v>Mg Mart</v>
      </c>
      <c r="T22" s="301">
        <f>+'20'!P35</f>
        <v>5401.2631679237293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6041.4406779661022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34331.047565466106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171.6552378273305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34502.70280329344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34502.702803293432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1162.24</v>
      </c>
      <c r="K25" s="275">
        <f t="shared" si="10"/>
        <v>508.48</v>
      </c>
      <c r="L25" s="276">
        <f t="shared" si="10"/>
        <v>0</v>
      </c>
      <c r="M25" s="232">
        <f t="shared" si="10"/>
        <v>12857.28</v>
      </c>
      <c r="N25" s="233">
        <f>SUM(N16:N24)</f>
        <v>2745.7627118644068</v>
      </c>
      <c r="O25" s="101">
        <f>SUM(O16:O24)</f>
        <v>78.015213559322035</v>
      </c>
      <c r="P25" s="234">
        <f>SUM(P16:P24)</f>
        <v>15681.057925423729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1162.24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508.48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12857.28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15603.042711864407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45" t="s">
        <v>88</v>
      </c>
      <c r="O35" s="346"/>
      <c r="P35" s="297">
        <f>+P33+P34</f>
        <v>15681.057925423729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G1" sqref="G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</v>
      </c>
      <c r="I17" s="236">
        <f t="shared" ref="I17:I23" si="0">(G17*D17)*F17+H17*F17</f>
        <v>157.38749999999999</v>
      </c>
      <c r="J17" s="272">
        <f t="shared" ref="J17:L24" si="1">$I17*S17</f>
        <v>12.590999999999999</v>
      </c>
      <c r="K17" s="128">
        <f>$I17*T17</f>
        <v>5.5085625</v>
      </c>
      <c r="L17" s="119">
        <f>$I17*U17</f>
        <v>0</v>
      </c>
      <c r="M17" s="230">
        <f t="shared" ref="M17:M24" si="2">I17-SUM(J17:L17)</f>
        <v>139.2879375</v>
      </c>
      <c r="N17" s="277">
        <f t="shared" ref="N17:N24" si="3">+(G17*D17+H17)*V17</f>
        <v>29.745762711864394</v>
      </c>
      <c r="O17" s="239">
        <f t="shared" ref="O17:O24" si="4">(N17+M17)*$O$15</f>
        <v>0.84516850105932195</v>
      </c>
      <c r="P17" s="119">
        <f t="shared" ref="P17:P24" si="5">M17+N17+O17</f>
        <v>169.87886871292372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119">
        <f t="shared" si="5"/>
        <v>235.21586888135593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375.3075</v>
      </c>
      <c r="J25" s="274">
        <f>SUM(J16:J24)</f>
        <v>30.0246</v>
      </c>
      <c r="K25" s="275">
        <f t="shared" si="7"/>
        <v>13.135762500000002</v>
      </c>
      <c r="L25" s="276">
        <f t="shared" si="7"/>
        <v>0</v>
      </c>
      <c r="M25" s="232">
        <f t="shared" si="7"/>
        <v>332.14713749999999</v>
      </c>
      <c r="N25" s="233">
        <f>SUM(N16:N24)</f>
        <v>70.932203389830505</v>
      </c>
      <c r="O25" s="101">
        <f>SUM(O16:O24)</f>
        <v>2.0153967044491523</v>
      </c>
      <c r="P25" s="234">
        <f>SUM(P16:P24)</f>
        <v>405.09473759427965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375.3075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30.0246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13.135762500000002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332.14713749999999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70.932203389830505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403.07934088983052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2.0153967044491528</v>
      </c>
    </row>
    <row r="35" spans="2:16" ht="15.75" customHeight="1" thickBot="1" x14ac:dyDescent="0.4">
      <c r="N35" s="345" t="s">
        <v>88</v>
      </c>
      <c r="O35" s="346"/>
      <c r="P35" s="297">
        <f>+P33+P34</f>
        <v>405.09473759427965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</v>
      </c>
      <c r="I16" s="235">
        <f>(G16*D16)*F16+H16*F16</f>
        <v>157.38749999999999</v>
      </c>
      <c r="J16" s="271">
        <f>$I16*S16</f>
        <v>12.590999999999999</v>
      </c>
      <c r="K16" s="127">
        <f>$I16*T16</f>
        <v>5.5085625</v>
      </c>
      <c r="L16" s="118">
        <f>$I16*U16</f>
        <v>0</v>
      </c>
      <c r="M16" s="229">
        <f>I16-SUM(J16:L16)</f>
        <v>139.2879375</v>
      </c>
      <c r="N16" s="248">
        <f>+(G16*D16+H16)*V16</f>
        <v>29.745762711864394</v>
      </c>
      <c r="O16" s="238">
        <f>(N16+M16)*$O$15</f>
        <v>0.84516850105932195</v>
      </c>
      <c r="P16" s="118">
        <f>M16+N16+O16</f>
        <v>169.87886871292372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</v>
      </c>
      <c r="I18" s="236">
        <f t="shared" si="0"/>
        <v>157.38749999999999</v>
      </c>
      <c r="J18" s="272">
        <f t="shared" si="1"/>
        <v>12.590999999999999</v>
      </c>
      <c r="K18" s="128">
        <f t="shared" si="1"/>
        <v>5.5085625</v>
      </c>
      <c r="L18" s="119">
        <f t="shared" si="1"/>
        <v>0</v>
      </c>
      <c r="M18" s="230">
        <f t="shared" si="2"/>
        <v>139.2879375</v>
      </c>
      <c r="N18" s="277">
        <f t="shared" si="3"/>
        <v>29.745762711864394</v>
      </c>
      <c r="O18" s="239">
        <f t="shared" si="4"/>
        <v>0.84516850105932195</v>
      </c>
      <c r="P18" s="119">
        <f t="shared" si="5"/>
        <v>169.87886871292372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314.77499999999998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25.181999999999999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11.017125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278.57587499999994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338.06740042372871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45" t="s">
        <v>88</v>
      </c>
      <c r="O35" s="346"/>
      <c r="P35" s="297">
        <f>+P33+P34</f>
        <v>339.75773742584738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290.56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23.244800000000001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10.169600000000001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257.1456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312.06085423728814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313.62115850847459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435.84000000000003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34.867200000000004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15.254400000000002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385.71840000000003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468.09128135593221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5" t="s">
        <v>88</v>
      </c>
      <c r="O35" s="346"/>
      <c r="P35" s="297">
        <f>+P33+P34</f>
        <v>470.43173776271186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46309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46308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2026-10-16T11:21:21Z</dcterms:modified>
</cp:coreProperties>
</file>