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D564C8F-4067-439A-A2EC-201DE2ED8E33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<sst xmlns="http://schemas.openxmlformats.org/spreadsheetml/2006/main" count="3948" uniqueCount="527">
  <si>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</si>
  <si>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</si>
  <si>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</si>
  <si>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</si>
  <si>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</si>
  <si>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</si>
  <si>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</si>
  <si>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</si>
  <si>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</si>
  <si>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</si>
  <si>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</si>
  <si>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</si>
  <si>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</si>
  <si>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</si>
  <si>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</si>
  <si>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</si>
  <si>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</si>
  <si>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</si>
  <si>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</si>
  <si>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</si>
  <si>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</si>
  <si>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</si>
  <si>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</si>
  <si>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</si>
  <si>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</si>
  <si>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</si>
  <si>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</si>
  <si>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</si>
  <si>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</si>
  <si>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</si>
  <si>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</si>
  <si>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</si>
  <si>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</si>
  <si>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</si>
  <si>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</si>
  <si>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</si>
  <si>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</si>
  <si>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</si>
  <si>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</si>
  <si>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</si>
  <si>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</si>
  <si>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</si>
  <si>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</si>
  <si>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</si>
  <si>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</si>
  <si>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</si>
  <si>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</si>
  <si>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</si>
  <si>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</si>
  <si>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</si>
  <si>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</si>
  <si>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</si>
  <si>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</si>
  <si>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</si>
  <si>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</si>
  <si>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</si>
  <si>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</si>
  <si>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</si>
  <si>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</si>
  <si>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</si>
  <si>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</si>
  <si>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</si>
  <si>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</si>
  <si>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</si>
  <si>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</si>
  <si>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</si>
  <si>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</si>
  <si>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</si>
  <si>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</si>
  <si>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</si>
  <si>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</si>
  <si>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</si>
  <si>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</si>
  <si>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</si>
  <si>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</si>
  <si>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</si>
  <si>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</si>
  <si>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</si>
  <si>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</si>
  <si>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</si>
  <si>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</si>
  <si>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</si>
  <si>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</si>
  <si>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</si>
  <si>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</si>
  <si>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</si>
  <si>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</si>
  <si>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</si>
  <si>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</si>
  <si>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</si>
  <si>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</si>
  <si>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</si>
  <si>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</si>
  <si>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</si>
  <si>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</si>
  <si>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</si>
  <si>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</si>
  <si>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</si>
  <si>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</si>
  <si>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</si>
  <si>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</si>
  <si>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</si>
  <si>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</si>
  <si>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</si>
  <si>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</si>
  <si>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</si>
  <si>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</si>
  <si>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</si>
  <si>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</si>
  <si>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</si>
  <si>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</si>
  <si>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</si>
  <si>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</si>
  <si>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</si>
  <si>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</si>
  <si>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</si>
  <si>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</si>
  <si>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</si>
  <si>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</si>
  <si>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</si>
  <si>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</si>
  <si>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</si>
  <si>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</si>
  <si>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</si>
  <si>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</si>
  <si>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</si>
  <si>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</si>
  <si>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</si>
  <si>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</si>
  <si>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</si>
  <si>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</si>
  <si>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</si>
  <si>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</si>
  <si>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</si>
  <si>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</si>
  <si>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</si>
  <si>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</si>
  <si>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</si>
  <si>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</si>
  <si>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</si>
  <si>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</si>
  <si>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</si>
  <si>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</si>
  <si>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</si>
  <si>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</si>
  <si>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</si>
  <si>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</si>
  <si>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</si>
  <si>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</si>
  <si>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</si>
  <si>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</si>
  <si>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</si>
  <si>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</si>
  <si>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</si>
  <si>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</si>
  <si>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</si>
  <si>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</si>
  <si>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</si>
  <si>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</si>
  <si>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</si>
  <si>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</si>
  <si>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</si>
  <si>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</si>
  <si>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</si>
  <si>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</si>
  <si>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</si>
  <si>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</si>
  <si>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</si>
  <si>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</si>
  <si>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</si>
  <si>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</si>
  <si>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</si>
  <si>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</si>
  <si>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</si>
  <si>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</si>
  <si>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</si>
  <si>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</si>
  <si>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</si>
  <si>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</si>
  <si>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</si>
  <si>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</si>
  <si>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</si>
  <si>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</si>
  <si>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</si>
  <si>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</si>
  <si>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</si>
  <si>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</si>
  <si>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</si>
  <si>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</si>
  <si>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</si>
  <si>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</si>
  <si>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</si>
  <si>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</si>
  <si>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</si>
  <si>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</si>
  <si>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</si>
  <si>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</si>
  <si>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</si>
  <si>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</si>
  <si>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</si>
  <si>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</si>
  <si>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</si>
  <si>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</si>
  <si>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</si>
  <si>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</si>
  <si>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</si>
  <si>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</si>
  <si>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</si>
  <si>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</si>
  <si>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</si>
  <si>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</si>
  <si>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</si>
  <si>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</si>
  <si>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</si>
  <si>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</si>
  <si>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</si>
  <si>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</si>
  <si>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</si>
  <si>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</si>
  <si>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</si>
  <si>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</si>
  <si>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</si>
  <si>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</si>
  <si>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</si>
  <si>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</si>
  <si>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</si>
  <si>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</si>
  <si>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</si>
  <si>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</si>
  <si>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</si>
  <si>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</si>
  <si>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</si>
  <si>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</si>
  <si>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</si>
  <si>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</si>
  <si>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</si>
  <si>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</si>
  <si>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</si>
  <si>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</si>
  <si>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</si>
  <si>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</si>
  <si>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</si>
  <si>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</si>
  <si>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</si>
  <si>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</si>
  <si>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</si>
  <si>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</si>
  <si>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</si>
  <si>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</si>
  <si>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</si>
  <si>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</si>
  <si>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</si>
  <si>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</si>
  <si>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</si>
  <si>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</si>
  <si>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</si>
  <si>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</si>
  <si>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</si>
  <si>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</si>
  <si>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</si>
  <si>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</si>
  <si>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</si>
  <si>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</si>
  <si>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</si>
  <si>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</si>
  <si>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</si>
  <si>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</si>
  <si>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</si>
  <si>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</si>
  <si>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</si>
  <si>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</si>
  <si>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</si>
  <si>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</si>
  <si>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</si>
  <si>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</si>
  <si>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</si>
  <si>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</si>
  <si>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</si>
  <si>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</si>
  <si>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</si>
  <si>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</si>
  <si>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</si>
  <si>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</si>
  <si>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</si>
  <si>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</si>
  <si>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</si>
  <si>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</si>
  <si>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</si>
  <si>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</si>
  <si>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</si>
  <si>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</si>
  <si>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</si>
  <si>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</si>
  <si>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</si>
  <si>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</si>
  <si>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</si>
  <si>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</si>
  <si>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</si>
  <si>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</si>
  <si>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</si>
  <si>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</si>
  <si>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</si>
  <si>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</si>
  <si>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</si>
  <si>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</si>
  <si>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</si>
  <si>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</si>
  <si>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</si>
  <si>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</si>
  <si>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</si>
  <si>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</si>
  <si>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</si>
  <si>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</si>
  <si>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</si>
  <si>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</si>
  <si>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</si>
  <si>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</si>
  <si>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</si>
  <si>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</si>
  <si>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</si>
  <si>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</si>
  <si>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</si>
  <si>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</si>
  <si>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</si>
  <si>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</si>
  <si>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</si>
  <si>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</si>
  <si>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</si>
  <si>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</si>
  <si>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</si>
  <si>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</si>
  <si>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</si>
  <si>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</si>
  <si>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</si>
  <si>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</si>
  <si>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</si>
  <si>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</si>
  <si>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</si>
  <si>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</si>
  <si>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</si>
  <si>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</si>
  <si>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</si>
  <si>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</si>
  <si>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</si>
  <si>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</si>
  <si>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</si>
  <si>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</si>
  <si>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</si>
  <si>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</si>
  <si>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</si>
  <si>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</si>
  <si>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</si>
  <si>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</si>
  <si>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</si>
  <si>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</si>
  <si>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</si>
  <si>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</si>
  <si>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</si>
  <si>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</si>
  <si>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</si>
  <si>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</si>
  <si>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</si>
  <si>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</si>
  <si>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</si>
  <si>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</si>
  <si>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</si>
  <si>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</si>
  <si>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</si>
  <si>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</si>
  <si>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</si>
  <si>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</si>
  <si>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</si>
  <si>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</si>
  <si>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</si>
  <si>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</si>
  <si>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</si>
  <si>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</si>
  <si>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</si>
  <si>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</si>
  <si>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</si>
  <si>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</si>
  <si>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</si>
  <si>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</si>
  <si>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</si>
  <si>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</si>
  <si>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</si>
  <si>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</si>
  <si>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</si>
  <si>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</si>
  <si>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</si>
  <si>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</si>
  <si>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</si>
  <si>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</si>
  <si>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</si>
  <si>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</si>
  <si>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</si>
  <si>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</si>
  <si>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</si>
  <si>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</si>
  <si>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</si>
  <si>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</si>
  <si>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</si>
  <si>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</si>
  <si>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</si>
  <si>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</si>
  <si>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</si>
  <si>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</si>
  <si>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</si>
  <si>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</si>
  <si>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</si>
  <si>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</si>
  <si>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</si>
  <si>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</si>
  <si>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</si>
  <si>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</si>
  <si>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</si>
  <si>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</si>
  <si>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</si>
  <si>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</si>
  <si>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</si>
  <si>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</si>
  <si>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</si>
  <si>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</si>
  <si>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</si>
  <si>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</si>
  <si>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</si>
  <si>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</si>
  <si>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</si>
  <si>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</si>
  <si>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</si>
  <si>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</si>
  <si>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</si>
  <si>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</si>
  <si>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</si>
  <si>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</si>
  <si>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</si>
  <si>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</si>
  <si>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</si>
  <si>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</si>
  <si>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</si>
  <si>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</si>
  <si>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</si>
  <si>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</si>
  <si>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</si>
  <si>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</si>
  <si>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</si>
  <si>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</si>
  <si>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</si>
  <si>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</si>
  <si>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</si>
  <si>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</si>
  <si>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</si>
  <si>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</si>
  <si>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</si>
  <si>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</si>
  <si>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</si>
  <si>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</si>
  <si>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</si>
  <si>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</si>
  <si>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</si>
  <si>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</si>
  <si>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</si>
  <si>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</si>
  <si>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</si>
  <si>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</si>
  <si>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</si>
  <si>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</si>
  <si>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</si>
  <si>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</si>
  <si>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</si>
  <si>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</si>
  <si>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</si>
  <si>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</si>
  <si>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</si>
  <si>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</si>
  <si>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</si>
  <si>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</si>
  <si>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</si>
  <si>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</si>
  <si>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</si>
  <si>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</si>
  <si>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</si>
  <si>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</si>
  <si>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</si>
  <si>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</si>
  <si>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</si>
  <si>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</si>
  <si>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</si>
  <si>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</si>
  <si>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</si>
  <si>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</si>
  <si>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</si>
  <si>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</si>
  <si>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</si>
  <si>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</si>
  <si>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</si>
  <si>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</si>
  <si>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</si>
  <si>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</si>
  <si>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</si>
  <si>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</si>
  <si>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</si>
  <si>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</si>
  <si>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</si>
  <si>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</si>
  <si>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</si>
  <si>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</si>
  <si>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</si>
  <si>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</si>
  <si>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</si>
  <si>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</si>
  <si>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</si>
  <si>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</si>
  <si>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</si>
  <si>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Zeshan </t>
  </si>
  <si>
    <t>Address: Nishat</t>
  </si>
  <si>
    <t>MS Store</t>
  </si>
  <si>
    <t>Nishat Store</t>
  </si>
  <si>
    <t>Qadri Store</t>
  </si>
  <si>
    <t xml:space="preserve">Delsia Bakers </t>
  </si>
  <si>
    <t xml:space="preserve">Bread &amp; Butter </t>
  </si>
  <si>
    <t>Bilal Store</t>
  </si>
  <si>
    <t>Rafiq Store</t>
  </si>
  <si>
    <t xml:space="preserve">Sharif Mart </t>
  </si>
  <si>
    <t>Chaudry Store</t>
  </si>
  <si>
    <t>Khan Store</t>
  </si>
  <si>
    <t>Lal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</si>
</sst>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sqref="A1: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46309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MS Store</v>
      </c>
      <c r="T3" s="301">
        <f>+'1'!P35</f>
        <v>566.26289570974575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Nishat Store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Qadri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Delsia Bakers 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</v>
      </c>
      <c r="I7" s="235">
        <f>(G7*D7)*F7+H7*F7</f>
        <v>3147.75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251.82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110.17125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2785.75875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594.91525423728785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16.90337002118644</v>
      </c>
      <c r="P7" s="310">
        <f>M7+N7+O7</f>
        <v>3397.5773742584738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Bread &amp; Butter </v>
      </c>
      <c r="T7" s="301">
        <f>+'5'!P35</f>
        <v>17074.94950601695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</v>
      </c>
      <c r="I8" s="236">
        <f t="shared" ref="I8:I14" si="0">(G8*D8)*F8+H8*F8</f>
        <v>3147.75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251.82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110.17125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2785.75875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594.91525423728785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16.90337002118644</v>
      </c>
      <c r="P8" s="311">
        <f t="shared" ref="P8:P15" si="2">M8+N8+O8</f>
        <v>3397.5773742584738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Bilal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335.76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3714.3450000000003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22.537826694915253</v>
      </c>
      <c r="P9" s="311">
        <f t="shared" si="2"/>
        <v>4530.103165677966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Rafiq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464.89600000000002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5142.9120000000003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31.206085423728815</v>
      </c>
      <c r="P10" s="311">
        <f t="shared" si="2"/>
        <v>6272.4231701694916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Sharif Mart </v>
      </c>
      <c r="T10" s="301">
        <f>+'8'!P35</f>
        <v>1568.1057925423729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23.404564067796613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Chaudry Store</v>
      </c>
      <c r="T11" s="301">
        <f>+'9'!P35</f>
        <v>566.26289570974575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232.44800000000001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2571.4560000000001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15.603042711864408</v>
      </c>
      <c r="P12" s="311">
        <f t="shared" si="2"/>
        <v>3136.2115850847458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Khan Store</v>
      </c>
      <c r="T12" s="301">
        <f>+'10'!P35</f>
        <v>566.26289570974575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Lal Store</v>
      </c>
      <c r="T13" s="301">
        <f>+'11'!P35</f>
        <v>2265.051582838983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9.5</v>
      </c>
      <c r="H16" s="113">
        <f t="shared" ref="H16:M16" si="3">SUM(H7:H15)</f>
        <v>380</v>
      </c>
      <c r="I16" s="114">
        <f t="shared" si="3"/>
        <v>23567.699999999997</v>
      </c>
      <c r="J16" s="274">
        <f>SUM(J7:J15)</f>
        <v>1885.4160000000002</v>
      </c>
      <c r="K16" s="275">
        <f t="shared" si="3"/>
        <v>824.86950000000002</v>
      </c>
      <c r="L16" s="276">
        <f t="shared" si="3"/>
        <v>0</v>
      </c>
      <c r="M16" s="232">
        <f t="shared" si="3"/>
        <v>20857.414499999999</v>
      </c>
      <c r="N16" s="233">
        <f>SUM(N7:N15)</f>
        <v>4454.2372881355923</v>
      </c>
      <c r="O16" s="101">
        <f>SUM(O7:O15)</f>
        <v>126.55825894067797</v>
      </c>
      <c r="P16" s="113">
        <f>SUM(P7:P15)</f>
        <v>25438.210047076267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23567.699999999997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1885.4160000000002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824.86950000000002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20857.414499999995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4454.2372881355923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25311.651788135587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126.55825894067797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25438.210047076263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25438.210047076267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7.2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ref="I18:I21" si="7">(G18*D18)*F18+H18*F18</f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524.625</v>
      </c>
      <c r="J25" s="274">
        <f>SUM(J16:J24)</f>
        <v>41.97</v>
      </c>
      <c r="K25" s="275">
        <f t="shared" si="10"/>
        <v>18.361875000000001</v>
      </c>
      <c r="L25" s="276">
        <f t="shared" si="10"/>
        <v>0</v>
      </c>
      <c r="M25" s="232">
        <f t="shared" si="10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119">
        <f t="shared" si="5"/>
        <v>6272.4231701694916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240</v>
      </c>
      <c r="I25" s="114">
        <f t="shared" si="7"/>
        <v>15819.400000000001</v>
      </c>
      <c r="J25" s="274">
        <f>SUM(J16:J24)</f>
        <v>1265.5520000000001</v>
      </c>
      <c r="K25" s="275">
        <f t="shared" si="7"/>
        <v>553.67900000000009</v>
      </c>
      <c r="L25" s="276">
        <f t="shared" si="7"/>
        <v>0</v>
      </c>
      <c r="M25" s="232">
        <f t="shared" si="7"/>
        <v>14000.169000000002</v>
      </c>
      <c r="N25" s="233">
        <f>SUM(N16:N24)</f>
        <v>2989.8305084745757</v>
      </c>
      <c r="O25" s="101">
        <f>SUM(O16:O24)</f>
        <v>84.949997542372884</v>
      </c>
      <c r="P25" s="234">
        <f>SUM(P16:P24)</f>
        <v>17074.94950601695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15819.400000000001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1265.5520000000001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553.67900000000009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14000.169000000002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2989.8305084745757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16989.999508474579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84.949997542372898</v>
      </c>
    </row>
    <row r="35" spans="2:16" ht="15.75" customHeight="1" thickBot="1" x14ac:dyDescent="0.4">
      <c r="N35" s="374" t="s">
        <v>88</v>
      </c>
      <c r="O35" s="375"/>
      <c r="P35" s="297">
        <f>+P33+P34</f>
        <v>17074.94950601695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46308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2026-10-14T05:01:22Z</dcterms:modified>
</cp:coreProperties>
</file>