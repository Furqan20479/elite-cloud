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E5E8FCE-79BC-4A57-ACBA-AB2469D69C7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T19" i="43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8" i="43"/>
  <c r="S17" i="43"/>
  <c r="S18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S19" i="43" l="1"/>
  <c r="S20" i="43" s="1"/>
  <c r="S21" i="43" s="1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 s="1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16" i="44"/>
  <c r="M20" i="43"/>
  <c r="O20" i="43" s="1"/>
  <c r="P20" i="43" s="1"/>
  <c r="R20" i="43" s="1"/>
  <c r="K12" i="62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<sst xmlns="http://schemas.openxmlformats.org/spreadsheetml/2006/main" count="3948" uniqueCount="523">
  <si>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</si>
  <si>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</si>
  <si>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</si>
  <si>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</si>
  <si>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</si>
  <si>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</si>
  <si>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</si>
  <si>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</si>
  <si>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</si>
  <si>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</si>
  <si>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</si>
  <si>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</si>
  <si>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</si>
  <si>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</si>
  <si>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</si>
  <si>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</si>
  <si>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</si>
  <si>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</si>
  <si>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</si>
  <si>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</si>
  <si>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</si>
  <si>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</si>
  <si>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</si>
  <si>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</si>
  <si>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</si>
  <si>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</si>
  <si>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</si>
  <si>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</si>
  <si>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</si>
  <si>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</si>
  <si>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</si>
  <si>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</si>
  <si>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</si>
  <si>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</si>
  <si>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</si>
  <si>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</si>
  <si>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</si>
  <si>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</si>
  <si>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</si>
  <si>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</si>
  <si>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</si>
  <si>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</si>
  <si>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</si>
  <si>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</si>
  <si>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</si>
  <si>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</si>
  <si>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</si>
  <si>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</si>
  <si>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</si>
  <si>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</si>
  <si>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</si>
  <si>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</si>
  <si>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</si>
  <si>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</si>
  <si>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</si>
  <si>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</si>
  <si>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</si>
  <si>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</si>
  <si>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</si>
  <si>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</si>
  <si>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</si>
  <si>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</si>
  <si>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</si>
  <si>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</si>
  <si>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</si>
  <si>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</si>
  <si>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</si>
  <si>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</si>
  <si>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</si>
  <si>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</si>
  <si>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</si>
  <si>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</si>
  <si>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</si>
  <si>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</si>
  <si>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</si>
  <si>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</si>
  <si>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</si>
  <si>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</si>
  <si>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</si>
  <si>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</si>
  <si>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</si>
  <si>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</si>
  <si>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</si>
  <si>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</si>
  <si>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</si>
  <si>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</si>
  <si>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</si>
  <si>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</si>
  <si>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</si>
  <si>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</si>
  <si>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</si>
  <si>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</si>
  <si>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</si>
  <si>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</si>
  <si>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</si>
  <si>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</si>
  <si>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</si>
  <si>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</si>
  <si>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</si>
  <si>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</si>
  <si>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</si>
  <si>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</si>
  <si>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</si>
  <si>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</si>
  <si>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</si>
  <si>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</si>
  <si>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</si>
  <si>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</si>
  <si>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</si>
  <si>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</si>
  <si>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</si>
  <si>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</si>
  <si>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</si>
  <si>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</si>
  <si>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</si>
  <si>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</si>
  <si>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</si>
  <si>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</si>
  <si>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</si>
  <si>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</si>
  <si>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</si>
  <si>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</si>
  <si>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</si>
  <si>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</si>
  <si>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</si>
  <si>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</si>
  <si>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</si>
  <si>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</si>
  <si>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</si>
  <si>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</si>
  <si>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</si>
  <si>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</si>
  <si>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</si>
  <si>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</si>
  <si>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</si>
  <si>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</si>
  <si>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</si>
  <si>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</si>
  <si>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</si>
  <si>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</si>
  <si>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</si>
  <si>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</si>
  <si>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</si>
  <si>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</si>
  <si>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</si>
  <si>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</si>
  <si>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</si>
  <si>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</si>
  <si>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</si>
  <si>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</si>
  <si>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</si>
  <si>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</si>
  <si>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</si>
  <si>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</si>
  <si>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</si>
  <si>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</si>
  <si>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</si>
  <si>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</si>
  <si>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</si>
  <si>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</si>
  <si>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</si>
  <si>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</si>
  <si>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</si>
  <si>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</si>
  <si>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</si>
  <si>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</si>
  <si>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</si>
  <si>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</si>
  <si>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</si>
  <si>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</si>
  <si>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</si>
  <si>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</si>
  <si>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</si>
  <si>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</si>
  <si>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</si>
  <si>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</si>
  <si>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</si>
  <si>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</si>
  <si>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</si>
  <si>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</si>
  <si>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</si>
  <si>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</si>
  <si>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</si>
  <si>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</si>
  <si>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</si>
  <si>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</si>
  <si>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</si>
  <si>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</si>
  <si>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</si>
  <si>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</si>
  <si>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</si>
  <si>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</si>
  <si>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</si>
  <si>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</si>
  <si>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</si>
  <si>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</si>
  <si>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</si>
  <si>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</si>
  <si>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</si>
  <si>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</si>
  <si>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</si>
  <si>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</si>
  <si>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</si>
  <si>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</si>
  <si>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</si>
  <si>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</si>
  <si>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</si>
  <si>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</si>
  <si>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</si>
  <si>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</si>
  <si>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</si>
  <si>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</si>
  <si>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</si>
  <si>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</si>
  <si>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</si>
  <si>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</si>
  <si>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</si>
  <si>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</si>
  <si>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</si>
  <si>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</si>
  <si>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</si>
  <si>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</si>
  <si>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</si>
  <si>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</si>
  <si>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</si>
  <si>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</si>
  <si>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</si>
  <si>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</si>
  <si>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</si>
  <si>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</si>
  <si>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</si>
  <si>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</si>
  <si>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</si>
  <si>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</si>
  <si>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</si>
  <si>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</si>
  <si>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</si>
  <si>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</si>
  <si>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</si>
  <si>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</si>
  <si>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</si>
  <si>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</si>
  <si>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</si>
  <si>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</si>
  <si>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</si>
  <si>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</si>
  <si>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</si>
  <si>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</si>
  <si>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</si>
  <si>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</si>
  <si>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</si>
  <si>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</si>
  <si>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</si>
  <si>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</si>
  <si>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</si>
  <si>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</si>
  <si>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</si>
  <si>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</si>
  <si>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</si>
  <si>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</si>
  <si>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</si>
  <si>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</si>
  <si>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</si>
  <si>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</si>
  <si>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</si>
  <si>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</si>
  <si>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</si>
  <si>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</si>
  <si>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</si>
  <si>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</si>
  <si>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</si>
  <si>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</si>
  <si>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</si>
  <si>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</si>
  <si>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</si>
  <si>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</si>
  <si>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</si>
  <si>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</si>
  <si>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</si>
  <si>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</si>
  <si>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</si>
  <si>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</si>
  <si>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</si>
  <si>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</si>
  <si>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</si>
  <si>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</si>
  <si>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</si>
  <si>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</si>
  <si>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</si>
  <si>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</si>
  <si>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</si>
  <si>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</si>
  <si>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</si>
  <si>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</si>
  <si>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</si>
  <si>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</si>
  <si>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</si>
  <si>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</si>
  <si>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</si>
  <si>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</si>
  <si>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</si>
  <si>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</si>
  <si>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</si>
  <si>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</si>
  <si>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</si>
  <si>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</si>
  <si>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</si>
  <si>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</si>
  <si>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</si>
  <si>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</si>
  <si>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</si>
  <si>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</si>
  <si>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</si>
  <si>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</si>
  <si>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</si>
  <si>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</si>
  <si>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</si>
  <si>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</si>
  <si>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</si>
  <si>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</si>
  <si>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</si>
  <si>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</si>
  <si>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</si>
  <si>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</si>
  <si>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</si>
  <si>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</si>
  <si>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</si>
  <si>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</si>
  <si>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</si>
  <si>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</si>
  <si>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</si>
  <si>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</si>
  <si>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</si>
  <si>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</si>
  <si>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</si>
  <si>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</si>
  <si>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</si>
  <si>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</si>
  <si>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</si>
  <si>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</si>
  <si>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</si>
  <si>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</si>
  <si>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</si>
  <si>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</si>
  <si>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</si>
  <si>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</si>
  <si>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</si>
  <si>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</si>
  <si>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</si>
  <si>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</si>
  <si>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</si>
  <si>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</si>
  <si>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</si>
  <si>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</si>
  <si>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</si>
  <si>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</si>
  <si>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</si>
  <si>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</si>
  <si>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</si>
  <si>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</si>
  <si>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</si>
  <si>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</si>
  <si>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</si>
  <si>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</si>
  <si>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</si>
  <si>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</si>
  <si>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</si>
  <si>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</si>
  <si>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</si>
  <si>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</si>
  <si>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</si>
  <si>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</si>
  <si>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</si>
  <si>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</si>
  <si>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</si>
  <si>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</si>
  <si>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</si>
  <si>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</si>
  <si>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</si>
  <si>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</si>
  <si>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</si>
  <si>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</si>
  <si>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</si>
  <si>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</si>
  <si>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</si>
  <si>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</si>
  <si>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</si>
  <si>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</si>
  <si>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</si>
  <si>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</si>
  <si>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</si>
  <si>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</si>
  <si>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</si>
  <si>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</si>
  <si>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</si>
  <si>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</si>
  <si>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</si>
  <si>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</si>
  <si>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</si>
  <si>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</si>
  <si>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</si>
  <si>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</si>
  <si>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</si>
  <si>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</si>
  <si>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</si>
  <si>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</si>
  <si>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</si>
  <si>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</si>
  <si>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</si>
  <si>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</si>
  <si>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</si>
  <si>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</si>
  <si>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</si>
  <si>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</si>
  <si>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</si>
  <si>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</si>
  <si>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</si>
  <si>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</si>
  <si>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</si>
  <si>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</si>
  <si>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</si>
  <si>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</si>
  <si>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</si>
  <si>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</si>
  <si>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</si>
  <si>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</si>
  <si>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</si>
  <si>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</si>
  <si>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</si>
  <si>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</si>
  <si>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</si>
  <si>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</si>
  <si>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</si>
  <si>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</si>
  <si>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</si>
  <si>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</si>
  <si>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</si>
  <si>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</si>
  <si>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</si>
  <si>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</si>
  <si>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</si>
  <si>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</si>
  <si>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</si>
  <si>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</si>
  <si>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</si>
  <si>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</si>
  <si>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</si>
  <si>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</si>
  <si>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</si>
  <si>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</si>
  <si>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</si>
  <si>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</si>
  <si>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</si>
  <si>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</si>
  <si>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</si>
  <si>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</si>
  <si>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</si>
  <si>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</si>
  <si>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</si>
  <si>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</si>
  <si>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</si>
  <si>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</si>
  <si>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</si>
  <si>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</si>
  <si>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</si>
  <si>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</si>
  <si>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</si>
  <si>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</si>
  <si>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</si>
  <si>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</si>
  <si>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</si>
  <si>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</si>
  <si>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</si>
  <si>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</si>
  <si>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</si>
  <si>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</si>
  <si>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</si>
  <si>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</si>
  <si>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</si>
  <si>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</si>
  <si>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</si>
  <si>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</si>
  <si>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</si>
  <si>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</si>
  <si>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</si>
  <si>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</si>
  <si>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</si>
  <si>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</si>
  <si>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</si>
  <si>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</si>
  <si>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</si>
  <si>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</si>
  <si>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</si>
  <si>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</si>
  <si>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</si>
  <si>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</si>
  <si>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</si>
  <si>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</si>
  <si>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</si>
  <si>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</si>
  <si>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</si>
  <si>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</si>
  <si>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</si>
  <si>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</si>
  <si>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</si>
  <si>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</si>
  <si>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</si>
  <si>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</si>
  <si>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</si>
  <si>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</si>
  <si>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</si>
  <si>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</si>
  <si>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</si>
  <si>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</si>
  <si>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</si>
  <si>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New Alflah Bakery</t>
  </si>
  <si>
    <t>Address: LDA Flats</t>
  </si>
  <si>
    <t>Bahawaldieen Store</t>
  </si>
  <si>
    <t xml:space="preserve">Lala G Super Mart </t>
  </si>
  <si>
    <t>Address: Falcon Complex</t>
  </si>
  <si>
    <t>786 Store</t>
  </si>
  <si>
    <t>Address: Officer Colony</t>
  </si>
  <si>
    <t>Kashmir 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</si>
</sst>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New Alflah Bakery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Bahawaldieen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Lala G Super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786 Store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3">
        <v>5</v>
      </c>
      <c r="S7" s="300" t="str">
        <f>+'5'!A6:A6</f>
        <v>Kashmir Bakery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30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4178.616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892.37288135593224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25.354944406779662</v>
      </c>
      <c r="P10" s="311">
        <f t="shared" si="2"/>
        <v>5096.3438257627113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</v>
      </c>
      <c r="I11" s="236">
        <f t="shared" si="0"/>
        <v>1816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63.560000000000009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343.22033898305085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9.7519016949152544</v>
      </c>
      <c r="P11" s="311">
        <f t="shared" si="2"/>
        <v>1960.1322406779661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4500.0480000000007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27.305324745762711</v>
      </c>
      <c r="P12" s="311">
        <f t="shared" si="2"/>
        <v>5488.3702738983056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4.3</v>
      </c>
      <c r="H16" s="113">
        <f t="shared" ref="H16:M16" si="3">SUM(H7:H15)</f>
        <v>172</v>
      </c>
      <c r="I16" s="114">
        <f t="shared" si="3"/>
        <v>12251.95</v>
      </c>
      <c r="J16" s="274">
        <f>SUM(J7:J15)</f>
        <v>980.15599999999995</v>
      </c>
      <c r="K16" s="275">
        <f t="shared" si="3"/>
        <v>428.81825000000003</v>
      </c>
      <c r="L16" s="276">
        <f t="shared" si="3"/>
        <v>0</v>
      </c>
      <c r="M16" s="232">
        <f t="shared" si="3"/>
        <v>10842.975750000001</v>
      </c>
      <c r="N16" s="233">
        <f>SUM(N7:N15)</f>
        <v>2315.593220338983</v>
      </c>
      <c r="O16" s="101">
        <f>SUM(O7:O15)</f>
        <v>65.792844851694923</v>
      </c>
      <c r="P16" s="113">
        <f>SUM(P7:P15)</f>
        <v>13224.361815190678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12251.95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980.15599999999995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428.81825000000003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10842.975750000001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2315.593220338983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13158.568970338983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65.792844851694923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13224.361815190678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13224.361815190678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7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7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R20">
        <f>P20/21</f>
        <v>93.339630508474585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7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464.89599999999996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464.89599999999996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8" sqref="H17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20</v>
      </c>
      <c r="S17" s="269">
        <f>+S16</f>
        <v>0.08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f>+T18</f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2026-10-03T09:58:01Z</dcterms:modified>
</cp:coreProperties>
</file>