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A632613-709E-44F6-8BDF-FFE01C6CCD4F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<sst xmlns="http://schemas.openxmlformats.org/spreadsheetml/2006/main" count="3947" uniqueCount="519">
  <si>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</si>
  <si>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</si>
  <si>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</si>
  <si>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</si>
  <si>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</si>
  <si>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</si>
  <si>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</si>
  <si>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</si>
  <si>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</si>
  <si>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</si>
  <si>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</si>
  <si>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</si>
  <si>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</si>
  <si>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</si>
  <si>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</si>
  <si>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</si>
  <si>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</si>
  <si>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</si>
  <si>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</si>
  <si>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</si>
  <si>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</si>
  <si>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</si>
  <si>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</si>
  <si>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</si>
  <si>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</si>
  <si>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</si>
  <si>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</si>
  <si>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</si>
  <si>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</si>
  <si>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</si>
  <si>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</si>
  <si>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</si>
  <si>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</si>
  <si>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</si>
  <si>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</si>
  <si>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</si>
  <si>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</si>
  <si>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</si>
  <si>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</si>
  <si>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</si>
  <si>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</si>
  <si>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</si>
  <si>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</si>
  <si>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</si>
  <si>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</si>
  <si>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</si>
  <si>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</si>
  <si>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</si>
  <si>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</si>
  <si>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</si>
  <si>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</si>
  <si>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</si>
  <si>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</si>
  <si>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</si>
  <si>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</si>
  <si>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</si>
  <si>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</si>
  <si>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</si>
  <si>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</si>
  <si>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</si>
  <si>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</si>
  <si>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</si>
  <si>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</si>
  <si>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</si>
  <si>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</si>
  <si>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</si>
  <si>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</si>
  <si>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</si>
  <si>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</si>
  <si>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</si>
  <si>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</si>
  <si>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</si>
  <si>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</si>
  <si>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</si>
  <si>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</si>
  <si>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</si>
  <si>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</si>
  <si>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</si>
  <si>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</si>
  <si>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</si>
  <si>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</si>
  <si>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</si>
  <si>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</si>
  <si>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</si>
  <si>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</si>
  <si>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</si>
  <si>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</si>
  <si>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</si>
  <si>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</si>
  <si>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</si>
  <si>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</si>
  <si>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</si>
  <si>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</si>
  <si>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</si>
  <si>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</si>
  <si>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</si>
  <si>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</si>
  <si>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</si>
  <si>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</si>
  <si>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</si>
  <si>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</si>
  <si>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</si>
  <si>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</si>
  <si>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</si>
  <si>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</si>
  <si>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</si>
  <si>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</si>
  <si>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</si>
  <si>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</si>
  <si>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</si>
  <si>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</si>
  <si>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</si>
  <si>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</si>
  <si>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</si>
  <si>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</si>
  <si>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</si>
  <si>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</si>
  <si>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</si>
  <si>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</si>
  <si>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</si>
  <si>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</si>
  <si>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</si>
  <si>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</si>
  <si>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</si>
  <si>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</si>
  <si>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</si>
  <si>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</si>
  <si>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</si>
  <si>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</si>
  <si>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</si>
  <si>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</si>
  <si>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</si>
  <si>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</si>
  <si>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</si>
  <si>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</si>
  <si>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</si>
  <si>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</si>
  <si>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</si>
  <si>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</si>
  <si>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</si>
  <si>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</si>
  <si>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</si>
  <si>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</si>
  <si>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</si>
  <si>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</si>
  <si>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</si>
  <si>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</si>
  <si>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</si>
  <si>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</si>
  <si>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</si>
  <si>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</si>
  <si>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</si>
  <si>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</si>
  <si>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</si>
  <si>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</si>
  <si>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</si>
  <si>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</si>
  <si>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</si>
  <si>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</si>
  <si>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</si>
  <si>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</si>
  <si>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</si>
  <si>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</si>
  <si>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</si>
  <si>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</si>
  <si>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</si>
  <si>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</si>
  <si>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</si>
  <si>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</si>
  <si>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</si>
  <si>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</si>
  <si>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</si>
  <si>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</si>
  <si>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</si>
  <si>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</si>
  <si>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</si>
  <si>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</si>
  <si>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</si>
  <si>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</si>
  <si>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</si>
  <si>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</si>
  <si>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</si>
  <si>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</si>
  <si>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</si>
  <si>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</si>
  <si>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</si>
  <si>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</si>
  <si>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</si>
  <si>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</si>
  <si>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</si>
  <si>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</si>
  <si>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</si>
  <si>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</si>
  <si>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</si>
  <si>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</si>
  <si>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</si>
  <si>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</si>
  <si>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</si>
  <si>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</si>
  <si>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</si>
  <si>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</si>
  <si>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</si>
  <si>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</si>
  <si>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</si>
  <si>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</si>
  <si>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</si>
  <si>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</si>
  <si>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</si>
  <si>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</si>
  <si>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</si>
  <si>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</si>
  <si>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</si>
  <si>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</si>
  <si>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</si>
  <si>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</si>
  <si>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</si>
  <si>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</si>
  <si>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</si>
  <si>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</si>
  <si>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</si>
  <si>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</si>
  <si>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</si>
  <si>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</si>
  <si>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</si>
  <si>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</si>
  <si>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</si>
  <si>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</si>
  <si>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</si>
  <si>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</si>
  <si>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</si>
  <si>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</si>
  <si>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</si>
  <si>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</si>
  <si>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</si>
  <si>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</si>
  <si>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</si>
  <si>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</si>
  <si>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</si>
  <si>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</si>
  <si>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</si>
  <si>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</si>
  <si>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</si>
  <si>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</si>
  <si>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</si>
  <si>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</si>
  <si>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</si>
  <si>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</si>
  <si>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</si>
  <si>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</si>
  <si>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</si>
  <si>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</si>
  <si>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</si>
  <si>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</si>
  <si>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</si>
  <si>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</si>
  <si>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</si>
  <si>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</si>
  <si>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</si>
  <si>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</si>
  <si>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</si>
  <si>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</si>
  <si>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</si>
  <si>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</si>
  <si>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</si>
  <si>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</si>
  <si>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</si>
  <si>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</si>
  <si>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</si>
  <si>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</si>
  <si>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</si>
  <si>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</si>
  <si>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</si>
  <si>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</si>
  <si>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</si>
  <si>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</si>
  <si>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</si>
  <si>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</si>
  <si>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</si>
  <si>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</si>
  <si>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</si>
  <si>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</si>
  <si>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</si>
  <si>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</si>
  <si>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</si>
  <si>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</si>
  <si>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</si>
  <si>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</si>
  <si>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</si>
  <si>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</si>
  <si>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</si>
  <si>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</si>
  <si>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</si>
  <si>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</si>
  <si>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</si>
  <si>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</si>
  <si>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</si>
  <si>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</si>
  <si>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</si>
  <si>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</si>
  <si>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</si>
  <si>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</si>
  <si>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</si>
  <si>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</si>
  <si>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</si>
  <si>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</si>
  <si>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</si>
  <si>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</si>
  <si>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</si>
  <si>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</si>
  <si>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</si>
  <si>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</si>
  <si>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</si>
  <si>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</si>
  <si>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</si>
  <si>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</si>
  <si>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</si>
  <si>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</si>
  <si>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</si>
  <si>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</si>
  <si>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</si>
  <si>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</si>
  <si>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</si>
  <si>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</si>
  <si>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</si>
  <si>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</si>
  <si>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</si>
  <si>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</si>
  <si>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</si>
  <si>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</si>
  <si>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</si>
  <si>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</si>
  <si>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</si>
  <si>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</si>
  <si>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</si>
  <si>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</si>
  <si>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</si>
  <si>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</si>
  <si>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</si>
  <si>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</si>
  <si>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</si>
  <si>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</si>
  <si>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</si>
  <si>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</si>
  <si>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</si>
  <si>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</si>
  <si>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</si>
  <si>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</si>
  <si>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</si>
  <si>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</si>
  <si>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</si>
  <si>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</si>
  <si>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</si>
  <si>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</si>
  <si>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</si>
  <si>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</si>
  <si>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</si>
  <si>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</si>
  <si>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</si>
  <si>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</si>
  <si>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</si>
  <si>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</si>
  <si>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</si>
  <si>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</si>
  <si>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</si>
  <si>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</si>
  <si>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</si>
  <si>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</si>
  <si>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</si>
  <si>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</si>
  <si>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</si>
  <si>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</si>
  <si>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</si>
  <si>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</si>
  <si>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</si>
  <si>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</si>
  <si>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</si>
  <si>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</si>
  <si>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</si>
  <si>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</si>
  <si>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</si>
  <si>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</si>
  <si>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</si>
  <si>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</si>
  <si>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</si>
  <si>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</si>
  <si>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</si>
  <si>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</si>
  <si>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</si>
  <si>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</si>
  <si>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</si>
  <si>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</si>
  <si>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</si>
  <si>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</si>
  <si>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</si>
  <si>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</si>
  <si>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</si>
  <si>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</si>
  <si>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</si>
  <si>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</si>
  <si>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</si>
  <si>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</si>
  <si>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</si>
  <si>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</si>
  <si>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</si>
  <si>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</si>
  <si>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</si>
  <si>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</si>
  <si>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</si>
  <si>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</si>
  <si>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</si>
  <si>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</si>
  <si>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</si>
  <si>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</si>
  <si>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</si>
  <si>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</si>
  <si>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</si>
  <si>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</si>
  <si>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</si>
  <si>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</si>
  <si>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</si>
  <si>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</si>
  <si>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</si>
  <si>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</si>
  <si>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</si>
  <si>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</si>
  <si>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</si>
  <si>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</si>
  <si>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</si>
  <si>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</si>
  <si>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</si>
  <si>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</si>
  <si>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</si>
  <si>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</si>
  <si>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</si>
  <si>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</si>
  <si>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</si>
  <si>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</si>
  <si>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</si>
  <si>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</si>
  <si>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</si>
  <si>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</si>
  <si>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</si>
  <si>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</si>
  <si>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</si>
  <si>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</si>
  <si>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</si>
  <si>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</si>
  <si>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</si>
  <si>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</si>
  <si>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</si>
  <si>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</si>
  <si>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</si>
  <si>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</si>
  <si>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</si>
  <si>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</si>
  <si>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</si>
  <si>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</si>
  <si>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</si>
  <si>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</si>
  <si>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</si>
  <si>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</si>
  <si>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</si>
  <si>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</si>
  <si>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</si>
  <si>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</si>
  <si>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</si>
  <si>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</si>
  <si>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</si>
  <si>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</si>
  <si>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</si>
  <si>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</si>
  <si>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</si>
  <si>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</si>
  <si>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</si>
  <si>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</si>
  <si>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</si>
  <si>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</si>
  <si>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</si>
  <si>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</si>
  <si>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</si>
  <si>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</si>
  <si>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</si>
  <si>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</si>
  <si>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</si>
  <si>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</si>
  <si>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</si>
  <si>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</si>
  <si>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</si>
  <si>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</si>
  <si>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</si>
  <si>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</si>
  <si>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</si>
  <si>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</si>
  <si>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</si>
  <si>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</si>
  <si>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</si>
  <si>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</si>
  <si>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</si>
  <si>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</si>
  <si>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</si>
  <si>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</si>
  <si>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</si>
  <si>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</si>
  <si>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</si>
  <si>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</si>
  <si>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</si>
  <si>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</si>
  <si>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</si>
  <si>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</si>
  <si>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</si>
  <si>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</si>
  <si>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</si>
  <si>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</si>
  <si>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</si>
  <si>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Shakoor</t>
  </si>
  <si>
    <t>Usman Canvinian Store</t>
  </si>
  <si>
    <t>NTN #: 9561987-0</t>
  </si>
  <si>
    <t>Invoice No # :0002</t>
  </si>
  <si>
    <t xml:space="preserve">Address: LDA Avenue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</si>
</sst>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Usman Canvinian Store</v>
      </c>
      <c r="T3" s="301">
        <f>+'1'!P35</f>
        <v>13679.170540932206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</v>
      </c>
      <c r="H16" s="113">
        <f t="shared" ref="H16:M16" si="3">SUM(H7:H15)</f>
        <v>200</v>
      </c>
      <c r="I16" s="114">
        <f t="shared" si="3"/>
        <v>12913.800000000001</v>
      </c>
      <c r="J16" s="274">
        <f>SUM(J7:J15)</f>
        <v>1291.3799999999999</v>
      </c>
      <c r="K16" s="275">
        <f t="shared" si="3"/>
        <v>451.98300000000006</v>
      </c>
      <c r="L16" s="276">
        <f t="shared" si="3"/>
        <v>0</v>
      </c>
      <c r="M16" s="232">
        <f t="shared" si="3"/>
        <v>11170.437000000002</v>
      </c>
      <c r="N16" s="233">
        <f>SUM(N7:N15)</f>
        <v>2440.6779661016944</v>
      </c>
      <c r="O16" s="101">
        <f>SUM(O7:O15)</f>
        <v>68.055574830508476</v>
      </c>
      <c r="P16" s="113">
        <f>SUM(P7:P15)</f>
        <v>13679.170540932202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12913.800000000001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1291.3799999999999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451.98300000000006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11170.437000000002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2440.6779661016944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13611.114966101697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68.055574830508476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13679.170540932206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13679.170540932206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12913.800000000001</v>
      </c>
      <c r="J25" s="274">
        <f>SUM(J16:J24)</f>
        <v>1291.3799999999999</v>
      </c>
      <c r="K25" s="275">
        <f t="shared" si="10"/>
        <v>451.98300000000006</v>
      </c>
      <c r="L25" s="276">
        <f t="shared" si="10"/>
        <v>0</v>
      </c>
      <c r="M25" s="232">
        <f t="shared" si="10"/>
        <v>11170.437000000002</v>
      </c>
      <c r="N25" s="233">
        <f>SUM(N16:N24)</f>
        <v>2440.6779661016944</v>
      </c>
      <c r="O25" s="101">
        <f>SUM(O16:O24)</f>
        <v>68.055574830508476</v>
      </c>
      <c r="P25" s="234">
        <f>SUM(P16:P24)</f>
        <v>13679.170540932202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12913.800000000001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1291.3799999999999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451.98300000000006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11170.437000000002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13611.114966101697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68.05557483050849</v>
      </c>
    </row>
    <row r="35" spans="2:16" ht="15.75" customHeight="1" thickBot="1" x14ac:dyDescent="0.4">
      <c r="N35" s="345" t="s">
        <v>88</v>
      </c>
      <c r="O35" s="346"/>
      <c r="P35" s="297">
        <f>+P33+P34</f>
        <v>13679.170540932206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2026-10-03T05:04:24Z</dcterms:modified>
</cp:coreProperties>
</file>