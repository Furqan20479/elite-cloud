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47AE0C3-E07C-47FA-9BF9-666B1D974B4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<sst xmlns="http://schemas.openxmlformats.org/spreadsheetml/2006/main" count="3948" uniqueCount="523">
  <si>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</si>
  <si>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</si>
  <si>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</si>
  <si>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</si>
  <si>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</si>
  <si>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</si>
  <si>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</si>
  <si>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</si>
  <si>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</si>
  <si>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</si>
  <si>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</si>
  <si>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</si>
  <si>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</si>
  <si>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</si>
  <si>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</si>
  <si>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</si>
  <si>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</si>
  <si>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</si>
  <si>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</si>
  <si>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</si>
  <si>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</si>
  <si>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</si>
  <si>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</si>
  <si>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</si>
  <si>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</si>
  <si>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</si>
  <si>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</si>
  <si>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</si>
  <si>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</si>
  <si>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</si>
  <si>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</si>
  <si>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</si>
  <si>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</si>
  <si>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</si>
  <si>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</si>
  <si>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</si>
  <si>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</si>
  <si>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</si>
  <si>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</si>
  <si>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</si>
  <si>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</si>
  <si>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</si>
  <si>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</si>
  <si>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</si>
  <si>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</si>
  <si>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</si>
  <si>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</si>
  <si>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</si>
  <si>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</si>
  <si>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</si>
  <si>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</si>
  <si>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</si>
  <si>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</si>
  <si>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</si>
  <si>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</si>
  <si>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</si>
  <si>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</si>
  <si>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</si>
  <si>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</si>
  <si>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</si>
  <si>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</si>
  <si>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</si>
  <si>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</si>
  <si>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</si>
  <si>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</si>
  <si>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</si>
  <si>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</si>
  <si>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</si>
  <si>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</si>
  <si>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</si>
  <si>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</si>
  <si>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</si>
  <si>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</si>
  <si>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</si>
  <si>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</si>
  <si>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</si>
  <si>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</si>
  <si>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</si>
  <si>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</si>
  <si>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</si>
  <si>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</si>
  <si>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</si>
  <si>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</si>
  <si>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</si>
  <si>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</si>
  <si>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</si>
  <si>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</si>
  <si>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</si>
  <si>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</si>
  <si>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</si>
  <si>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</si>
  <si>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</si>
  <si>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</si>
  <si>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</si>
  <si>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</si>
  <si>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</si>
  <si>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</si>
  <si>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</si>
  <si>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</si>
  <si>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</si>
  <si>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</si>
  <si>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</si>
  <si>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</si>
  <si>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</si>
  <si>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</si>
  <si>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</si>
  <si>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</si>
  <si>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</si>
  <si>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</si>
  <si>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</si>
  <si>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</si>
  <si>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</si>
  <si>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</si>
  <si>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</si>
  <si>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</si>
  <si>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</si>
  <si>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</si>
  <si>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</si>
  <si>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</si>
  <si>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</si>
  <si>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</si>
  <si>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</si>
  <si>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</si>
  <si>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</si>
  <si>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</si>
  <si>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</si>
  <si>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</si>
  <si>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</si>
  <si>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</si>
  <si>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</si>
  <si>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</si>
  <si>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</si>
  <si>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</si>
  <si>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</si>
  <si>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</si>
  <si>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</si>
  <si>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</si>
  <si>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</si>
  <si>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</si>
  <si>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</si>
  <si>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</si>
  <si>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</si>
  <si>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</si>
  <si>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</si>
  <si>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</si>
  <si>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</si>
  <si>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</si>
  <si>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</si>
  <si>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</si>
  <si>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</si>
  <si>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</si>
  <si>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</si>
  <si>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</si>
  <si>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</si>
  <si>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</si>
  <si>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</si>
  <si>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</si>
  <si>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</si>
  <si>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</si>
  <si>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</si>
  <si>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</si>
  <si>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</si>
  <si>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</si>
  <si>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</si>
  <si>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</si>
  <si>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</si>
  <si>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</si>
  <si>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</si>
  <si>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</si>
  <si>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</si>
  <si>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</si>
  <si>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</si>
  <si>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</si>
  <si>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</si>
  <si>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</si>
  <si>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</si>
  <si>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</si>
  <si>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</si>
  <si>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</si>
  <si>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</si>
  <si>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</si>
  <si>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</si>
  <si>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</si>
  <si>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</si>
  <si>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</si>
  <si>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</si>
  <si>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</si>
  <si>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</si>
  <si>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</si>
  <si>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</si>
  <si>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</si>
  <si>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</si>
  <si>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</si>
  <si>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</si>
  <si>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</si>
  <si>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</si>
  <si>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</si>
  <si>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</si>
  <si>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</si>
  <si>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</si>
  <si>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</si>
  <si>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</si>
  <si>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</si>
  <si>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</si>
  <si>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</si>
  <si>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</si>
  <si>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</si>
  <si>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</si>
  <si>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</si>
  <si>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</si>
  <si>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</si>
  <si>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</si>
  <si>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</si>
  <si>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</si>
  <si>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</si>
  <si>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</si>
  <si>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</si>
  <si>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</si>
  <si>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</si>
  <si>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</si>
  <si>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</si>
  <si>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</si>
  <si>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</si>
  <si>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</si>
  <si>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</si>
  <si>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</si>
  <si>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</si>
  <si>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</si>
  <si>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</si>
  <si>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</si>
  <si>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</si>
  <si>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</si>
  <si>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</si>
  <si>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</si>
  <si>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</si>
  <si>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</si>
  <si>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</si>
  <si>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</si>
  <si>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</si>
  <si>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</si>
  <si>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</si>
  <si>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</si>
  <si>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</si>
  <si>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</si>
  <si>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</si>
  <si>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</si>
  <si>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</si>
  <si>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</si>
  <si>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</si>
  <si>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</si>
  <si>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</si>
  <si>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</si>
  <si>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</si>
  <si>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</si>
  <si>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</si>
  <si>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</si>
  <si>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</si>
  <si>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</si>
  <si>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</si>
  <si>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</si>
  <si>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</si>
  <si>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</si>
  <si>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</si>
  <si>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</si>
  <si>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</si>
  <si>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</si>
  <si>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</si>
  <si>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</si>
  <si>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</si>
  <si>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</si>
  <si>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</si>
  <si>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</si>
  <si>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</si>
  <si>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</si>
  <si>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</si>
  <si>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</si>
  <si>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</si>
  <si>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</si>
  <si>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</si>
  <si>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</si>
  <si>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</si>
  <si>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</si>
  <si>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</si>
  <si>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</si>
  <si>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</si>
  <si>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</si>
  <si>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</si>
  <si>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</si>
  <si>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</si>
  <si>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</si>
  <si>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</si>
  <si>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</si>
  <si>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</si>
  <si>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</si>
  <si>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</si>
  <si>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</si>
  <si>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</si>
  <si>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</si>
  <si>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</si>
  <si>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</si>
  <si>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</si>
  <si>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</si>
  <si>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</si>
  <si>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</si>
  <si>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</si>
  <si>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</si>
  <si>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</si>
  <si>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</si>
  <si>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</si>
  <si>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</si>
  <si>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</si>
  <si>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</si>
  <si>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</si>
  <si>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</si>
  <si>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</si>
  <si>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</si>
  <si>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</si>
  <si>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</si>
  <si>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</si>
  <si>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</si>
  <si>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</si>
  <si>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</si>
  <si>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</si>
  <si>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</si>
  <si>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</si>
  <si>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</si>
  <si>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</si>
  <si>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</si>
  <si>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</si>
  <si>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</si>
  <si>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</si>
  <si>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</si>
  <si>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</si>
  <si>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</si>
  <si>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</si>
  <si>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</si>
  <si>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</si>
  <si>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</si>
  <si>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</si>
  <si>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</si>
  <si>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</si>
  <si>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</si>
  <si>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</si>
  <si>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</si>
  <si>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</si>
  <si>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</si>
  <si>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</si>
  <si>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</si>
  <si>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</si>
  <si>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</si>
  <si>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</si>
  <si>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</si>
  <si>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</si>
  <si>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</si>
  <si>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</si>
  <si>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</si>
  <si>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</si>
  <si>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</si>
  <si>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</si>
  <si>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</si>
  <si>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</si>
  <si>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</si>
  <si>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</si>
  <si>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</si>
  <si>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</si>
  <si>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</si>
  <si>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</si>
  <si>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</si>
  <si>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</si>
  <si>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</si>
  <si>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</si>
  <si>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</si>
  <si>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</si>
  <si>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</si>
  <si>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</si>
  <si>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</si>
  <si>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</si>
  <si>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</si>
  <si>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</si>
  <si>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</si>
  <si>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</si>
  <si>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</si>
  <si>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</si>
  <si>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</si>
  <si>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</si>
  <si>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</si>
  <si>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</si>
  <si>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</si>
  <si>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</si>
  <si>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</si>
  <si>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</si>
  <si>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</si>
  <si>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</si>
  <si>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</si>
  <si>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</si>
  <si>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</si>
  <si>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</si>
  <si>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</si>
  <si>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</si>
  <si>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</si>
  <si>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</si>
  <si>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</si>
  <si>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</si>
  <si>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</si>
  <si>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</si>
  <si>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</si>
  <si>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</si>
  <si>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</si>
  <si>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</si>
  <si>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</si>
  <si>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</si>
  <si>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</si>
  <si>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</si>
  <si>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</si>
  <si>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</si>
  <si>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</si>
  <si>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</si>
  <si>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</si>
  <si>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</si>
  <si>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</si>
  <si>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</si>
  <si>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</si>
  <si>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</si>
  <si>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</si>
  <si>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</si>
  <si>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</si>
  <si>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</si>
  <si>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</si>
  <si>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</si>
  <si>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</si>
  <si>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</si>
  <si>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</si>
  <si>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</si>
  <si>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</si>
  <si>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</si>
  <si>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</si>
  <si>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</si>
  <si>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</si>
  <si>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</si>
  <si>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</si>
  <si>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</si>
  <si>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</si>
  <si>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</si>
  <si>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</si>
  <si>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</si>
  <si>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</si>
  <si>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</si>
  <si>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</si>
  <si>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</si>
  <si>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</si>
  <si>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</si>
  <si>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</si>
  <si>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</si>
  <si>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</si>
  <si>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</si>
  <si>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</si>
  <si>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</si>
  <si>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</si>
  <si>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</si>
  <si>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</si>
  <si>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</si>
  <si>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</si>
  <si>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</si>
  <si>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</si>
  <si>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</si>
  <si>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</si>
  <si>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</si>
  <si>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</si>
  <si>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</si>
  <si>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</si>
  <si>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</si>
  <si>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</si>
  <si>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</si>
  <si>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</si>
  <si>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</si>
  <si>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</si>
  <si>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</si>
  <si>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</si>
  <si>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</si>
  <si>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</si>
  <si>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</si>
  <si>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</si>
  <si>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</si>
  <si>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</si>
  <si>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</si>
  <si>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</si>
  <si>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</si>
  <si>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</si>
  <si>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</si>
  <si>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</si>
  <si>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</si>
  <si>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</si>
  <si>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</si>
  <si>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</si>
  <si>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</si>
  <si>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</si>
  <si>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</si>
  <si>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</si>
  <si>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</si>
  <si>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</si>
  <si>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</si>
  <si>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</si>
  <si>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</si>
  <si>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</si>
  <si>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</si>
  <si>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</si>
  <si>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</si>
  <si>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</si>
  <si>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</si>
  <si>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</si>
  <si>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</si>
  <si>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</si>
  <si>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</si>
  <si>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</si>
  <si>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Umair</t>
  </si>
  <si>
    <t xml:space="preserve">Address: Arab Society </t>
  </si>
  <si>
    <t xml:space="preserve">Premier Mart </t>
  </si>
  <si>
    <t>Al Yousaf Store</t>
  </si>
  <si>
    <t>Awan Super Store</t>
  </si>
  <si>
    <t>Chauhan Store</t>
  </si>
  <si>
    <t>Haris Khan Store</t>
  </si>
  <si>
    <t>Bismillah Store</t>
  </si>
  <si>
    <t xml:space="preserve">Tayab Bakery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</si>
</sst>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D4" sqref="D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Premier Mart </v>
      </c>
      <c r="T3" s="301">
        <f>+'1'!P35</f>
        <v>9670.0005444279668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Yousaf Store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Awan Super Store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Chauhan Store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70</v>
      </c>
      <c r="I7" s="235">
        <f>(G7*D7)*F7+H7*F7</f>
        <v>3672.375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293.78999999999996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128.53312500000001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3250.0518750000001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694.06779661016913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19.720598358050847</v>
      </c>
      <c r="P7" s="310">
        <f>M7+N7+O7</f>
        <v>3963.8402699682201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Haris Khan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44</v>
      </c>
      <c r="I8" s="236">
        <f t="shared" ref="I8:I14" si="0">(G8*D8)*F8+H8*F8</f>
        <v>2308.35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184.66800000000001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80.792249999999996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2042.8897499999998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436.27118644067775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12.395804682203391</v>
      </c>
      <c r="P8" s="311">
        <f t="shared" ref="P8:P15" si="2">M8+N8+O8</f>
        <v>2491.5567411228812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20</v>
      </c>
      <c r="R8" s="313">
        <v>6</v>
      </c>
      <c r="S8" s="300" t="str">
        <f>+'6'!A6:A6</f>
        <v>Bismillah Store</v>
      </c>
      <c r="T8" s="301">
        <f>+'6'!P35</f>
        <v>2352.1586888135594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26</v>
      </c>
      <c r="I9" s="236">
        <f t="shared" si="0"/>
        <v>1364.0249999999999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109.12199999999999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47.740875000000003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1207.1621249999998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257.79661016949143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7.3247936758474568</v>
      </c>
      <c r="P9" s="311">
        <f t="shared" si="2"/>
        <v>1472.2835288453389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3">
        <v>7</v>
      </c>
      <c r="S9" s="300" t="str">
        <f>+'7'!A6:A6</f>
        <v xml:space="preserve">Tayab Bakery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74</v>
      </c>
      <c r="I10" s="236">
        <f t="shared" si="0"/>
        <v>5375.36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430.02879999999999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188.13760000000002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4757.1935999999996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1015.9322033898305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28.865629016949153</v>
      </c>
      <c r="P10" s="311">
        <f t="shared" si="2"/>
        <v>5801.9914324067795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6</v>
      </c>
      <c r="R10" s="313">
        <v>8</v>
      </c>
      <c r="S10" s="300" t="str">
        <f>+'8'!A6:A6</f>
        <v>Awan Super Store</v>
      </c>
      <c r="T10" s="301">
        <f>+'8'!P35</f>
        <v>2116.9428199322037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64</v>
      </c>
      <c r="I11" s="236">
        <f t="shared" si="0"/>
        <v>4648.96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371.91680000000002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162.71360000000001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4114.3296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878.64406779661022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24.964868338983052</v>
      </c>
      <c r="P11" s="311">
        <f t="shared" si="2"/>
        <v>5017.9385361355935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119</v>
      </c>
      <c r="I12" s="236">
        <f t="shared" si="0"/>
        <v>8644.16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691.53280000000007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302.54560000000004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7650.0815999999995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1633.7288135593219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46.419052067796606</v>
      </c>
      <c r="P12" s="311">
        <f t="shared" si="2"/>
        <v>9330.2294656271188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12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9.9250000000000007</v>
      </c>
      <c r="H16" s="113">
        <f t="shared" ref="H16:M16" si="3">SUM(H7:H15)</f>
        <v>397</v>
      </c>
      <c r="I16" s="114">
        <f t="shared" si="3"/>
        <v>26013.23</v>
      </c>
      <c r="J16" s="274">
        <f>SUM(J7:J15)</f>
        <v>2081.0583999999999</v>
      </c>
      <c r="K16" s="275">
        <f t="shared" si="3"/>
        <v>910.46305000000007</v>
      </c>
      <c r="L16" s="276">
        <f t="shared" si="3"/>
        <v>0</v>
      </c>
      <c r="M16" s="232">
        <f t="shared" si="3"/>
        <v>23021.708549999996</v>
      </c>
      <c r="N16" s="233">
        <f>SUM(N7:N15)</f>
        <v>4916.4406779661012</v>
      </c>
      <c r="O16" s="101">
        <f>SUM(O7:O15)</f>
        <v>139.69074613983051</v>
      </c>
      <c r="P16" s="113">
        <f>SUM(P7:P15)</f>
        <v>28077.839974105933</v>
      </c>
      <c r="Q16" s="128">
        <f>SUM(Q7:Q15)</f>
        <v>84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26013.23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2081.0583999999999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910.46305000000007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23021.708550000003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4916.4406779661012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27938.149227966103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139.69074613983051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28077.839974105933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28077.839974105937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1" workbookViewId="0">
      <selection activeCell="Q19" sqref="Q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>
        <v>20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40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140</v>
      </c>
      <c r="I25" s="114">
        <f t="shared" ref="I25:M25" si="10">SUM(I16:I24)</f>
        <v>8958.9500000000007</v>
      </c>
      <c r="J25" s="274">
        <f>SUM(J16:J24)</f>
        <v>716.71600000000001</v>
      </c>
      <c r="K25" s="275">
        <f t="shared" si="10"/>
        <v>313.56325000000004</v>
      </c>
      <c r="L25" s="276">
        <f t="shared" si="10"/>
        <v>0</v>
      </c>
      <c r="M25" s="232">
        <f t="shared" si="10"/>
        <v>7928.6707500000002</v>
      </c>
      <c r="N25" s="233">
        <f>SUM(N16:N24)</f>
        <v>1693.2203389830506</v>
      </c>
      <c r="O25" s="101">
        <f>SUM(O16:O24)</f>
        <v>48.109455444915255</v>
      </c>
      <c r="P25" s="234">
        <f>SUM(P16:P24)</f>
        <v>9670.0005444279668</v>
      </c>
      <c r="Q25" s="239">
        <f>SUM(Q16:Q24)</f>
        <v>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8958.9500000000007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716.71600000000001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313.56325000000004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7928.6707500000002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1693.2203389830506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9621.8910889830513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48.109455444915255</v>
      </c>
    </row>
    <row r="35" spans="2:16" ht="15.75" customHeight="1" thickBot="1" x14ac:dyDescent="0.4">
      <c r="N35" s="345" t="s">
        <v>88</v>
      </c>
      <c r="O35" s="346"/>
      <c r="P35" s="297">
        <f>+P33+P34</f>
        <v>9670.0005444279668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si="0"/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396.61016949152531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396.61016949152531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si="0"/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396.61016949152531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396.61016949152531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2179.1999999999998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174.33600000000001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76.272000000000006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1928.5919999999999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2340.4564067796609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5" t="s">
        <v>88</v>
      </c>
      <c r="O35" s="346"/>
      <c r="P35" s="297">
        <f>+P33+P34</f>
        <v>2352.1586888135594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9</v>
      </c>
      <c r="I19" s="236">
        <f t="shared" si="0"/>
        <v>653.76</v>
      </c>
      <c r="J19" s="272">
        <f t="shared" si="1"/>
        <v>52.300800000000002</v>
      </c>
      <c r="K19" s="128">
        <f t="shared" si="1"/>
        <v>22.881600000000002</v>
      </c>
      <c r="L19" s="119">
        <f t="shared" si="1"/>
        <v>0</v>
      </c>
      <c r="M19" s="230">
        <f t="shared" si="2"/>
        <v>578.57759999999996</v>
      </c>
      <c r="N19" s="277">
        <f t="shared" si="3"/>
        <v>123.55932203389831</v>
      </c>
      <c r="O19" s="239">
        <f t="shared" si="4"/>
        <v>3.5106846101694913</v>
      </c>
      <c r="P19" s="119">
        <f t="shared" si="5"/>
        <v>705.64760664406776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27</v>
      </c>
      <c r="I25" s="114">
        <f t="shared" si="7"/>
        <v>1961.2800000000002</v>
      </c>
      <c r="J25" s="274">
        <f>SUM(J16:J24)</f>
        <v>156.9024</v>
      </c>
      <c r="K25" s="275">
        <f t="shared" si="7"/>
        <v>68.644800000000004</v>
      </c>
      <c r="L25" s="276">
        <f t="shared" si="7"/>
        <v>0</v>
      </c>
      <c r="M25" s="232">
        <f t="shared" si="7"/>
        <v>1735.7328</v>
      </c>
      <c r="N25" s="233">
        <f>SUM(N16:N24)</f>
        <v>370.67796610169489</v>
      </c>
      <c r="O25" s="101">
        <f>SUM(O16:O24)</f>
        <v>10.532053830508474</v>
      </c>
      <c r="P25" s="234">
        <f>SUM(P16:P24)</f>
        <v>2116.9428199322033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1961.2800000000002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156.9024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68.644800000000004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1735.7328000000002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370.67796610169489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2106.4107661016951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10.532053830508476</v>
      </c>
    </row>
    <row r="35" spans="2:16" ht="15.75" customHeight="1" thickBot="1" x14ac:dyDescent="0.4">
      <c r="N35" s="345" t="s">
        <v>88</v>
      </c>
      <c r="O35" s="346"/>
      <c r="P35" s="297">
        <f>+P33+P34</f>
        <v>2116.9428199322037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2026-10-03T10:01:29Z</dcterms:modified>
</cp:coreProperties>
</file>