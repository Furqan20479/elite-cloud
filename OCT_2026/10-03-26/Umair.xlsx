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9E52775-D0E3-4995-AF5B-31A0DA5912A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<sst xmlns="http://schemas.openxmlformats.org/spreadsheetml/2006/main" count="3948" uniqueCount="523">
  <si>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</si>
  <si>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</si>
  <si>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</si>
  <si>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</si>
  <si>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</si>
  <si>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</si>
  <si>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</si>
  <si>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</si>
  <si>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</si>
  <si>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</si>
  <si>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</si>
  <si>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</si>
  <si>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</si>
  <si>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</si>
  <si>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</si>
  <si>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</si>
  <si>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</si>
  <si>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</si>
  <si>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</si>
  <si>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</si>
  <si>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</si>
  <si>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</si>
  <si>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</si>
  <si>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</si>
  <si>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</si>
  <si>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</si>
  <si>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</si>
  <si>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</si>
  <si>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</si>
  <si>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</si>
  <si>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</si>
  <si>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</si>
  <si>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</si>
  <si>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</si>
  <si>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</si>
  <si>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</si>
  <si>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</si>
  <si>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</si>
  <si>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</si>
  <si>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</si>
  <si>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</si>
  <si>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</si>
  <si>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</si>
  <si>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</si>
  <si>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</si>
  <si>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</si>
  <si>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</si>
  <si>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</si>
  <si>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</si>
  <si>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</si>
  <si>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</si>
  <si>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</si>
  <si>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</si>
  <si>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</si>
  <si>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</si>
  <si>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</si>
  <si>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</si>
  <si>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</si>
  <si>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</si>
  <si>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</si>
  <si>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</si>
  <si>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</si>
  <si>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</si>
  <si>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</si>
  <si>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</si>
  <si>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</si>
  <si>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</si>
  <si>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</si>
  <si>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</si>
  <si>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</si>
  <si>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</si>
  <si>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</si>
  <si>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</si>
  <si>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</si>
  <si>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</si>
  <si>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</si>
  <si>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</si>
  <si>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</si>
  <si>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</si>
  <si>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</si>
  <si>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</si>
  <si>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</si>
  <si>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</si>
  <si>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</si>
  <si>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</si>
  <si>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</si>
  <si>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</si>
  <si>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</si>
  <si>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</si>
  <si>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</si>
  <si>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</si>
  <si>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</si>
  <si>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</si>
  <si>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</si>
  <si>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</si>
  <si>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</si>
  <si>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</si>
  <si>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</si>
  <si>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</si>
  <si>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</si>
  <si>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</si>
  <si>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</si>
  <si>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</si>
  <si>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</si>
  <si>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</si>
  <si>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</si>
  <si>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</si>
  <si>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</si>
  <si>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</si>
  <si>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</si>
  <si>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</si>
  <si>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</si>
  <si>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</si>
  <si>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</si>
  <si>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</si>
  <si>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</si>
  <si>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</si>
  <si>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</si>
  <si>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</si>
  <si>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</si>
  <si>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</si>
  <si>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</si>
  <si>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</si>
  <si>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</si>
  <si>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</si>
  <si>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</si>
  <si>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</si>
  <si>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</si>
  <si>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</si>
  <si>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</si>
  <si>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</si>
  <si>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</si>
  <si>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</si>
  <si>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</si>
  <si>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</si>
  <si>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</si>
  <si>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</si>
  <si>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</si>
  <si>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</si>
  <si>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</si>
  <si>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</si>
  <si>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</si>
  <si>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</si>
  <si>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</si>
  <si>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</si>
  <si>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</si>
  <si>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</si>
  <si>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</si>
  <si>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</si>
  <si>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</si>
  <si>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</si>
  <si>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</si>
  <si>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</si>
  <si>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</si>
  <si>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</si>
  <si>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</si>
  <si>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</si>
  <si>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</si>
  <si>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</si>
  <si>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</si>
  <si>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</si>
  <si>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</si>
  <si>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</si>
  <si>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</si>
  <si>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</si>
  <si>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</si>
  <si>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</si>
  <si>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</si>
  <si>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</si>
  <si>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</si>
  <si>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</si>
  <si>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</si>
  <si>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</si>
  <si>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</si>
  <si>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</si>
  <si>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</si>
  <si>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</si>
  <si>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</si>
  <si>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</si>
  <si>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</si>
  <si>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</si>
  <si>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</si>
  <si>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</si>
  <si>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</si>
  <si>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</si>
  <si>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</si>
  <si>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</si>
  <si>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</si>
  <si>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</si>
  <si>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</si>
  <si>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</si>
  <si>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</si>
  <si>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</si>
  <si>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</si>
  <si>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</si>
  <si>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</si>
  <si>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</si>
  <si>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</si>
  <si>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</si>
  <si>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</si>
  <si>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</si>
  <si>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</si>
  <si>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</si>
  <si>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</si>
  <si>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</si>
  <si>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</si>
  <si>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</si>
  <si>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</si>
  <si>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</si>
  <si>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</si>
  <si>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</si>
  <si>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</si>
  <si>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</si>
  <si>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</si>
  <si>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</si>
  <si>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</si>
  <si>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</si>
  <si>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</si>
  <si>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</si>
  <si>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</si>
  <si>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</si>
  <si>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</si>
  <si>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</si>
  <si>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</si>
  <si>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</si>
  <si>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</si>
  <si>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</si>
  <si>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</si>
  <si>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</si>
  <si>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</si>
  <si>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</si>
  <si>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</si>
  <si>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</si>
  <si>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</si>
  <si>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</si>
  <si>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</si>
  <si>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</si>
  <si>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</si>
  <si>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</si>
  <si>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</si>
  <si>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</si>
  <si>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</si>
  <si>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</si>
  <si>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</si>
  <si>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</si>
  <si>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</si>
  <si>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</si>
  <si>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</si>
  <si>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</si>
  <si>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</si>
  <si>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</si>
  <si>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</si>
  <si>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</si>
  <si>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</si>
  <si>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</si>
  <si>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</si>
  <si>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</si>
  <si>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</si>
  <si>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</si>
  <si>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</si>
  <si>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</si>
  <si>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</si>
  <si>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</si>
  <si>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</si>
  <si>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</si>
  <si>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</si>
  <si>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</si>
  <si>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</si>
  <si>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</si>
  <si>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</si>
  <si>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</si>
  <si>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</si>
  <si>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</si>
  <si>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</si>
  <si>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</si>
  <si>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</si>
  <si>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</si>
  <si>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</si>
  <si>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</si>
  <si>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</si>
  <si>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</si>
  <si>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</si>
  <si>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</si>
  <si>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</si>
  <si>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</si>
  <si>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</si>
  <si>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</si>
  <si>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</si>
  <si>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</si>
  <si>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</si>
  <si>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</si>
  <si>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</si>
  <si>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</si>
  <si>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</si>
  <si>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</si>
  <si>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</si>
  <si>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</si>
  <si>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</si>
  <si>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</si>
  <si>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</si>
  <si>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</si>
  <si>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</si>
  <si>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</si>
  <si>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</si>
  <si>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</si>
  <si>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</si>
  <si>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</si>
  <si>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</si>
  <si>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</si>
  <si>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</si>
  <si>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</si>
  <si>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</si>
  <si>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</si>
  <si>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</si>
  <si>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</si>
  <si>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</si>
  <si>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</si>
  <si>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</si>
  <si>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</si>
  <si>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</si>
  <si>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</si>
  <si>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</si>
  <si>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</si>
  <si>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</si>
  <si>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</si>
  <si>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</si>
  <si>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</si>
  <si>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</si>
  <si>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</si>
  <si>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</si>
  <si>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</si>
  <si>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</si>
  <si>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</si>
  <si>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</si>
  <si>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</si>
  <si>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</si>
  <si>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</si>
  <si>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</si>
  <si>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</si>
  <si>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</si>
  <si>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</si>
  <si>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</si>
  <si>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</si>
  <si>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</si>
  <si>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</si>
  <si>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</si>
  <si>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</si>
  <si>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</si>
  <si>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</si>
  <si>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</si>
  <si>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</si>
  <si>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</si>
  <si>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</si>
  <si>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</si>
  <si>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</si>
  <si>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</si>
  <si>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</si>
  <si>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</si>
  <si>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</si>
  <si>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</si>
  <si>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</si>
  <si>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</si>
  <si>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</si>
  <si>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</si>
  <si>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</si>
  <si>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</si>
  <si>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</si>
  <si>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</si>
  <si>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</si>
  <si>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</si>
  <si>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</si>
  <si>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</si>
  <si>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</si>
  <si>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</si>
  <si>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</si>
  <si>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</si>
  <si>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</si>
  <si>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</si>
  <si>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</si>
  <si>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</si>
  <si>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</si>
  <si>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</si>
  <si>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</si>
  <si>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</si>
  <si>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</si>
  <si>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</si>
  <si>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</si>
  <si>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</si>
  <si>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</si>
  <si>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</si>
  <si>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</si>
  <si>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</si>
  <si>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</si>
  <si>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</si>
  <si>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</si>
  <si>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</si>
  <si>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</si>
  <si>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</si>
  <si>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</si>
  <si>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</si>
  <si>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</si>
  <si>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</si>
  <si>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</si>
  <si>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</si>
  <si>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</si>
  <si>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</si>
  <si>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</si>
  <si>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</si>
  <si>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</si>
  <si>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</si>
  <si>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</si>
  <si>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</si>
  <si>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</si>
  <si>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</si>
  <si>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</si>
  <si>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</si>
  <si>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</si>
  <si>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</si>
  <si>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</si>
  <si>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</si>
  <si>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</si>
  <si>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</si>
  <si>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</si>
  <si>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</si>
  <si>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</si>
  <si>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</si>
  <si>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</si>
  <si>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</si>
  <si>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</si>
  <si>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</si>
  <si>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</si>
  <si>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</si>
  <si>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</si>
  <si>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</si>
  <si>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</si>
  <si>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</si>
  <si>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</si>
  <si>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</si>
  <si>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</si>
  <si>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</si>
  <si>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</si>
  <si>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</si>
  <si>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</si>
  <si>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</si>
  <si>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</si>
  <si>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</si>
  <si>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</si>
  <si>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</si>
  <si>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</si>
  <si>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</si>
  <si>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</si>
  <si>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</si>
  <si>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</si>
  <si>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</si>
  <si>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</si>
  <si>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</si>
  <si>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</si>
  <si>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</si>
  <si>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</si>
  <si>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</si>
  <si>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</si>
  <si>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</si>
  <si>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</si>
  <si>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</si>
  <si>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</si>
  <si>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</si>
  <si>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</si>
  <si>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</si>
  <si>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</si>
  <si>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</si>
  <si>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</si>
  <si>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</si>
  <si>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</si>
  <si>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</si>
  <si>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</si>
  <si>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</si>
  <si>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</si>
  <si>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</si>
  <si>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</si>
  <si>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</si>
  <si>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</si>
  <si>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</si>
  <si>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</si>
  <si>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</si>
  <si>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</si>
  <si>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</si>
  <si>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</si>
  <si>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</si>
  <si>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</si>
  <si>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</si>
  <si>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</si>
  <si>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</si>
  <si>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</si>
  <si>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</si>
  <si>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</si>
  <si>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</si>
  <si>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</si>
  <si>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</si>
  <si>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</si>
  <si>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</si>
  <si>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</si>
  <si>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</si>
  <si>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</si>
  <si>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</si>
  <si>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</si>
  <si>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</si>
  <si>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</si>
  <si>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</si>
  <si>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</si>
  <si>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</si>
  <si>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</si>
  <si>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</si>
  <si>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</si>
  <si>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</si>
  <si>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</si>
  <si>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 xml:space="preserve">Address: Arab Society </t>
  </si>
  <si>
    <t xml:space="preserve">Premier Mart </t>
  </si>
  <si>
    <t>Al Yousaf Store</t>
  </si>
  <si>
    <t>Awan Super Store</t>
  </si>
  <si>
    <t>Chauhan Store</t>
  </si>
  <si>
    <t>Haris Khan Store</t>
  </si>
  <si>
    <t>Bismillah Store</t>
  </si>
  <si>
    <t xml:space="preserve">Tayab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</si>
</sst>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1" workbookViewId="0">
      <selection activeCell="C35" sqref="C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Premier Mart </v>
      </c>
      <c r="T3" s="301">
        <f>+'1'!P35</f>
        <v>13067.57791868644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Yousaf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Awan Super Store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Chauhan Store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70</v>
      </c>
      <c r="I7" s="235">
        <f>(G7*D7)*F7+H7*F7</f>
        <v>3672.375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293.78999999999996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128.53312500000001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3250.0518750000001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694.06779661016913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19.720598358050847</v>
      </c>
      <c r="P7" s="310">
        <f>M7+N7+O7</f>
        <v>3963.8402699682201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Haris Khan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</v>
      </c>
      <c r="I8" s="236">
        <f t="shared" ref="I8:I14" si="0">(G8*D8)*F8+H8*F8</f>
        <v>3357.6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268.608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117.51600000000001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2971.4759999999997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634.57627118644041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18.030261355932204</v>
      </c>
      <c r="P8" s="311">
        <f t="shared" ref="P8:P15" si="2">M8+N8+O8</f>
        <v>3624.0825325423721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Bismillah Store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66</v>
      </c>
      <c r="I9" s="236">
        <f t="shared" si="0"/>
        <v>3462.5250000000001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277.00199999999995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121.18837500000001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3064.334625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654.40677966101669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18.593707023305083</v>
      </c>
      <c r="P9" s="311">
        <f t="shared" si="2"/>
        <v>3737.3351116843214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Tayab Bakery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Awan Super Store</v>
      </c>
      <c r="T10" s="301">
        <f>+'8'!P35</f>
        <v>2116.9428199322037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406.78399999999999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4500.0480000000007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961.01694915254257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27.305324745762718</v>
      </c>
      <c r="P11" s="311">
        <f t="shared" si="2"/>
        <v>5488.3702738983066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131</v>
      </c>
      <c r="I12" s="236">
        <f t="shared" si="0"/>
        <v>9515.84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761.26720000000012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333.05439999999999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8421.5184000000008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1798.4745762711864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51.09996488135593</v>
      </c>
      <c r="P12" s="311">
        <f t="shared" si="2"/>
        <v>10271.092941152543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12.025</v>
      </c>
      <c r="H16" s="113">
        <f t="shared" ref="H16:M16" si="3">SUM(H7:H15)</f>
        <v>481</v>
      </c>
      <c r="I16" s="114">
        <f t="shared" si="3"/>
        <v>30904.34</v>
      </c>
      <c r="J16" s="274">
        <f>SUM(J7:J15)</f>
        <v>2472.3472000000002</v>
      </c>
      <c r="K16" s="275">
        <f t="shared" si="3"/>
        <v>1081.6519000000001</v>
      </c>
      <c r="L16" s="276">
        <f t="shared" si="3"/>
        <v>0</v>
      </c>
      <c r="M16" s="232">
        <f t="shared" si="3"/>
        <v>27350.340900000003</v>
      </c>
      <c r="N16" s="233">
        <f>SUM(N7:N15)</f>
        <v>5840.8474576271183</v>
      </c>
      <c r="O16" s="101">
        <f>SUM(O7:O15)</f>
        <v>165.95594178813559</v>
      </c>
      <c r="P16" s="113">
        <f>SUM(P7:P15)</f>
        <v>33357.144299415253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30904.34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2472.3472000000002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1081.6519000000001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27350.340899999999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5840.8474576271183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33191.188357627121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165.95594178813559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33357.14429941526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33357.14429941526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968.53600000000006</v>
      </c>
      <c r="K25" s="275">
        <f t="shared" si="10"/>
        <v>423.73450000000008</v>
      </c>
      <c r="L25" s="276">
        <f t="shared" si="10"/>
        <v>0</v>
      </c>
      <c r="M25" s="232">
        <f t="shared" si="10"/>
        <v>10714.4295</v>
      </c>
      <c r="N25" s="233">
        <f>SUM(N16:N24)</f>
        <v>2288.1355932203383</v>
      </c>
      <c r="O25" s="101">
        <f>SUM(O16:O24)</f>
        <v>65.012825466101688</v>
      </c>
      <c r="P25" s="234">
        <f>SUM(P16:P24)</f>
        <v>13067.57791868644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12106.7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968.53600000000006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423.73450000000008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10714.4295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13002.565093220339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65.012825466101702</v>
      </c>
    </row>
    <row r="35" spans="2:16" ht="15.75" customHeight="1" thickBot="1" x14ac:dyDescent="0.4">
      <c r="N35" s="374" t="s">
        <v>88</v>
      </c>
      <c r="O35" s="375"/>
      <c r="P35" s="297">
        <f>+P33+P34</f>
        <v>13067.57791868644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9</v>
      </c>
      <c r="I19" s="236">
        <f t="shared" si="0"/>
        <v>653.76</v>
      </c>
      <c r="J19" s="272">
        <f t="shared" si="1"/>
        <v>52.300800000000002</v>
      </c>
      <c r="K19" s="128">
        <f t="shared" si="1"/>
        <v>22.881600000000002</v>
      </c>
      <c r="L19" s="119">
        <f t="shared" si="1"/>
        <v>0</v>
      </c>
      <c r="M19" s="230">
        <f t="shared" si="2"/>
        <v>578.57759999999996</v>
      </c>
      <c r="N19" s="277">
        <f t="shared" si="3"/>
        <v>123.55932203389831</v>
      </c>
      <c r="O19" s="239">
        <f t="shared" si="4"/>
        <v>3.5106846101694913</v>
      </c>
      <c r="P19" s="119">
        <f t="shared" si="5"/>
        <v>705.64760664406776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27</v>
      </c>
      <c r="I25" s="114">
        <f t="shared" si="7"/>
        <v>1961.2800000000002</v>
      </c>
      <c r="J25" s="274">
        <f>SUM(J16:J24)</f>
        <v>156.9024</v>
      </c>
      <c r="K25" s="275">
        <f t="shared" si="7"/>
        <v>68.644800000000004</v>
      </c>
      <c r="L25" s="276">
        <f t="shared" si="7"/>
        <v>0</v>
      </c>
      <c r="M25" s="232">
        <f t="shared" si="7"/>
        <v>1735.7328</v>
      </c>
      <c r="N25" s="233">
        <f>SUM(N16:N24)</f>
        <v>370.67796610169489</v>
      </c>
      <c r="O25" s="101">
        <f>SUM(O16:O24)</f>
        <v>10.532053830508474</v>
      </c>
      <c r="P25" s="234">
        <f>SUM(P16:P24)</f>
        <v>2116.9428199322033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1961.2800000000002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156.9024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68.644800000000004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1735.7328000000002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370.67796610169489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2106.4107661016951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10.532053830508476</v>
      </c>
    </row>
    <row r="35" spans="2:16" ht="15.75" customHeight="1" thickBot="1" x14ac:dyDescent="0.4">
      <c r="N35" s="374" t="s">
        <v>88</v>
      </c>
      <c r="O35" s="375"/>
      <c r="P35" s="297">
        <f>+P33+P34</f>
        <v>2116.9428199322037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2026-10-02T12:41:15Z</dcterms:modified>
</cp:coreProperties>
</file>