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50FF4FC-09A9-4EAE-B01E-10BFCB65BBB6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<sst xmlns="http://schemas.openxmlformats.org/spreadsheetml/2006/main" count="3948" uniqueCount="519">
  <si>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</si>
  <si>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</si>
  <si>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</si>
  <si>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</si>
  <si>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</si>
  <si>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</si>
  <si>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</si>
  <si>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</si>
  <si>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</si>
  <si>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</si>
  <si>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</si>
  <si>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</si>
  <si>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</si>
  <si>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</si>
  <si>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</si>
  <si>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</si>
  <si>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</si>
  <si>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</si>
  <si>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</si>
  <si>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</si>
  <si>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</si>
  <si>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</si>
  <si>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</si>
  <si>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</si>
  <si>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</si>
  <si>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</si>
  <si>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</si>
  <si>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</si>
  <si>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</si>
  <si>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</si>
  <si>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</si>
  <si>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</si>
  <si>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</si>
  <si>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</si>
  <si>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</si>
  <si>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</si>
  <si>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</si>
  <si>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</si>
  <si>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</si>
  <si>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</si>
  <si>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</si>
  <si>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</si>
  <si>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</si>
  <si>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</si>
  <si>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</si>
  <si>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</si>
  <si>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</si>
  <si>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</si>
  <si>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</si>
  <si>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</si>
  <si>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</si>
  <si>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</si>
  <si>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</si>
  <si>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</si>
  <si>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</si>
  <si>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</si>
  <si>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</si>
  <si>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</si>
  <si>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</si>
  <si>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</si>
  <si>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</si>
  <si>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</si>
  <si>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</si>
  <si>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</si>
  <si>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</si>
  <si>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</si>
  <si>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</si>
  <si>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</si>
  <si>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</si>
  <si>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</si>
  <si>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</si>
  <si>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</si>
  <si>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</si>
  <si>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</si>
  <si>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</si>
  <si>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</si>
  <si>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</si>
  <si>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</si>
  <si>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</si>
  <si>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</si>
  <si>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</si>
  <si>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</si>
  <si>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</si>
  <si>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</si>
  <si>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</si>
  <si>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</si>
  <si>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</si>
  <si>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</si>
  <si>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</si>
  <si>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</si>
  <si>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</si>
  <si>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</si>
  <si>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</si>
  <si>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</si>
  <si>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</si>
  <si>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</si>
  <si>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</si>
  <si>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</si>
  <si>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</si>
  <si>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</si>
  <si>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</si>
  <si>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</si>
  <si>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</si>
  <si>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</si>
  <si>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</si>
  <si>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</si>
  <si>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</si>
  <si>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</si>
  <si>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</si>
  <si>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</si>
  <si>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</si>
  <si>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</si>
  <si>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</si>
  <si>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</si>
  <si>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</si>
  <si>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</si>
  <si>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</si>
  <si>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</si>
  <si>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</si>
  <si>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</si>
  <si>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</si>
  <si>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</si>
  <si>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</si>
  <si>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</si>
  <si>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</si>
  <si>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</si>
  <si>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</si>
  <si>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</si>
  <si>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</si>
  <si>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</si>
  <si>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</si>
  <si>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</si>
  <si>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</si>
  <si>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</si>
  <si>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</si>
  <si>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</si>
  <si>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</si>
  <si>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</si>
  <si>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</si>
  <si>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</si>
  <si>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</si>
  <si>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</si>
  <si>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</si>
  <si>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</si>
  <si>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</si>
  <si>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</si>
  <si>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</si>
  <si>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</si>
  <si>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</si>
  <si>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</si>
  <si>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</si>
  <si>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</si>
  <si>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</si>
  <si>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</si>
  <si>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</si>
  <si>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</si>
  <si>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</si>
  <si>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</si>
  <si>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</si>
  <si>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</si>
  <si>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</si>
  <si>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</si>
  <si>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</si>
  <si>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</si>
  <si>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</si>
  <si>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</si>
  <si>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</si>
  <si>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</si>
  <si>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</si>
  <si>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</si>
  <si>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</si>
  <si>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</si>
  <si>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</si>
  <si>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</si>
  <si>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</si>
  <si>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</si>
  <si>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</si>
  <si>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</si>
  <si>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</si>
  <si>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</si>
  <si>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</si>
  <si>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</si>
  <si>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</si>
  <si>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</si>
  <si>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</si>
  <si>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</si>
  <si>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</si>
  <si>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</si>
  <si>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</si>
  <si>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</si>
  <si>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</si>
  <si>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</si>
  <si>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</si>
  <si>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</si>
  <si>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</si>
  <si>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</si>
  <si>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</si>
  <si>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</si>
  <si>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</si>
  <si>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</si>
  <si>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</si>
  <si>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</si>
  <si>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</si>
  <si>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</si>
  <si>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</si>
  <si>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</si>
  <si>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</si>
  <si>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</si>
  <si>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</si>
  <si>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</si>
  <si>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</si>
  <si>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</si>
  <si>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</si>
  <si>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</si>
  <si>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</si>
  <si>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</si>
  <si>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</si>
  <si>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</si>
  <si>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</si>
  <si>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</si>
  <si>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</si>
  <si>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</si>
  <si>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</si>
  <si>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</si>
  <si>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</si>
  <si>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</si>
  <si>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</si>
  <si>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</si>
  <si>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</si>
  <si>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</si>
  <si>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</si>
  <si>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</si>
  <si>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</si>
  <si>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</si>
  <si>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</si>
  <si>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</si>
  <si>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</si>
  <si>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</si>
  <si>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</si>
  <si>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</si>
  <si>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</si>
  <si>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</si>
  <si>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</si>
  <si>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</si>
  <si>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</si>
  <si>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</si>
  <si>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</si>
  <si>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</si>
  <si>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</si>
  <si>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</si>
  <si>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</si>
  <si>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</si>
  <si>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</si>
  <si>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</si>
  <si>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</si>
  <si>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</si>
  <si>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</si>
  <si>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</si>
  <si>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</si>
  <si>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</si>
  <si>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</si>
  <si>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</si>
  <si>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</si>
  <si>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</si>
  <si>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</si>
  <si>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</si>
  <si>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</si>
  <si>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</si>
  <si>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</si>
  <si>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</si>
  <si>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</si>
  <si>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</si>
  <si>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</si>
  <si>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</si>
  <si>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</si>
  <si>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</si>
  <si>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</si>
  <si>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</si>
  <si>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</si>
  <si>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</si>
  <si>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</si>
  <si>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</si>
  <si>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</si>
  <si>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</si>
  <si>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</si>
  <si>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</si>
  <si>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</si>
  <si>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</si>
  <si>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</si>
  <si>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</si>
  <si>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</si>
  <si>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</si>
  <si>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</si>
  <si>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</si>
  <si>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</si>
  <si>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</si>
  <si>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</si>
  <si>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</si>
  <si>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</si>
  <si>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</si>
  <si>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</si>
  <si>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</si>
  <si>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</si>
  <si>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</si>
  <si>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</si>
  <si>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</si>
  <si>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</si>
  <si>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</si>
  <si>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</si>
  <si>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</si>
  <si>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</si>
  <si>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</si>
  <si>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</si>
  <si>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</si>
  <si>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</si>
  <si>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</si>
  <si>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</si>
  <si>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</si>
  <si>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</si>
  <si>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</si>
  <si>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</si>
  <si>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</si>
  <si>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</si>
  <si>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</si>
  <si>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</si>
  <si>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</si>
  <si>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</si>
  <si>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</si>
  <si>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</si>
  <si>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</si>
  <si>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</si>
  <si>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</si>
  <si>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</si>
  <si>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</si>
  <si>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</si>
  <si>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</si>
  <si>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</si>
  <si>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</si>
  <si>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</si>
  <si>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</si>
  <si>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</si>
  <si>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</si>
  <si>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</si>
  <si>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</si>
  <si>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</si>
  <si>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</si>
  <si>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</si>
  <si>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</si>
  <si>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</si>
  <si>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</si>
  <si>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</si>
  <si>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</si>
  <si>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</si>
  <si>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</si>
  <si>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</si>
  <si>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</si>
  <si>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</si>
  <si>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</si>
  <si>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</si>
  <si>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</si>
  <si>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</si>
  <si>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</si>
  <si>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</si>
  <si>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</si>
  <si>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</si>
  <si>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</si>
  <si>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</si>
  <si>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</si>
  <si>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</si>
  <si>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</si>
  <si>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</si>
  <si>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</si>
  <si>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</si>
  <si>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</si>
  <si>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</si>
  <si>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</si>
  <si>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</si>
  <si>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</si>
  <si>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</si>
  <si>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</si>
  <si>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</si>
  <si>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</si>
  <si>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</si>
  <si>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</si>
  <si>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</si>
  <si>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</si>
  <si>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</si>
  <si>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</si>
  <si>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</si>
  <si>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</si>
  <si>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</si>
  <si>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</si>
  <si>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</si>
  <si>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</si>
  <si>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</si>
  <si>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</si>
  <si>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</si>
  <si>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</si>
  <si>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</si>
  <si>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</si>
  <si>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</si>
  <si>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</si>
  <si>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</si>
  <si>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</si>
  <si>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</si>
  <si>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</si>
  <si>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</si>
  <si>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</si>
  <si>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</si>
  <si>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</si>
  <si>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</si>
  <si>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</si>
  <si>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</si>
  <si>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</si>
  <si>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</si>
  <si>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</si>
  <si>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</si>
  <si>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</si>
  <si>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</si>
  <si>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</si>
  <si>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</si>
  <si>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</si>
  <si>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</si>
  <si>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</si>
  <si>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</si>
  <si>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</si>
  <si>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</si>
  <si>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</si>
  <si>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</si>
  <si>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</si>
  <si>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</si>
  <si>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</si>
  <si>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</si>
  <si>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</si>
  <si>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</si>
  <si>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</si>
  <si>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</si>
  <si>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</si>
  <si>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</si>
  <si>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</si>
  <si>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</si>
  <si>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</si>
  <si>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</si>
  <si>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</si>
  <si>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</si>
  <si>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</si>
  <si>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</si>
  <si>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</si>
  <si>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</si>
  <si>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</si>
  <si>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</si>
  <si>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</si>
  <si>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</si>
  <si>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</si>
  <si>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</si>
  <si>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</si>
  <si>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</si>
  <si>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</si>
  <si>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</si>
  <si>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</si>
  <si>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</si>
  <si>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</si>
  <si>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</si>
  <si>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</si>
  <si>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</si>
  <si>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</si>
  <si>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</si>
  <si>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</si>
  <si>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</si>
  <si>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</si>
  <si>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</si>
  <si>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</si>
  <si>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</si>
  <si>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</si>
  <si>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</si>
  <si>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</si>
  <si>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</si>
  <si>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</si>
  <si>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</si>
  <si>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</si>
  <si>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</si>
  <si>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</si>
  <si>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</si>
  <si>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</si>
  <si>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</si>
  <si>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</si>
  <si>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</si>
  <si>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</si>
  <si>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</si>
  <si>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</si>
  <si>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</si>
  <si>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</si>
  <si>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</si>
  <si>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</si>
  <si>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</si>
  <si>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</si>
  <si>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</si>
  <si>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</si>
  <si>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</si>
  <si>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</si>
  <si>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</si>
  <si>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</si>
  <si>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</si>
  <si>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</si>
  <si>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</si>
  <si>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</si>
  <si>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</si>
  <si>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</si>
  <si>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</si>
  <si>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</si>
  <si>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</si>
  <si>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</si>
  <si>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</si>
  <si>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</si>
  <si>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</si>
  <si>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Chaudry Store</t>
  </si>
  <si>
    <t>Address: Hatta</t>
  </si>
  <si>
    <t>4 Brothers</t>
  </si>
  <si>
    <t>Address: Dharampura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</si>
</sst>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46298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Chaudry Store</v>
      </c>
      <c r="T3" s="301">
        <f>+'1'!P35</f>
        <v>2265.051582838983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4 Brothers</v>
      </c>
      <c r="T4" s="301">
        <f>+'2'!P35</f>
        <v>1080.2526335847456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17</v>
      </c>
      <c r="I7" s="235">
        <f>(G7*D7)*F7+H7*F7</f>
        <v>891.86249999999995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71.34899999999999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31.215187500000003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789.29831249999995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168.55932203389824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4.7892881726694911</v>
      </c>
      <c r="P7" s="310">
        <f>M7+N7+O7</f>
        <v>962.64692270656758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17</v>
      </c>
      <c r="I8" s="236">
        <f t="shared" ref="I8:I14" si="0">(G8*D8)*F8+H8*F8</f>
        <v>891.86249999999995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71.34899999999999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31.215187500000003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789.29831249999995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168.55932203389824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4.7892881726694911</v>
      </c>
      <c r="P8" s="311">
        <f t="shared" ref="P8:P15" si="2">M8+N8+O8</f>
        <v>962.64692270656758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14</v>
      </c>
      <c r="I9" s="236">
        <f t="shared" si="0"/>
        <v>734.47500000000002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58.758000000000003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25.706625000000003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650.01037500000007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138.81355932203383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3.9441196716101694</v>
      </c>
      <c r="P9" s="311">
        <f t="shared" si="2"/>
        <v>792.76805399364412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</v>
      </c>
      <c r="I10" s="236">
        <f t="shared" si="0"/>
        <v>290.56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23.244800000000001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10.169600000000001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257.1456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54.915254237288138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1.5603042711864408</v>
      </c>
      <c r="P10" s="311">
        <f t="shared" si="2"/>
        <v>313.62115850847459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</v>
      </c>
      <c r="I11" s="236">
        <f t="shared" si="0"/>
        <v>290.56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23.244800000000001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10.169600000000001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257.1456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54.915254237288138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1.5603042711864408</v>
      </c>
      <c r="P11" s="311">
        <f t="shared" si="2"/>
        <v>313.62115850847459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1.4</v>
      </c>
      <c r="H16" s="113">
        <f t="shared" ref="H16:M16" si="3">SUM(H7:H15)</f>
        <v>56</v>
      </c>
      <c r="I16" s="114">
        <f t="shared" si="3"/>
        <v>3099.3199999999997</v>
      </c>
      <c r="J16" s="274">
        <f>SUM(J7:J15)</f>
        <v>247.94559999999998</v>
      </c>
      <c r="K16" s="275">
        <f t="shared" si="3"/>
        <v>108.47620000000001</v>
      </c>
      <c r="L16" s="276">
        <f t="shared" si="3"/>
        <v>0</v>
      </c>
      <c r="M16" s="232">
        <f t="shared" si="3"/>
        <v>2742.8981999999996</v>
      </c>
      <c r="N16" s="233">
        <f>SUM(N7:N15)</f>
        <v>585.76271186440658</v>
      </c>
      <c r="O16" s="101">
        <f>SUM(O7:O15)</f>
        <v>16.643304559322033</v>
      </c>
      <c r="P16" s="113">
        <f>SUM(P7:P15)</f>
        <v>3345.3042164237286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3099.3199999999997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247.94559999999998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108.47620000000001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2742.8981999999996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585.76271186440658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3328.6609118644064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16.643304559322033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3345.3042164237286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3345.3042164237286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13</v>
      </c>
      <c r="I16" s="235">
        <f>(G16*D16)*F16+H16*F16</f>
        <v>682.01249999999993</v>
      </c>
      <c r="J16" s="271">
        <f>$I16*S16</f>
        <v>54.560999999999993</v>
      </c>
      <c r="K16" s="127">
        <f>$I16*T16</f>
        <v>23.870437500000001</v>
      </c>
      <c r="L16" s="118">
        <f>$I16*U16</f>
        <v>0</v>
      </c>
      <c r="M16" s="229">
        <f>I16-SUM(J16:L16)</f>
        <v>603.58106249999992</v>
      </c>
      <c r="N16" s="248">
        <f>+(G16*D16+H16)*V16</f>
        <v>128.89830508474572</v>
      </c>
      <c r="O16" s="238">
        <f>(N16+M16)*$O$15</f>
        <v>3.6623968379237284</v>
      </c>
      <c r="P16" s="118">
        <f>M16+N16+O16</f>
        <v>736.14176442266944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13</v>
      </c>
      <c r="I17" s="236">
        <f t="shared" ref="I17:I23" si="0">(G17*D17)*F17+H17*F17</f>
        <v>682.01249999999993</v>
      </c>
      <c r="J17" s="272">
        <f t="shared" ref="J17:L24" si="1">$I17*S17</f>
        <v>54.560999999999993</v>
      </c>
      <c r="K17" s="128">
        <f>$I17*T17</f>
        <v>23.870437500000001</v>
      </c>
      <c r="L17" s="119">
        <f>$I17*U17</f>
        <v>0</v>
      </c>
      <c r="M17" s="230">
        <f t="shared" ref="M17:M24" si="2">I17-SUM(J17:L17)</f>
        <v>603.58106249999992</v>
      </c>
      <c r="N17" s="277">
        <f t="shared" ref="N17:N24" si="3">+(G17*D17+H17)*V17</f>
        <v>128.89830508474572</v>
      </c>
      <c r="O17" s="239">
        <f t="shared" ref="O17:O24" si="4">(N17+M17)*$O$15</f>
        <v>3.6623968379237284</v>
      </c>
      <c r="P17" s="119">
        <f t="shared" ref="P17:P24" si="5">M17+N17+O17</f>
        <v>736.14176442266944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14</v>
      </c>
      <c r="I18" s="236">
        <f t="shared" ref="I18:I21" si="7">(G18*D18)*F18+H18*F18</f>
        <v>734.47500000000002</v>
      </c>
      <c r="J18" s="272">
        <f t="shared" si="1"/>
        <v>58.758000000000003</v>
      </c>
      <c r="K18" s="128">
        <f t="shared" si="1"/>
        <v>25.706625000000003</v>
      </c>
      <c r="L18" s="119">
        <f t="shared" si="1"/>
        <v>0</v>
      </c>
      <c r="M18" s="230">
        <f t="shared" si="2"/>
        <v>650.01037500000007</v>
      </c>
      <c r="N18" s="277">
        <f t="shared" si="3"/>
        <v>138.81355932203383</v>
      </c>
      <c r="O18" s="239">
        <f t="shared" si="4"/>
        <v>3.9441196716101694</v>
      </c>
      <c r="P18" s="119">
        <f t="shared" si="5"/>
        <v>792.76805399364412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73.447500000000005</v>
      </c>
      <c r="L25" s="276">
        <f t="shared" si="10"/>
        <v>0</v>
      </c>
      <c r="M25" s="232">
        <f t="shared" si="10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16</v>
      </c>
      <c r="I25" s="114">
        <f t="shared" si="7"/>
        <v>1000.8199999999999</v>
      </c>
      <c r="J25" s="274">
        <f>SUM(J16:J24)</f>
        <v>80.065600000000003</v>
      </c>
      <c r="K25" s="275">
        <f t="shared" si="7"/>
        <v>35.028700000000001</v>
      </c>
      <c r="L25" s="276">
        <f t="shared" si="7"/>
        <v>0</v>
      </c>
      <c r="M25" s="232">
        <f t="shared" si="7"/>
        <v>885.72569999999996</v>
      </c>
      <c r="N25" s="233">
        <f>SUM(N16:N24)</f>
        <v>189.15254237288133</v>
      </c>
      <c r="O25" s="101">
        <f>SUM(O16:O24)</f>
        <v>5.3743912118644062</v>
      </c>
      <c r="P25" s="234">
        <f>SUM(P16:P24)</f>
        <v>1080.2526335847456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1000.8199999999999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80.065600000000003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35.028700000000001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885.72569999999996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189.15254237288133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1074.8782423728812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5.3743912118644062</v>
      </c>
    </row>
    <row r="35" spans="2:16" ht="15.75" customHeight="1" thickBot="1" x14ac:dyDescent="0.4">
      <c r="N35" s="345" t="s">
        <v>88</v>
      </c>
      <c r="O35" s="346"/>
      <c r="P35" s="297">
        <f>+P33+P34</f>
        <v>1080.2526335847456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46299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46298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2026-10-03T07:39:13Z</dcterms:modified>
</cp:coreProperties>
</file>