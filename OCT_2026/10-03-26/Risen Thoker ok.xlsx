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B6F328E-572B-48B9-8E21-977B95FAA956}" xr6:coauthVersionLast="47" xr6:coauthVersionMax="47" xr10:uidLastSave="{00000000-0000-0000-0000-000000000000}"/>
  <bookViews>
    <workbookView xWindow="-110" yWindow="-110" windowWidth="19420" windowHeight="10420" tabRatio="872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<sst xmlns="http://schemas.openxmlformats.org/spreadsheetml/2006/main" count="3950" uniqueCount="521">
  <si>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</si>
  <si>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</si>
  <si>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</si>
  <si>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</si>
  <si>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</si>
  <si>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</si>
  <si>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</si>
  <si>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</si>
  <si>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</si>
  <si>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</si>
  <si>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</si>
  <si>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</si>
  <si>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</si>
  <si>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</si>
  <si>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</si>
  <si>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</si>
  <si>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</si>
  <si>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</si>
  <si>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</si>
  <si>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</si>
  <si>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</si>
  <si>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</si>
  <si>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</si>
  <si>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</si>
  <si>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</si>
  <si>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</si>
  <si>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</si>
  <si>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</si>
  <si>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</si>
  <si>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</si>
  <si>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</si>
  <si>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</si>
  <si>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</si>
  <si>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</si>
  <si>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</si>
  <si>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</si>
  <si>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</si>
  <si>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</si>
  <si>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</si>
  <si>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</si>
  <si>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</si>
  <si>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</si>
  <si>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</si>
  <si>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</si>
  <si>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</si>
  <si>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</si>
  <si>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</si>
  <si>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</si>
  <si>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</si>
  <si>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</si>
  <si>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</si>
  <si>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</si>
  <si>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</si>
  <si>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</si>
  <si>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</si>
  <si>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</si>
  <si>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</si>
  <si>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</si>
  <si>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</si>
  <si>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</si>
  <si>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</si>
  <si>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</si>
  <si>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</si>
  <si>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</si>
  <si>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</si>
  <si>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</si>
  <si>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</si>
  <si>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</si>
  <si>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</si>
  <si>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</si>
  <si>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</si>
  <si>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</si>
  <si>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</si>
  <si>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</si>
  <si>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</si>
  <si>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</si>
  <si>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</si>
  <si>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</si>
  <si>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</si>
  <si>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</si>
  <si>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</si>
  <si>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</si>
  <si>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</si>
  <si>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</si>
  <si>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</si>
  <si>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</si>
  <si>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</si>
  <si>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</si>
  <si>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</si>
  <si>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</si>
  <si>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</si>
  <si>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</si>
  <si>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</si>
  <si>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</si>
  <si>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</si>
  <si>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</si>
  <si>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</si>
  <si>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</si>
  <si>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</si>
  <si>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</si>
  <si>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</si>
  <si>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</si>
  <si>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</si>
  <si>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</si>
  <si>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</si>
  <si>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</si>
  <si>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</si>
  <si>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</si>
  <si>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</si>
  <si>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</si>
  <si>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</si>
  <si>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</si>
  <si>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</si>
  <si>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</si>
  <si>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</si>
  <si>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</si>
  <si>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</si>
  <si>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</si>
  <si>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</si>
  <si>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</si>
  <si>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</si>
  <si>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</si>
  <si>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</si>
  <si>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</si>
  <si>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</si>
  <si>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</si>
  <si>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</si>
  <si>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</si>
  <si>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</si>
  <si>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</si>
  <si>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</si>
  <si>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</si>
  <si>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</si>
  <si>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</si>
  <si>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</si>
  <si>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</si>
  <si>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</si>
  <si>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</si>
  <si>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</si>
  <si>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</si>
  <si>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</si>
  <si>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</si>
  <si>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</si>
  <si>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</si>
  <si>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</si>
  <si>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</si>
  <si>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</si>
  <si>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</si>
  <si>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</si>
  <si>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</si>
  <si>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</si>
  <si>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</si>
  <si>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</si>
  <si>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</si>
  <si>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</si>
  <si>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</si>
  <si>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</si>
  <si>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</si>
  <si>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</si>
  <si>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</si>
  <si>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</si>
  <si>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</si>
  <si>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</si>
  <si>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</si>
  <si>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</si>
  <si>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</si>
  <si>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</si>
  <si>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</si>
  <si>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</si>
  <si>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</si>
  <si>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</si>
  <si>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</si>
  <si>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</si>
  <si>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</si>
  <si>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</si>
  <si>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</si>
  <si>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</si>
  <si>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</si>
  <si>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</si>
  <si>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</si>
  <si>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</si>
  <si>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</si>
  <si>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</si>
  <si>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</si>
  <si>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</si>
  <si>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</si>
  <si>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</si>
  <si>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</si>
  <si>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</si>
  <si>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</si>
  <si>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</si>
  <si>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</si>
  <si>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</si>
  <si>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</si>
  <si>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</si>
  <si>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</si>
  <si>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</si>
  <si>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</si>
  <si>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</si>
  <si>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</si>
  <si>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</si>
  <si>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</si>
  <si>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</si>
  <si>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</si>
  <si>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</si>
  <si>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</si>
  <si>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</si>
  <si>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</si>
  <si>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</si>
  <si>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</si>
  <si>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</si>
  <si>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</si>
  <si>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</si>
  <si>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</si>
  <si>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</si>
  <si>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</si>
  <si>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</si>
  <si>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</si>
  <si>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</si>
  <si>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</si>
  <si>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</si>
  <si>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</si>
  <si>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</si>
  <si>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</si>
  <si>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</si>
  <si>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</si>
  <si>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</si>
  <si>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</si>
  <si>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</si>
  <si>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</si>
  <si>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</si>
  <si>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</si>
  <si>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</si>
  <si>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</si>
  <si>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</si>
  <si>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</si>
  <si>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</si>
  <si>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</si>
  <si>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</si>
  <si>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</si>
  <si>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</si>
  <si>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</si>
  <si>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</si>
  <si>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</si>
  <si>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</si>
  <si>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</si>
  <si>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</si>
  <si>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</si>
  <si>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</si>
  <si>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</si>
  <si>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</si>
  <si>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</si>
  <si>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</si>
  <si>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</si>
  <si>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</si>
  <si>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</si>
  <si>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</si>
  <si>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</si>
  <si>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</si>
  <si>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</si>
  <si>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</si>
  <si>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</si>
  <si>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</si>
  <si>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</si>
  <si>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</si>
  <si>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</si>
  <si>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</si>
  <si>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</si>
  <si>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</si>
  <si>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</si>
  <si>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</si>
  <si>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</si>
  <si>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</si>
  <si>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</si>
  <si>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</si>
  <si>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</si>
  <si>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</si>
  <si>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</si>
  <si>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</si>
  <si>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</si>
  <si>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</si>
  <si>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</si>
  <si>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</si>
  <si>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</si>
  <si>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</si>
  <si>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</si>
  <si>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</si>
  <si>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</si>
  <si>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</si>
  <si>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</si>
  <si>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</si>
  <si>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</si>
  <si>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</si>
  <si>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</si>
  <si>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</si>
  <si>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</si>
  <si>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</si>
  <si>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</si>
  <si>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</si>
  <si>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</si>
  <si>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</si>
  <si>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</si>
  <si>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</si>
  <si>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</si>
  <si>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</si>
  <si>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</si>
  <si>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</si>
  <si>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</si>
  <si>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</si>
  <si>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</si>
  <si>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</si>
  <si>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</si>
  <si>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</si>
  <si>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</si>
  <si>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</si>
  <si>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</si>
  <si>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</si>
  <si>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</si>
  <si>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</si>
  <si>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</si>
  <si>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</si>
  <si>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</si>
  <si>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</si>
  <si>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</si>
  <si>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</si>
  <si>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</si>
  <si>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</si>
  <si>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</si>
  <si>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</si>
  <si>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</si>
  <si>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</si>
  <si>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</si>
  <si>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</si>
  <si>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</si>
  <si>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</si>
  <si>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</si>
  <si>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</si>
  <si>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</si>
  <si>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</si>
  <si>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</si>
  <si>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</si>
  <si>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</si>
  <si>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</si>
  <si>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</si>
  <si>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</si>
  <si>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</si>
  <si>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</si>
  <si>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</si>
  <si>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</si>
  <si>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</si>
  <si>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</si>
  <si>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</si>
  <si>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</si>
  <si>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</si>
  <si>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</si>
  <si>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</si>
  <si>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</si>
  <si>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</si>
  <si>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</si>
  <si>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</si>
  <si>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</si>
  <si>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</si>
  <si>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</si>
  <si>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</si>
  <si>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</si>
  <si>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</si>
  <si>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</si>
  <si>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</si>
  <si>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</si>
  <si>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</si>
  <si>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</si>
  <si>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</si>
  <si>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</si>
  <si>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</si>
  <si>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</si>
  <si>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</si>
  <si>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</si>
  <si>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</si>
  <si>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</si>
  <si>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</si>
  <si>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</si>
  <si>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</si>
  <si>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</si>
  <si>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</si>
  <si>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</si>
  <si>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</si>
  <si>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</si>
  <si>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</si>
  <si>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</si>
  <si>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</si>
  <si>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</si>
  <si>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</si>
  <si>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</si>
  <si>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</si>
  <si>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</si>
  <si>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</si>
  <si>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</si>
  <si>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</si>
  <si>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</si>
  <si>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</si>
  <si>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</si>
  <si>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</si>
  <si>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</si>
  <si>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</si>
  <si>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</si>
  <si>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</si>
  <si>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</si>
  <si>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</si>
  <si>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</si>
  <si>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</si>
  <si>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</si>
  <si>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</si>
  <si>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</si>
  <si>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</si>
  <si>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</si>
  <si>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</si>
  <si>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</si>
  <si>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</si>
  <si>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</si>
  <si>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</si>
  <si>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</si>
  <si>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</si>
  <si>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</si>
  <si>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</si>
  <si>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</si>
  <si>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</si>
  <si>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</si>
  <si>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</si>
  <si>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</si>
  <si>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</si>
  <si>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</si>
  <si>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</si>
  <si>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</si>
  <si>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</si>
  <si>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</si>
  <si>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</si>
  <si>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</si>
  <si>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</si>
  <si>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</si>
  <si>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</si>
  <si>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</si>
  <si>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</si>
  <si>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</si>
  <si>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</si>
  <si>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</si>
  <si>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</si>
  <si>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</si>
  <si>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</si>
  <si>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</si>
  <si>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</si>
  <si>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</si>
  <si>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</si>
  <si>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</si>
  <si>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</si>
  <si>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</si>
  <si>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</si>
  <si>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</si>
  <si>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</si>
  <si>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</si>
  <si>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</si>
  <si>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</si>
  <si>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</si>
  <si>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</si>
  <si>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</si>
  <si>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</si>
  <si>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</si>
  <si>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</si>
  <si>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</si>
  <si>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</si>
  <si>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</si>
  <si>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</si>
  <si>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</si>
  <si>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</si>
  <si>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</si>
  <si>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</si>
  <si>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</si>
  <si>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</si>
  <si>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</si>
  <si>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</si>
  <si>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</si>
  <si>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</si>
  <si>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</si>
  <si>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</si>
  <si>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</si>
  <si>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</si>
  <si>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</si>
  <si>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</si>
  <si>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</si>
  <si>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</si>
  <si>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</si>
  <si>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</si>
  <si>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</si>
  <si>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</si>
  <si>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</si>
  <si>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</si>
  <si>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</si>
  <si>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</si>
  <si>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</si>
  <si>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</si>
  <si>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</si>
  <si>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</si>
  <si>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</si>
  <si>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</si>
  <si>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</si>
  <si>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</si>
  <si>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</si>
  <si>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</si>
  <si>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</si>
  <si>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</si>
  <si>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</si>
  <si>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</si>
  <si>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</si>
  <si>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</si>
  <si>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Invoice No # :1566516</t>
  </si>
  <si>
    <t>Rafaqat Sons</t>
  </si>
  <si>
    <t>Number</t>
  </si>
  <si>
    <t>327787628553-1</t>
  </si>
  <si>
    <t>Address: Thoker Niaz Baig</t>
  </si>
  <si>
    <t xml:space="preserve">TN Traders </t>
  </si>
  <si>
    <t xml:space="preserve">NTN #: 9402653-2 STRN #: 327787628948-9 </t>
  </si>
  <si>
    <t>Invoice No # :000142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</si>
</sst>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5" sqref="A5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514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46300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 xml:space="preserve">TN Traders </v>
      </c>
      <c r="T3" s="301">
        <f>+'1'!P35</f>
        <v>15298.547813771183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TN Traders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TN Traders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TN Traders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310">
        <f>M7+N7+O7</f>
        <v>2138.512032838983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TN Traders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311">
        <f t="shared" ref="P8:P15" si="2">M8+N8+O8</f>
        <v>2138.512032838983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TN Traders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293.79000000000002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1731.2625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10.639363347457627</v>
      </c>
      <c r="P9" s="311">
        <f t="shared" si="2"/>
        <v>2138.512032838983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TN Traders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TN Traders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2397.12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14.731362711864406</v>
      </c>
      <c r="P11" s="311">
        <f t="shared" si="2"/>
        <v>2961.0039050847454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TN Traders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813.5680000000001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4794.24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29.462725423728813</v>
      </c>
      <c r="P12" s="311">
        <f t="shared" si="2"/>
        <v>5922.0078101694908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TN Traders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TN Traders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TN Traders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TN Traders 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6</v>
      </c>
      <c r="H16" s="113">
        <f t="shared" ref="H16:M16" si="3">SUM(H7:H15)</f>
        <v>240</v>
      </c>
      <c r="I16" s="114">
        <f t="shared" si="3"/>
        <v>15012.3</v>
      </c>
      <c r="J16" s="274">
        <f>SUM(J7:J15)</f>
        <v>2101.7220000000002</v>
      </c>
      <c r="K16" s="275">
        <f t="shared" si="3"/>
        <v>525.43050000000005</v>
      </c>
      <c r="L16" s="276">
        <f t="shared" si="3"/>
        <v>0</v>
      </c>
      <c r="M16" s="232">
        <f t="shared" si="3"/>
        <v>12385.147499999999</v>
      </c>
      <c r="N16" s="233">
        <f>SUM(N7:N15)</f>
        <v>2837.2881355932195</v>
      </c>
      <c r="O16" s="101">
        <f>SUM(O7:O15)</f>
        <v>76.112178177966101</v>
      </c>
      <c r="P16" s="113">
        <f>SUM(P7:P15)</f>
        <v>15298.547813771185</v>
      </c>
      <c r="Q16" s="128">
        <f>SUM(Q7:Q15)</f>
        <v>0</v>
      </c>
      <c r="R16" s="314">
        <v>14</v>
      </c>
      <c r="S16" s="300" t="str">
        <f>+'14'!A6:A6</f>
        <v xml:space="preserve">TN Traders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TN Traders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TN Traders 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15012.3</v>
      </c>
      <c r="R19" s="299">
        <v>17</v>
      </c>
      <c r="S19" s="300" t="str">
        <f>+'17'!A6:A6</f>
        <v xml:space="preserve">TN Traders 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2101.7220000000002</v>
      </c>
      <c r="R20" s="299">
        <v>18</v>
      </c>
      <c r="S20" s="300" t="str">
        <f>+'18'!A6:A6</f>
        <v xml:space="preserve">TN Traders 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525.43050000000005</v>
      </c>
      <c r="R21" s="299">
        <v>19</v>
      </c>
      <c r="S21" s="300" t="str">
        <f>+'19'!A6:A6</f>
        <v xml:space="preserve">TN Traders 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12385.147499999999</v>
      </c>
      <c r="R22" s="299">
        <v>20</v>
      </c>
      <c r="S22" s="300" t="str">
        <f>+'20'!A6:A6</f>
        <v xml:space="preserve">TN Traders 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2837.2881355932195</v>
      </c>
      <c r="R23" s="299">
        <v>21</v>
      </c>
      <c r="S23" s="300" t="str">
        <f>+'21'!A6:A6</f>
        <v xml:space="preserve">TN Traders 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15222.435635593218</v>
      </c>
      <c r="R24" s="299">
        <v>22</v>
      </c>
      <c r="S24" s="300" t="str">
        <f>+'22'!A6:A6</f>
        <v xml:space="preserve">TN Traders 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76.112178177966101</v>
      </c>
      <c r="R25" s="299">
        <v>23</v>
      </c>
      <c r="S25" s="300" t="str">
        <f>+'23'!A6:A6</f>
        <v xml:space="preserve">TN Traders 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15298.547813771183</v>
      </c>
      <c r="R26" s="299">
        <v>24</v>
      </c>
      <c r="S26" s="300" t="str">
        <f>+'24'!A6:A6</f>
        <v xml:space="preserve">TN Traders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 xml:space="preserve">TN Traders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TN Traders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TN Traders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TN Traders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TN Traders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TN Traders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15298.547813771183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5" workbookViewId="0">
      <selection activeCell="I17" sqref="I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520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46298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46297</v>
      </c>
      <c r="O5" s="369"/>
      <c r="P5" s="369"/>
      <c r="R5" s="85"/>
      <c r="S5" s="266"/>
    </row>
    <row r="6" spans="1:22 16383:16384" ht="17.2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500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A13" t="s">
        <v>515</v>
      </c>
      <c r="B13" t="s">
        <v>516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319">
        <v>3.5000000000000003E-2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311">
        <f t="shared" si="5"/>
        <v>2961.0039050847454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</v>
      </c>
      <c r="J25" s="274">
        <f>SUM(J16:J24)</f>
        <v>2101.7220000000002</v>
      </c>
      <c r="K25" s="275">
        <f t="shared" si="10"/>
        <v>525.43050000000005</v>
      </c>
      <c r="L25" s="276">
        <f t="shared" si="10"/>
        <v>0</v>
      </c>
      <c r="M25" s="232">
        <f t="shared" si="10"/>
        <v>12385.147499999999</v>
      </c>
      <c r="N25" s="233">
        <f>SUM(N16:N24)</f>
        <v>2837.2881355932195</v>
      </c>
      <c r="O25" s="101">
        <f>SUM(O16:O24)</f>
        <v>76.112178177966101</v>
      </c>
      <c r="P25" s="113">
        <f>SUM(P16:P24)</f>
        <v>15298.547813771185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15012.3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2101.7220000000002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525.43050000000005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12385.147499999999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15222.435635593218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76.112178177966086</v>
      </c>
    </row>
    <row r="35" spans="2:16" ht="15.75" customHeight="1" thickBot="1" x14ac:dyDescent="0.4">
      <c r="N35" s="344" t="s">
        <v>88</v>
      </c>
      <c r="O35" s="345"/>
      <c r="P35" s="297">
        <f>+P33+P34</f>
        <v>15298.547813771183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5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502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A13" t="s">
        <v>515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519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46301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46300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2026-10-05T04:39:12Z</dcterms:modified>
</cp:coreProperties>
</file>