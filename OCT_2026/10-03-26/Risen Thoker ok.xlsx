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B890F9-91BB-4316-8EC3-02134BCD77AD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<sst xmlns="http://schemas.openxmlformats.org/spreadsheetml/2006/main" count="3950" uniqueCount="521">
  <si>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</si>
  <si>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</si>
  <si>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</si>
  <si>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</si>
  <si>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</si>
  <si>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</si>
  <si>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</si>
  <si>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</si>
  <si>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</si>
  <si>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</si>
  <si>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</si>
  <si>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</si>
  <si>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</si>
  <si>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</si>
  <si>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</si>
  <si>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</si>
  <si>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</si>
  <si>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</si>
  <si>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</si>
  <si>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</si>
  <si>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</si>
  <si>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</si>
  <si>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</si>
  <si>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</si>
  <si>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</si>
  <si>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</si>
  <si>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</si>
  <si>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</si>
  <si>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</si>
  <si>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</si>
  <si>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</si>
  <si>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</si>
  <si>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</si>
  <si>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</si>
  <si>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</si>
  <si>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</si>
  <si>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</si>
  <si>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</si>
  <si>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</si>
  <si>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</si>
  <si>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</si>
  <si>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</si>
  <si>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</si>
  <si>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</si>
  <si>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</si>
  <si>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</si>
  <si>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</si>
  <si>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</si>
  <si>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</si>
  <si>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</si>
  <si>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</si>
  <si>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</si>
  <si>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</si>
  <si>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</si>
  <si>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</si>
  <si>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</si>
  <si>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</si>
  <si>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</si>
  <si>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</si>
  <si>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</si>
  <si>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</si>
  <si>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</si>
  <si>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</si>
  <si>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</si>
  <si>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</si>
  <si>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</si>
  <si>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</si>
  <si>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</si>
  <si>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</si>
  <si>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</si>
  <si>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</si>
  <si>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</si>
  <si>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</si>
  <si>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</si>
  <si>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</si>
  <si>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</si>
  <si>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</si>
  <si>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</si>
  <si>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</si>
  <si>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</si>
  <si>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</si>
  <si>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</si>
  <si>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</si>
  <si>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</si>
  <si>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</si>
  <si>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</si>
  <si>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</si>
  <si>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</si>
  <si>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</si>
  <si>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</si>
  <si>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</si>
  <si>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</si>
  <si>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</si>
  <si>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</si>
  <si>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</si>
  <si>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</si>
  <si>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</si>
  <si>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</si>
  <si>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</si>
  <si>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</si>
  <si>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</si>
  <si>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</si>
  <si>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</si>
  <si>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</si>
  <si>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</si>
  <si>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</si>
  <si>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</si>
  <si>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</si>
  <si>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</si>
  <si>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</si>
  <si>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</si>
  <si>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</si>
  <si>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</si>
  <si>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</si>
  <si>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</si>
  <si>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</si>
  <si>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</si>
  <si>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</si>
  <si>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</si>
  <si>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</si>
  <si>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</si>
  <si>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</si>
  <si>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</si>
  <si>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</si>
  <si>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</si>
  <si>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</si>
  <si>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</si>
  <si>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</si>
  <si>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</si>
  <si>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</si>
  <si>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</si>
  <si>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</si>
  <si>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</si>
  <si>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</si>
  <si>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</si>
  <si>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</si>
  <si>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</si>
  <si>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</si>
  <si>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</si>
  <si>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</si>
  <si>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</si>
  <si>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</si>
  <si>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</si>
  <si>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</si>
  <si>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</si>
  <si>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</si>
  <si>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</si>
  <si>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</si>
  <si>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</si>
  <si>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</si>
  <si>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</si>
  <si>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</si>
  <si>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</si>
  <si>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</si>
  <si>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</si>
  <si>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</si>
  <si>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</si>
  <si>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</si>
  <si>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</si>
  <si>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</si>
  <si>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</si>
  <si>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</si>
  <si>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</si>
  <si>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</si>
  <si>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</si>
  <si>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</si>
  <si>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</si>
  <si>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</si>
  <si>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</si>
  <si>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</si>
  <si>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</si>
  <si>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</si>
  <si>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</si>
  <si>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</si>
  <si>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</si>
  <si>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</si>
  <si>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</si>
  <si>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</si>
  <si>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</si>
  <si>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</si>
  <si>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</si>
  <si>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</si>
  <si>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</si>
  <si>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</si>
  <si>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</si>
  <si>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</si>
  <si>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</si>
  <si>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</si>
  <si>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</si>
  <si>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</si>
  <si>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</si>
  <si>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</si>
  <si>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</si>
  <si>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</si>
  <si>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</si>
  <si>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</si>
  <si>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</si>
  <si>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</si>
  <si>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</si>
  <si>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</si>
  <si>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</si>
  <si>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</si>
  <si>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</si>
  <si>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</si>
  <si>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</si>
  <si>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</si>
  <si>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</si>
  <si>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</si>
  <si>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</si>
  <si>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</si>
  <si>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</si>
  <si>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</si>
  <si>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</si>
  <si>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</si>
  <si>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</si>
  <si>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</si>
  <si>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</si>
  <si>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</si>
  <si>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</si>
  <si>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</si>
  <si>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</si>
  <si>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</si>
  <si>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</si>
  <si>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</si>
  <si>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</si>
  <si>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</si>
  <si>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</si>
  <si>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</si>
  <si>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</si>
  <si>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</si>
  <si>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</si>
  <si>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</si>
  <si>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</si>
  <si>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</si>
  <si>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</si>
  <si>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</si>
  <si>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</si>
  <si>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</si>
  <si>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</si>
  <si>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</si>
  <si>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</si>
  <si>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</si>
  <si>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</si>
  <si>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</si>
  <si>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</si>
  <si>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</si>
  <si>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</si>
  <si>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</si>
  <si>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</si>
  <si>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</si>
  <si>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</si>
  <si>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</si>
  <si>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</si>
  <si>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</si>
  <si>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</si>
  <si>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</si>
  <si>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</si>
  <si>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</si>
  <si>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</si>
  <si>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</si>
  <si>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</si>
  <si>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</si>
  <si>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</si>
  <si>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</si>
  <si>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</si>
  <si>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</si>
  <si>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</si>
  <si>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</si>
  <si>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</si>
  <si>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</si>
  <si>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</si>
  <si>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</si>
  <si>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</si>
  <si>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</si>
  <si>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</si>
  <si>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</si>
  <si>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</si>
  <si>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</si>
  <si>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</si>
  <si>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</si>
  <si>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</si>
  <si>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</si>
  <si>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</si>
  <si>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</si>
  <si>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</si>
  <si>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</si>
  <si>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</si>
  <si>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</si>
  <si>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</si>
  <si>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</si>
  <si>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</si>
  <si>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</si>
  <si>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</si>
  <si>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</si>
  <si>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</si>
  <si>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</si>
  <si>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</si>
  <si>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</si>
  <si>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</si>
  <si>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</si>
  <si>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</si>
  <si>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</si>
  <si>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</si>
  <si>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</si>
  <si>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</si>
  <si>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</si>
  <si>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</si>
  <si>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</si>
  <si>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</si>
  <si>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</si>
  <si>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</si>
  <si>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</si>
  <si>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</si>
  <si>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</si>
  <si>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</si>
  <si>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</si>
  <si>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</si>
  <si>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</si>
  <si>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</si>
  <si>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</si>
  <si>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</si>
  <si>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</si>
  <si>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</si>
  <si>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</si>
  <si>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</si>
  <si>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</si>
  <si>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</si>
  <si>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</si>
  <si>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</si>
  <si>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</si>
  <si>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</si>
  <si>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</si>
  <si>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</si>
  <si>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</si>
  <si>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</si>
  <si>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</si>
  <si>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</si>
  <si>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</si>
  <si>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</si>
  <si>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</si>
  <si>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</si>
  <si>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</si>
  <si>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</si>
  <si>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</si>
  <si>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</si>
  <si>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</si>
  <si>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</si>
  <si>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</si>
  <si>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</si>
  <si>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</si>
  <si>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</si>
  <si>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</si>
  <si>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</si>
  <si>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</si>
  <si>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</si>
  <si>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</si>
  <si>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</si>
  <si>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</si>
  <si>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</si>
  <si>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</si>
  <si>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</si>
  <si>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</si>
  <si>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</si>
  <si>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</si>
  <si>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</si>
  <si>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</si>
  <si>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</si>
  <si>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</si>
  <si>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</si>
  <si>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</si>
  <si>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</si>
  <si>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</si>
  <si>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</si>
  <si>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</si>
  <si>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</si>
  <si>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</si>
  <si>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</si>
  <si>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</si>
  <si>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</si>
  <si>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</si>
  <si>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</si>
  <si>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</si>
  <si>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</si>
  <si>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</si>
  <si>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</si>
  <si>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</si>
  <si>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</si>
  <si>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</si>
  <si>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</si>
  <si>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</si>
  <si>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</si>
  <si>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</si>
  <si>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</si>
  <si>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</si>
  <si>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</si>
  <si>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</si>
  <si>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</si>
  <si>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</si>
  <si>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</si>
  <si>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</si>
  <si>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</si>
  <si>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</si>
  <si>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</si>
  <si>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</si>
  <si>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</si>
  <si>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</si>
  <si>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</si>
  <si>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</si>
  <si>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</si>
  <si>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</si>
  <si>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</si>
  <si>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</si>
  <si>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</si>
  <si>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</si>
  <si>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</si>
  <si>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</si>
  <si>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</si>
  <si>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</si>
  <si>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</si>
  <si>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</si>
  <si>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</si>
  <si>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</si>
  <si>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</si>
  <si>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</si>
  <si>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</si>
  <si>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</si>
  <si>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</si>
  <si>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</si>
  <si>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</si>
  <si>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</si>
  <si>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</si>
  <si>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</si>
  <si>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</si>
  <si>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</si>
  <si>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</si>
  <si>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</si>
  <si>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</si>
  <si>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</si>
  <si>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</si>
  <si>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</si>
  <si>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</si>
  <si>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</si>
  <si>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</si>
  <si>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</si>
  <si>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</si>
  <si>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</si>
  <si>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</si>
  <si>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</si>
  <si>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</si>
  <si>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</si>
  <si>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</si>
  <si>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</si>
  <si>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</si>
  <si>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</si>
  <si>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</si>
  <si>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</si>
  <si>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</si>
  <si>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</si>
  <si>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</si>
  <si>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</si>
  <si>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</si>
  <si>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</si>
  <si>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</si>
  <si>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</si>
  <si>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</si>
  <si>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</si>
  <si>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</si>
  <si>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</si>
  <si>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</si>
  <si>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</si>
  <si>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</si>
  <si>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</si>
  <si>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</si>
  <si>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</si>
  <si>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</si>
  <si>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</si>
  <si>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</si>
  <si>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</si>
  <si>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</si>
  <si>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</si>
  <si>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</si>
  <si>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</si>
  <si>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</si>
  <si>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</si>
  <si>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</si>
  <si>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</si>
  <si>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</si>
  <si>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</si>
  <si>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</si>
  <si>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</si>
  <si>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</si>
  <si>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</si>
  <si>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</si>
  <si>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</si>
  <si>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</si>
  <si>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</si>
  <si>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</si>
  <si>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</si>
  <si>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</si>
  <si>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</si>
  <si>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</si>
  <si>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</si>
  <si>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</si>
  <si>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</si>
  <si>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</si>
  <si>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</si>
  <si>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</si>
  <si>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</si>
  <si>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</si>
  <si>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</si>
  <si>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</si>
  <si>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</si>
  <si>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</si>
  <si>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</si>
  <si>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</si>
  <si>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Number</t>
  </si>
  <si>
    <t>327787628553-1</t>
  </si>
  <si>
    <t>Address: Thoker Niaz Baig</t>
  </si>
  <si>
    <t xml:space="preserve">TN Traders </t>
  </si>
  <si>
    <t xml:space="preserve">NTN #: 9402653-2 STRN #: 327787628948-9 </t>
  </si>
  <si>
    <t>Invoice No # :000142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</si>
</sst>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46298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TN Traders </v>
      </c>
      <c r="T3" s="301">
        <f>+'1'!P35</f>
        <v>15298.547813771183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TN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TN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TN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TN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TN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TN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TN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TN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TN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TN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TN Traders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</v>
      </c>
      <c r="H16" s="113">
        <f t="shared" ref="H16:M16" si="3">SUM(H7:H15)</f>
        <v>240</v>
      </c>
      <c r="I16" s="114">
        <f t="shared" si="3"/>
        <v>15012.3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113">
        <f>SUM(P7:P15)</f>
        <v>15298.547813771185</v>
      </c>
      <c r="Q16" s="128">
        <f>SUM(Q7:Q15)</f>
        <v>0</v>
      </c>
      <c r="R16" s="314">
        <v>14</v>
      </c>
      <c r="S16" s="300" t="str">
        <f>+'14'!A6:A6</f>
        <v xml:space="preserve">TN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TN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TN Traders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15012.3</v>
      </c>
      <c r="R19" s="299">
        <v>17</v>
      </c>
      <c r="S19" s="300" t="str">
        <f>+'17'!A6:A6</f>
        <v xml:space="preserve">TN Traders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2101.7220000000002</v>
      </c>
      <c r="R20" s="299">
        <v>18</v>
      </c>
      <c r="S20" s="300" t="str">
        <f>+'18'!A6:A6</f>
        <v xml:space="preserve">TN Traders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525.43050000000005</v>
      </c>
      <c r="R21" s="299">
        <v>19</v>
      </c>
      <c r="S21" s="300" t="str">
        <f>+'19'!A6:A6</f>
        <v xml:space="preserve">TN Traders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12385.147499999999</v>
      </c>
      <c r="R22" s="299">
        <v>20</v>
      </c>
      <c r="S22" s="300" t="str">
        <f>+'20'!A6:A6</f>
        <v xml:space="preserve">TN Traders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TN Traders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15222.435635593218</v>
      </c>
      <c r="R24" s="299">
        <v>22</v>
      </c>
      <c r="S24" s="300" t="str">
        <f>+'22'!A6:A6</f>
        <v xml:space="preserve">TN Traders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 xml:space="preserve">TN Traders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15298.547813771183</v>
      </c>
      <c r="R26" s="299">
        <v>24</v>
      </c>
      <c r="S26" s="300" t="str">
        <f>+'24'!A6:A6</f>
        <v xml:space="preserve">TN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TN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TN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TN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TN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TN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TN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15298.547813771183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B13" t="s">
        <v>516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2101.7220000000002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525.43050000000005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12385.147499999999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15222.435635593218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76.112178177966086</v>
      </c>
    </row>
    <row r="35" spans="2:16" ht="15.75" customHeight="1" thickBot="1" x14ac:dyDescent="0.4">
      <c r="N35" s="373" t="s">
        <v>88</v>
      </c>
      <c r="O35" s="374"/>
      <c r="P35" s="297">
        <f>+P33+P34</f>
        <v>15298.547813771183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5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46299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46298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2026-10-03T04:56:58Z</dcterms:modified>
</cp:coreProperties>
</file>