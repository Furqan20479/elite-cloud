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393AC09-AE3A-4E40-A22A-C6FDF4487DCE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8" l="1"/>
  <c r="M21" i="5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<sst xmlns="http://schemas.openxmlformats.org/spreadsheetml/2006/main" count="3948" uniqueCount="536">
  <si>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</si>
  <si>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</si>
  <si>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</si>
  <si>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</si>
  <si>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</si>
  <si>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</si>
  <si>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</si>
  <si>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</si>
  <si>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</si>
  <si>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</si>
  <si>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</si>
  <si>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</si>
  <si>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</si>
  <si>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</si>
  <si>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</si>
  <si>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</si>
  <si>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</si>
  <si>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</si>
  <si>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</si>
  <si>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</si>
  <si>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</si>
  <si>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</si>
  <si>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</si>
  <si>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</si>
  <si>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</si>
  <si>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</si>
  <si>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</si>
  <si>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</si>
  <si>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</si>
  <si>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</si>
  <si>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</si>
  <si>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</si>
  <si>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</si>
  <si>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</si>
  <si>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</si>
  <si>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</si>
  <si>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</si>
  <si>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</si>
  <si>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</si>
  <si>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</si>
  <si>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</si>
  <si>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</si>
  <si>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</si>
  <si>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</si>
  <si>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</si>
  <si>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</si>
  <si>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</si>
  <si>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</si>
  <si>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</si>
  <si>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</si>
  <si>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</si>
  <si>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</si>
  <si>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</si>
  <si>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</si>
  <si>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</si>
  <si>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</si>
  <si>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</si>
  <si>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</si>
  <si>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</si>
  <si>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</si>
  <si>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</si>
  <si>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</si>
  <si>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</si>
  <si>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</si>
  <si>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</si>
  <si>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</si>
  <si>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</si>
  <si>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</si>
  <si>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</si>
  <si>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</si>
  <si>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</si>
  <si>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</si>
  <si>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</si>
  <si>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</si>
  <si>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</si>
  <si>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</si>
  <si>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</si>
  <si>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</si>
  <si>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</si>
  <si>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</si>
  <si>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</si>
  <si>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</si>
  <si>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</si>
  <si>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</si>
  <si>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</si>
  <si>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</si>
  <si>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</si>
  <si>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</si>
  <si>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</si>
  <si>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</si>
  <si>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</si>
  <si>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</si>
  <si>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</si>
  <si>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</si>
  <si>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</si>
  <si>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</si>
  <si>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</si>
  <si>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</si>
  <si>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</si>
  <si>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</si>
  <si>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</si>
  <si>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</si>
  <si>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</si>
  <si>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</si>
  <si>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</si>
  <si>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</si>
  <si>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</si>
  <si>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</si>
  <si>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</si>
  <si>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</si>
  <si>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</si>
  <si>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</si>
  <si>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</si>
  <si>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</si>
  <si>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</si>
  <si>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</si>
  <si>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</si>
  <si>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</si>
  <si>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</si>
  <si>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</si>
  <si>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</si>
  <si>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</si>
  <si>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</si>
  <si>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</si>
  <si>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</si>
  <si>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</si>
  <si>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</si>
  <si>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</si>
  <si>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</si>
  <si>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</si>
  <si>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</si>
  <si>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</si>
  <si>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</si>
  <si>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</si>
  <si>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</si>
  <si>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</si>
  <si>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</si>
  <si>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</si>
  <si>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</si>
  <si>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</si>
  <si>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</si>
  <si>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</si>
  <si>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</si>
  <si>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</si>
  <si>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</si>
  <si>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</si>
  <si>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</si>
  <si>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</si>
  <si>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</si>
  <si>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</si>
  <si>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</si>
  <si>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</si>
  <si>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</si>
  <si>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</si>
  <si>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</si>
  <si>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</si>
  <si>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</si>
  <si>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</si>
  <si>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</si>
  <si>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</si>
  <si>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</si>
  <si>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</si>
  <si>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</si>
  <si>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</si>
  <si>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</si>
  <si>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</si>
  <si>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</si>
  <si>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</si>
  <si>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</si>
  <si>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</si>
  <si>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</si>
  <si>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</si>
  <si>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</si>
  <si>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</si>
  <si>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</si>
  <si>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</si>
  <si>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</si>
  <si>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</si>
  <si>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</si>
  <si>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</si>
  <si>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</si>
  <si>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</si>
  <si>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</si>
  <si>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</si>
  <si>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</si>
  <si>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</si>
  <si>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</si>
  <si>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</si>
  <si>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</si>
  <si>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</si>
  <si>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</si>
  <si>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</si>
  <si>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</si>
  <si>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</si>
  <si>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</si>
  <si>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</si>
  <si>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</si>
  <si>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</si>
  <si>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</si>
  <si>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</si>
  <si>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</si>
  <si>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</si>
  <si>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</si>
  <si>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</si>
  <si>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</si>
  <si>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</si>
  <si>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</si>
  <si>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</si>
  <si>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</si>
  <si>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</si>
  <si>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</si>
  <si>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</si>
  <si>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</si>
  <si>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</si>
  <si>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</si>
  <si>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</si>
  <si>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</si>
  <si>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</si>
  <si>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</si>
  <si>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</si>
  <si>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</si>
  <si>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</si>
  <si>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</si>
  <si>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</si>
  <si>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</si>
  <si>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</si>
  <si>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</si>
  <si>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</si>
  <si>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</si>
  <si>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</si>
  <si>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</si>
  <si>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</si>
  <si>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</si>
  <si>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</si>
  <si>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</si>
  <si>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</si>
  <si>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</si>
  <si>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</si>
  <si>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</si>
  <si>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</si>
  <si>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</si>
  <si>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</si>
  <si>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</si>
  <si>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</si>
  <si>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</si>
  <si>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</si>
  <si>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</si>
  <si>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</si>
  <si>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</si>
  <si>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</si>
  <si>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</si>
  <si>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</si>
  <si>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</si>
  <si>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</si>
  <si>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</si>
  <si>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</si>
  <si>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</si>
  <si>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</si>
  <si>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</si>
  <si>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</si>
  <si>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</si>
  <si>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</si>
  <si>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</si>
  <si>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</si>
  <si>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</si>
  <si>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</si>
  <si>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</si>
  <si>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</si>
  <si>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</si>
  <si>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</si>
  <si>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</si>
  <si>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</si>
  <si>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</si>
  <si>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</si>
  <si>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</si>
  <si>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</si>
  <si>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</si>
  <si>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</si>
  <si>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</si>
  <si>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</si>
  <si>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</si>
  <si>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</si>
  <si>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</si>
  <si>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</si>
  <si>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</si>
  <si>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</si>
  <si>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</si>
  <si>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</si>
  <si>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</si>
  <si>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</si>
  <si>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</si>
  <si>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</si>
  <si>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</si>
  <si>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</si>
  <si>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</si>
  <si>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</si>
  <si>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</si>
  <si>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</si>
  <si>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</si>
  <si>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</si>
  <si>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</si>
  <si>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</si>
  <si>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</si>
  <si>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</si>
  <si>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</si>
  <si>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</si>
  <si>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</si>
  <si>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</si>
  <si>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</si>
  <si>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</si>
  <si>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</si>
  <si>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</si>
  <si>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</si>
  <si>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</si>
  <si>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</si>
  <si>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</si>
  <si>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</si>
  <si>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</si>
  <si>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</si>
  <si>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</si>
  <si>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</si>
  <si>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</si>
  <si>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</si>
  <si>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</si>
  <si>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</si>
  <si>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</si>
  <si>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</si>
  <si>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</si>
  <si>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</si>
  <si>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</si>
  <si>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</si>
  <si>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</si>
  <si>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</si>
  <si>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</si>
  <si>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</si>
  <si>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</si>
  <si>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</si>
  <si>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</si>
  <si>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</si>
  <si>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</si>
  <si>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</si>
  <si>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</si>
  <si>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</si>
  <si>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</si>
  <si>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</si>
  <si>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</si>
  <si>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</si>
  <si>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</si>
  <si>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</si>
  <si>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</si>
  <si>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</si>
  <si>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</si>
  <si>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</si>
  <si>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</si>
  <si>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</si>
  <si>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</si>
  <si>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</si>
  <si>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</si>
  <si>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</si>
  <si>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</si>
  <si>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</si>
  <si>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</si>
  <si>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</si>
  <si>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</si>
  <si>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</si>
  <si>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</si>
  <si>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</si>
  <si>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</si>
  <si>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</si>
  <si>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</si>
  <si>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</si>
  <si>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</si>
  <si>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</si>
  <si>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</si>
  <si>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</si>
  <si>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</si>
  <si>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</si>
  <si>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</si>
  <si>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</si>
  <si>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</si>
  <si>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</si>
  <si>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</si>
  <si>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</si>
  <si>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</si>
  <si>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</si>
  <si>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</si>
  <si>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</si>
  <si>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</si>
  <si>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</si>
  <si>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</si>
  <si>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</si>
  <si>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</si>
  <si>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</si>
  <si>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</si>
  <si>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</si>
  <si>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</si>
  <si>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</si>
  <si>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</si>
  <si>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</si>
  <si>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</si>
  <si>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</si>
  <si>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</si>
  <si>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</si>
  <si>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</si>
  <si>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</si>
  <si>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</si>
  <si>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</si>
  <si>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</si>
  <si>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</si>
  <si>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</si>
  <si>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</si>
  <si>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</si>
  <si>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</si>
  <si>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</si>
  <si>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</si>
  <si>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</si>
  <si>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</si>
  <si>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</si>
  <si>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</si>
  <si>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</si>
  <si>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</si>
  <si>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</si>
  <si>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</si>
  <si>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</si>
  <si>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</si>
  <si>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</si>
  <si>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</si>
  <si>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</si>
  <si>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</si>
  <si>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</si>
  <si>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</si>
  <si>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</si>
  <si>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</si>
  <si>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</si>
  <si>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</si>
  <si>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</si>
  <si>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</si>
  <si>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</si>
  <si>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</si>
  <si>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</si>
  <si>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</si>
  <si>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</si>
  <si>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</si>
  <si>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</si>
  <si>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</si>
  <si>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</si>
  <si>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</si>
  <si>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</si>
  <si>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</si>
  <si>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</si>
  <si>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</si>
  <si>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</si>
  <si>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</si>
  <si>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</si>
  <si>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</si>
  <si>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</si>
  <si>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</si>
  <si>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</si>
  <si>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</si>
  <si>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</si>
  <si>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</si>
  <si>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</si>
  <si>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</si>
  <si>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</si>
  <si>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</si>
  <si>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</si>
  <si>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</si>
  <si>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</si>
  <si>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</si>
  <si>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</si>
  <si>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</si>
  <si>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</si>
  <si>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</si>
  <si>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</si>
  <si>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</si>
  <si>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</si>
  <si>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</si>
  <si>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</si>
  <si>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</si>
  <si>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</si>
  <si>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</si>
  <si>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</si>
  <si>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</si>
  <si>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</si>
  <si>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</si>
  <si>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</si>
  <si>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</si>
  <si>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</si>
  <si>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</si>
  <si>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</si>
  <si>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</si>
  <si>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</si>
  <si>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</si>
  <si>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</si>
  <si>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</si>
  <si>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</si>
  <si>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</si>
  <si>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</si>
  <si>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</si>
  <si>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</si>
  <si>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</si>
  <si>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</si>
  <si>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</si>
  <si>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</si>
  <si>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</si>
  <si>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</si>
  <si>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</si>
  <si>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</si>
  <si>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</si>
  <si>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</si>
  <si>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</si>
  <si>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</si>
  <si>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</si>
  <si>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</si>
  <si>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Zeshan</t>
  </si>
  <si>
    <t>Address: DHA</t>
  </si>
  <si>
    <t>Al ghani Store</t>
  </si>
  <si>
    <t>Total Pump</t>
  </si>
  <si>
    <t>Rehman Store</t>
  </si>
  <si>
    <t>Hafiz Store</t>
  </si>
  <si>
    <t>Ali Store</t>
  </si>
  <si>
    <t xml:space="preserve">Address: Bhata Chowk </t>
  </si>
  <si>
    <t xml:space="preserve">Groccer Express </t>
  </si>
  <si>
    <t xml:space="preserve">Smart Mart </t>
  </si>
  <si>
    <t>24/7</t>
  </si>
  <si>
    <t>Groccer Express 2</t>
  </si>
  <si>
    <t xml:space="preserve">Afzal Mart </t>
  </si>
  <si>
    <t xml:space="preserve">Address: Sui Gas Society </t>
  </si>
  <si>
    <t xml:space="preserve">Captain Mart </t>
  </si>
  <si>
    <t>NM Store</t>
  </si>
  <si>
    <t>Freshly Store</t>
  </si>
  <si>
    <t>AM Store</t>
  </si>
  <si>
    <t>Ajwa Store</t>
  </si>
  <si>
    <t xml:space="preserve">Address: Farminate Society </t>
  </si>
  <si>
    <t>Address: State Life</t>
  </si>
  <si>
    <t>Paradise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</si>
</sst>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46298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Al ghani Store</v>
      </c>
      <c r="T3" s="301">
        <f>+'1'!P35</f>
        <v>566.26289570974575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Total Pump</v>
      </c>
      <c r="T4" s="301">
        <f>+'2'!P35</f>
        <v>566.26289570974575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Rehman Store</v>
      </c>
      <c r="T5" s="301">
        <f>+'3'!P35</f>
        <v>566.26289570974575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Hafiz Store</v>
      </c>
      <c r="T6" s="301">
        <f>+'4'!P35</f>
        <v>566.26289570974575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44</v>
      </c>
      <c r="I7" s="235">
        <f>(G7*D7)*F7+H7*F7</f>
        <v>2308.35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184.66800000000001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80.792249999999996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2042.8897499999998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436.27118644067775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12.395804682203389</v>
      </c>
      <c r="P7" s="310">
        <f>M7+N7+O7</f>
        <v>2491.5567411228812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Ali Store</v>
      </c>
      <c r="T7" s="301">
        <f>+'5'!P35</f>
        <v>4530.103165677966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114</v>
      </c>
      <c r="I8" s="236">
        <f t="shared" ref="I8:I14" si="0">(G8*D8)*F8+H8*F8</f>
        <v>5980.7249999999995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478.45799999999997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209.32537500000001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5292.9416249999995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1130.3389830508468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32.116403040254234</v>
      </c>
      <c r="P8" s="311">
        <f t="shared" ref="P8:P15" si="2">M8+N8+O8</f>
        <v>6455.3970110911005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Groccer Express </v>
      </c>
      <c r="T8" s="301">
        <f>+'6'!P35</f>
        <v>566.26289570974575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154</v>
      </c>
      <c r="I9" s="236">
        <f t="shared" si="0"/>
        <v>8079.2249999999995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646.33799999999997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282.772875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7150.1141249999991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1526.9491525423721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43.38531638771186</v>
      </c>
      <c r="P9" s="311">
        <f t="shared" si="2"/>
        <v>8720.448593930083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Smart Mart </v>
      </c>
      <c r="T9" s="301">
        <f>+'7'!P35</f>
        <v>566.26289570974575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79</v>
      </c>
      <c r="I10" s="236">
        <f t="shared" si="0"/>
        <v>5738.56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459.08479999999997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200.84960000000004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5078.6256000000003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1084.5762711864406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30.816009355932202</v>
      </c>
      <c r="P10" s="311">
        <f t="shared" si="2"/>
        <v>6194.017880542373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24/7</v>
      </c>
      <c r="T10" s="301">
        <f>+'8'!P35</f>
        <v>566.26289570974575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54</v>
      </c>
      <c r="I11" s="236">
        <f t="shared" si="0"/>
        <v>3922.56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313.8048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137.28960000000001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3471.4656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741.3559322033899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21.064107661016951</v>
      </c>
      <c r="P11" s="311">
        <f t="shared" si="2"/>
        <v>4233.8856398644075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Groccer Express 2</v>
      </c>
      <c r="T11" s="301">
        <f>+'9'!P35</f>
        <v>566.26289570974575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99</v>
      </c>
      <c r="I12" s="236">
        <f t="shared" si="0"/>
        <v>7191.36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575.30880000000002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251.69760000000002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6364.3535999999995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1359.1525423728813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38.617530711864404</v>
      </c>
      <c r="P12" s="311">
        <f t="shared" si="2"/>
        <v>7762.123673084745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Afzal Mart </v>
      </c>
      <c r="T12" s="301">
        <f>+'10'!P35</f>
        <v>4861.1368511313567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Captain Mart </v>
      </c>
      <c r="T13" s="301">
        <f>+'11'!P35</f>
        <v>784.05289627118646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NM Store</v>
      </c>
      <c r="T14" s="301">
        <f>+'12'!P35</f>
        <v>784.05289627118646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Freshly Store</v>
      </c>
      <c r="T15" s="301">
        <f>+'13'!P35</f>
        <v>784.05289627118646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13.6</v>
      </c>
      <c r="H16" s="113">
        <f t="shared" ref="H16:M16" si="3">SUM(H7:H15)</f>
        <v>544</v>
      </c>
      <c r="I16" s="114">
        <f t="shared" si="3"/>
        <v>33220.78</v>
      </c>
      <c r="J16" s="274">
        <f>SUM(J7:J15)</f>
        <v>2657.6624000000002</v>
      </c>
      <c r="K16" s="275">
        <f t="shared" si="3"/>
        <v>1162.7273</v>
      </c>
      <c r="L16" s="276">
        <f t="shared" si="3"/>
        <v>0</v>
      </c>
      <c r="M16" s="232">
        <f t="shared" si="3"/>
        <v>29400.390299999995</v>
      </c>
      <c r="N16" s="233">
        <f>SUM(N7:N15)</f>
        <v>6278.6440677966093</v>
      </c>
      <c r="O16" s="101">
        <f>SUM(O7:O15)</f>
        <v>178.39517183898306</v>
      </c>
      <c r="P16" s="113">
        <f>SUM(P7:P15)</f>
        <v>35857.429539635588</v>
      </c>
      <c r="Q16" s="128">
        <f>SUM(Q7:Q15)</f>
        <v>0</v>
      </c>
      <c r="R16" s="313">
        <v>14</v>
      </c>
      <c r="S16" s="315" t="str">
        <f>+'14'!A6:A6</f>
        <v>AM Store</v>
      </c>
      <c r="T16" s="301">
        <f>+'14'!P35</f>
        <v>784.05289627118646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Ajwa Store</v>
      </c>
      <c r="T17" s="301">
        <f>+'15'!P35</f>
        <v>3136.2115850847458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Afzal Mart </v>
      </c>
      <c r="T18" s="301">
        <f>+'16'!P35</f>
        <v>4861.1368511313567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33220.78</v>
      </c>
      <c r="R19" s="299">
        <v>17</v>
      </c>
      <c r="S19" s="300" t="str">
        <f>+'17'!A6:A6</f>
        <v>Paradise store</v>
      </c>
      <c r="T19" s="301">
        <f>+'17'!P35</f>
        <v>10802.526335847459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2657.6624000000002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1162.7273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29400.390299999999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6278.6440677966093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35679.034367796608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178.39517183898306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35857.429539635588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35857.429539635603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ref="I18:I21" si="7">(G18*D18)*F18+H18*F18</f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524.625</v>
      </c>
      <c r="J25" s="274">
        <f>SUM(J16:J24)</f>
        <v>41.97</v>
      </c>
      <c r="K25" s="275">
        <f t="shared" si="10"/>
        <v>18.361875000000001</v>
      </c>
      <c r="L25" s="276">
        <f t="shared" si="10"/>
        <v>0</v>
      </c>
      <c r="M25" s="232">
        <f t="shared" si="10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4197</v>
      </c>
      <c r="J25" s="274">
        <f>SUM(J16:J24)</f>
        <v>335.76</v>
      </c>
      <c r="K25" s="275">
        <f t="shared" si="7"/>
        <v>146.89500000000001</v>
      </c>
      <c r="L25" s="276">
        <f t="shared" si="7"/>
        <v>0</v>
      </c>
      <c r="M25" s="232">
        <f t="shared" si="7"/>
        <v>3714.3450000000003</v>
      </c>
      <c r="N25" s="233">
        <f>SUM(N16:N24)</f>
        <v>793.22033898305051</v>
      </c>
      <c r="O25" s="101">
        <f>SUM(O16:O24)</f>
        <v>22.537826694915253</v>
      </c>
      <c r="P25" s="234">
        <f>SUM(P16:P24)</f>
        <v>4530.103165677966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4197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335.76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146.89500000000001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3714.3449999999998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793.22033898305051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4507.5653389830504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22.537826694915253</v>
      </c>
    </row>
    <row r="35" spans="2:16" ht="15.75" customHeight="1" thickBot="1" x14ac:dyDescent="0.4">
      <c r="N35" s="374" t="s">
        <v>88</v>
      </c>
      <c r="O35" s="375"/>
      <c r="P35" s="297">
        <f>+P33+P34</f>
        <v>4530.103165677966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72</v>
      </c>
      <c r="I25" s="114">
        <f t="shared" si="7"/>
        <v>4503.6900000000005</v>
      </c>
      <c r="J25" s="274">
        <f>SUM(J16:J24)</f>
        <v>360.29519999999997</v>
      </c>
      <c r="K25" s="275">
        <f t="shared" si="7"/>
        <v>157.62915000000001</v>
      </c>
      <c r="L25" s="276">
        <f t="shared" si="7"/>
        <v>0</v>
      </c>
      <c r="M25" s="232">
        <f t="shared" si="7"/>
        <v>3985.7656499999998</v>
      </c>
      <c r="N25" s="233">
        <f>SUM(N16:N24)</f>
        <v>851.18644067796617</v>
      </c>
      <c r="O25" s="101">
        <f>SUM(O16:O24)</f>
        <v>24.184760453389828</v>
      </c>
      <c r="P25" s="234">
        <f>SUM(P16:P24)</f>
        <v>4861.1368511313558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4503.6900000000005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360.29519999999997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157.62915000000001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3985.7656500000007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851.18644067796617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4836.9520906779671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24.184760453389835</v>
      </c>
    </row>
    <row r="35" spans="2:16" ht="15.75" customHeight="1" thickBot="1" x14ac:dyDescent="0.4">
      <c r="N35" s="374" t="s">
        <v>88</v>
      </c>
      <c r="O35" s="375"/>
      <c r="P35" s="297">
        <f>+P33+P34</f>
        <v>4861.1368511313567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72</v>
      </c>
      <c r="I25" s="114">
        <f t="shared" si="7"/>
        <v>4503.6900000000005</v>
      </c>
      <c r="J25" s="274">
        <f>SUM(J16:J24)</f>
        <v>360.29519999999997</v>
      </c>
      <c r="K25" s="275">
        <f t="shared" si="7"/>
        <v>157.62915000000001</v>
      </c>
      <c r="L25" s="276">
        <f t="shared" si="7"/>
        <v>0</v>
      </c>
      <c r="M25" s="232">
        <f t="shared" si="7"/>
        <v>3985.7656499999998</v>
      </c>
      <c r="N25" s="233">
        <f>SUM(N16:N24)</f>
        <v>851.18644067796617</v>
      </c>
      <c r="O25" s="101">
        <f>SUM(O16:O24)</f>
        <v>24.184760453389828</v>
      </c>
      <c r="P25" s="234">
        <f>SUM(P16:P24)</f>
        <v>4861.1368511313558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4503.6900000000005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360.29519999999997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157.62915000000001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3985.7656500000007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851.18644067796617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4836.9520906779671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24.184760453389835</v>
      </c>
    </row>
    <row r="35" spans="2:16" ht="15.75" customHeight="1" thickBot="1" x14ac:dyDescent="0.4">
      <c r="N35" s="374" t="s">
        <v>88</v>
      </c>
      <c r="O35" s="375"/>
      <c r="P35" s="297">
        <f>+P33+P34</f>
        <v>4861.1368511313567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11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535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800.65599999999995</v>
      </c>
      <c r="K25" s="275">
        <f t="shared" si="7"/>
        <v>350.28700000000003</v>
      </c>
      <c r="L25" s="276">
        <f t="shared" si="7"/>
        <v>0</v>
      </c>
      <c r="M25" s="232">
        <f t="shared" si="7"/>
        <v>8857.2570000000014</v>
      </c>
      <c r="N25" s="233">
        <f>SUM(N16:N24)</f>
        <v>1891.5254237288132</v>
      </c>
      <c r="O25" s="101">
        <f>SUM(O16:O24)</f>
        <v>53.743912118644062</v>
      </c>
      <c r="P25" s="234">
        <f>SUM(P16:P24)</f>
        <v>10802.526335847459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10008.200000000001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800.65599999999995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350.28700000000003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8857.2570000000014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10748.782423728815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53.743912118644076</v>
      </c>
    </row>
    <row r="35" spans="2:16" ht="15.75" customHeight="1" thickBot="1" x14ac:dyDescent="0.4">
      <c r="N35" s="374" t="s">
        <v>88</v>
      </c>
      <c r="O35" s="375"/>
      <c r="P35" s="297">
        <f>+P33+P34</f>
        <v>10802.526335847459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46298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46297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2026-10-02T12:37:22Z</dcterms:modified>
</cp:coreProperties>
</file>