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DB0B13-EAFF-465D-BAC4-86B6C0B746D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<sst xmlns="http://schemas.openxmlformats.org/spreadsheetml/2006/main" count="3948" uniqueCount="519">
  <si>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</si>
  <si>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</si>
  <si>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</si>
  <si>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</si>
  <si>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</si>
  <si>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</si>
  <si>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</si>
  <si>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</si>
  <si>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</si>
  <si>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</si>
  <si>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</si>
  <si>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</si>
  <si>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</si>
  <si>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</si>
  <si>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</si>
  <si>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</si>
  <si>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</si>
  <si>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</si>
  <si>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</si>
  <si>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</si>
  <si>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</si>
  <si>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</si>
  <si>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</si>
  <si>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</si>
  <si>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</si>
  <si>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</si>
  <si>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</si>
  <si>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</si>
  <si>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</si>
  <si>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</si>
  <si>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</si>
  <si>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</si>
  <si>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</si>
  <si>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</si>
  <si>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</si>
  <si>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</si>
  <si>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</si>
  <si>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</si>
  <si>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</si>
  <si>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</si>
  <si>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</si>
  <si>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</si>
  <si>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</si>
  <si>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</si>
  <si>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</si>
  <si>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</si>
  <si>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</si>
  <si>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</si>
  <si>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</si>
  <si>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</si>
  <si>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</si>
  <si>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</si>
  <si>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</si>
  <si>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</si>
  <si>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</si>
  <si>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</si>
  <si>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</si>
  <si>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</si>
  <si>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</si>
  <si>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</si>
  <si>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</si>
  <si>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</si>
  <si>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</si>
  <si>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</si>
  <si>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</si>
  <si>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</si>
  <si>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</si>
  <si>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</si>
  <si>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</si>
  <si>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</si>
  <si>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</si>
  <si>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</si>
  <si>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</si>
  <si>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</si>
  <si>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</si>
  <si>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</si>
  <si>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</si>
  <si>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</si>
  <si>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</si>
  <si>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</si>
  <si>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</si>
  <si>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</si>
  <si>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</si>
  <si>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</si>
  <si>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</si>
  <si>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</si>
  <si>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</si>
  <si>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</si>
  <si>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</si>
  <si>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</si>
  <si>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</si>
  <si>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</si>
  <si>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</si>
  <si>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</si>
  <si>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</si>
  <si>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</si>
  <si>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</si>
  <si>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</si>
  <si>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</si>
  <si>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</si>
  <si>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</si>
  <si>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</si>
  <si>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</si>
  <si>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</si>
  <si>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</si>
  <si>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</si>
  <si>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</si>
  <si>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</si>
  <si>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</si>
  <si>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</si>
  <si>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</si>
  <si>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</si>
  <si>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</si>
  <si>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</si>
  <si>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</si>
  <si>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</si>
  <si>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</si>
  <si>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</si>
  <si>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</si>
  <si>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</si>
  <si>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</si>
  <si>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</si>
  <si>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</si>
  <si>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</si>
  <si>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</si>
  <si>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</si>
  <si>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</si>
  <si>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</si>
  <si>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</si>
  <si>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</si>
  <si>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</si>
  <si>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</si>
  <si>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</si>
  <si>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</si>
  <si>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</si>
  <si>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</si>
  <si>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</si>
  <si>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</si>
  <si>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</si>
  <si>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</si>
  <si>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</si>
  <si>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</si>
  <si>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</si>
  <si>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</si>
  <si>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</si>
  <si>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</si>
  <si>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</si>
  <si>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</si>
  <si>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</si>
  <si>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</si>
  <si>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</si>
  <si>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</si>
  <si>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</si>
  <si>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</si>
  <si>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</si>
  <si>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</si>
  <si>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</si>
  <si>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</si>
  <si>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</si>
  <si>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</si>
  <si>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</si>
  <si>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</si>
  <si>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</si>
  <si>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</si>
  <si>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</si>
  <si>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</si>
  <si>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</si>
  <si>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</si>
  <si>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</si>
  <si>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</si>
  <si>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</si>
  <si>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</si>
  <si>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</si>
  <si>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</si>
  <si>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</si>
  <si>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</si>
  <si>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</si>
  <si>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</si>
  <si>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</si>
  <si>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</si>
  <si>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</si>
  <si>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</si>
  <si>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</si>
  <si>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</si>
  <si>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</si>
  <si>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</si>
  <si>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</si>
  <si>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</si>
  <si>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</si>
  <si>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</si>
  <si>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</si>
  <si>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</si>
  <si>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</si>
  <si>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</si>
  <si>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</si>
  <si>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</si>
  <si>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</si>
  <si>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</si>
  <si>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</si>
  <si>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</si>
  <si>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</si>
  <si>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</si>
  <si>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</si>
  <si>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</si>
  <si>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</si>
  <si>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</si>
  <si>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</si>
  <si>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</si>
  <si>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</si>
  <si>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</si>
  <si>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</si>
  <si>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</si>
  <si>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</si>
  <si>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</si>
  <si>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</si>
  <si>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</si>
  <si>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</si>
  <si>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</si>
  <si>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</si>
  <si>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</si>
  <si>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</si>
  <si>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</si>
  <si>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</si>
  <si>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</si>
  <si>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</si>
  <si>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</si>
  <si>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</si>
  <si>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</si>
  <si>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</si>
  <si>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</si>
  <si>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</si>
  <si>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</si>
  <si>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</si>
  <si>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</si>
  <si>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</si>
  <si>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</si>
  <si>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</si>
  <si>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</si>
  <si>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</si>
  <si>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</si>
  <si>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</si>
  <si>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</si>
  <si>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</si>
  <si>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</si>
  <si>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</si>
  <si>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</si>
  <si>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</si>
  <si>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</si>
  <si>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</si>
  <si>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</si>
  <si>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</si>
  <si>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</si>
  <si>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</si>
  <si>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</si>
  <si>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</si>
  <si>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</si>
  <si>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</si>
  <si>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</si>
  <si>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</si>
  <si>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</si>
  <si>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</si>
  <si>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</si>
  <si>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</si>
  <si>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</si>
  <si>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</si>
  <si>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</si>
  <si>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</si>
  <si>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</si>
  <si>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</si>
  <si>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</si>
  <si>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</si>
  <si>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</si>
  <si>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</si>
  <si>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</si>
  <si>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</si>
  <si>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</si>
  <si>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</si>
  <si>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</si>
  <si>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</si>
  <si>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</si>
  <si>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</si>
  <si>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</si>
  <si>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</si>
  <si>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</si>
  <si>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</si>
  <si>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</si>
  <si>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</si>
  <si>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</si>
  <si>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</si>
  <si>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</si>
  <si>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</si>
  <si>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</si>
  <si>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</si>
  <si>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</si>
  <si>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</si>
  <si>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</si>
  <si>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</si>
  <si>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</si>
  <si>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</si>
  <si>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</si>
  <si>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</si>
  <si>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</si>
  <si>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</si>
  <si>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</si>
  <si>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</si>
  <si>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</si>
  <si>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</si>
  <si>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</si>
  <si>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</si>
  <si>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</si>
  <si>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</si>
  <si>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</si>
  <si>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</si>
  <si>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</si>
  <si>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</si>
  <si>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</si>
  <si>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</si>
  <si>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</si>
  <si>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</si>
  <si>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</si>
  <si>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</si>
  <si>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</si>
  <si>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</si>
  <si>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</si>
  <si>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</si>
  <si>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</si>
  <si>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</si>
  <si>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</si>
  <si>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</si>
  <si>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</si>
  <si>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</si>
  <si>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</si>
  <si>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</si>
  <si>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</si>
  <si>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</si>
  <si>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</si>
  <si>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</si>
  <si>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</si>
  <si>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</si>
  <si>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</si>
  <si>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</si>
  <si>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</si>
  <si>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</si>
  <si>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</si>
  <si>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</si>
  <si>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</si>
  <si>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</si>
  <si>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</si>
  <si>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</si>
  <si>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</si>
  <si>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</si>
  <si>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</si>
  <si>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</si>
  <si>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</si>
  <si>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</si>
  <si>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</si>
  <si>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</si>
  <si>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</si>
  <si>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</si>
  <si>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</si>
  <si>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</si>
  <si>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</si>
  <si>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</si>
  <si>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</si>
  <si>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</si>
  <si>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</si>
  <si>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</si>
  <si>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</si>
  <si>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</si>
  <si>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</si>
  <si>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</si>
  <si>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</si>
  <si>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</si>
  <si>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</si>
  <si>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</si>
  <si>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</si>
  <si>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</si>
  <si>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</si>
  <si>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</si>
  <si>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</si>
  <si>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</si>
  <si>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</si>
  <si>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</si>
  <si>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</si>
  <si>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</si>
  <si>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</si>
  <si>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</si>
  <si>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</si>
  <si>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</si>
  <si>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</si>
  <si>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</si>
  <si>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</si>
  <si>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</si>
  <si>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</si>
  <si>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</si>
  <si>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</si>
  <si>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</si>
  <si>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</si>
  <si>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</si>
  <si>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</si>
  <si>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</si>
  <si>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</si>
  <si>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</si>
  <si>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</si>
  <si>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</si>
  <si>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</si>
  <si>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</si>
  <si>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</si>
  <si>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</si>
  <si>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</si>
  <si>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</si>
  <si>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</si>
  <si>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</si>
  <si>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</si>
  <si>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</si>
  <si>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</si>
  <si>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</si>
  <si>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</si>
  <si>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</si>
  <si>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</si>
  <si>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</si>
  <si>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</si>
  <si>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</si>
  <si>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</si>
  <si>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</si>
  <si>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</si>
  <si>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</si>
  <si>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</si>
  <si>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</si>
  <si>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</si>
  <si>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</si>
  <si>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</si>
  <si>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</si>
  <si>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</si>
  <si>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</si>
  <si>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</si>
  <si>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</si>
  <si>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</si>
  <si>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</si>
  <si>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</si>
  <si>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</si>
  <si>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</si>
  <si>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</si>
  <si>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</si>
  <si>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</si>
  <si>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</si>
  <si>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</si>
  <si>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</si>
  <si>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</si>
  <si>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</si>
  <si>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</si>
  <si>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</si>
  <si>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</si>
  <si>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</si>
  <si>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</si>
  <si>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</si>
  <si>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</si>
  <si>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</si>
  <si>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</si>
  <si>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</si>
  <si>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</si>
  <si>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</si>
  <si>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</si>
  <si>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</si>
  <si>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</si>
  <si>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</si>
  <si>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</si>
  <si>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</si>
  <si>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</si>
  <si>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</si>
  <si>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</si>
  <si>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</si>
  <si>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</si>
  <si>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</si>
  <si>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</si>
  <si>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</si>
  <si>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</si>
  <si>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</si>
  <si>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</si>
  <si>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</si>
  <si>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</si>
  <si>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</si>
  <si>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</si>
  <si>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</si>
  <si>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</si>
  <si>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</si>
  <si>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</si>
  <si>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</si>
  <si>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</si>
  <si>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</si>
  <si>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</si>
  <si>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</si>
  <si>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</si>
  <si>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</si>
  <si>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</si>
  <si>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</si>
  <si>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</si>
  <si>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</si>
  <si>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</si>
  <si>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</si>
  <si>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</si>
  <si>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</si>
  <si>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</si>
  <si>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</si>
  <si>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</si>
  <si>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</si>
  <si>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</si>
  <si>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</si>
  <si>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</si>
  <si>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</si>
  <si>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</si>
  <si>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</si>
  <si>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</si>
  <si>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</si>
  <si>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</si>
  <si>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Chaudry Store</t>
  </si>
  <si>
    <t>Address: Hatta</t>
  </si>
  <si>
    <t>4 Brothers</t>
  </si>
  <si>
    <t>Address: Dharampura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</si>
</sst>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Chaudry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4 Brothers</v>
      </c>
      <c r="T4" s="301">
        <f>+'2'!P35</f>
        <v>1080.2526335847456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17</v>
      </c>
      <c r="I7" s="235">
        <f>(G7*D7)*F7+H7*F7</f>
        <v>891.86249999999995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71.34899999999999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31.215187500000003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789.29831249999995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168.55932203389824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4.7892881726694911</v>
      </c>
      <c r="P7" s="310">
        <f>M7+N7+O7</f>
        <v>962.64692270656758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71.34899999999999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789.29831249999995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4.7892881726694911</v>
      </c>
      <c r="P8" s="311">
        <f t="shared" ref="P8:P15" si="2">M8+N8+O8</f>
        <v>962.64692270656758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</v>
      </c>
      <c r="I10" s="236">
        <f t="shared" si="0"/>
        <v>290.56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23.244800000000001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10.169600000000001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257.1456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54.915254237288138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1.5603042711864408</v>
      </c>
      <c r="P10" s="311">
        <f t="shared" si="2"/>
        <v>313.62115850847459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</v>
      </c>
      <c r="I11" s="236">
        <f t="shared" si="0"/>
        <v>290.56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23.244800000000001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10.169600000000001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257.1456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54.915254237288138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1.5603042711864408</v>
      </c>
      <c r="P11" s="311">
        <f t="shared" si="2"/>
        <v>313.62115850847459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1.4</v>
      </c>
      <c r="H16" s="113">
        <f t="shared" ref="H16:M16" si="3">SUM(H7:H15)</f>
        <v>56</v>
      </c>
      <c r="I16" s="114">
        <f t="shared" si="3"/>
        <v>3099.3199999999997</v>
      </c>
      <c r="J16" s="274">
        <f>SUM(J7:J15)</f>
        <v>247.94559999999998</v>
      </c>
      <c r="K16" s="275">
        <f t="shared" si="3"/>
        <v>108.47620000000001</v>
      </c>
      <c r="L16" s="276">
        <f t="shared" si="3"/>
        <v>0</v>
      </c>
      <c r="M16" s="232">
        <f t="shared" si="3"/>
        <v>2742.8981999999996</v>
      </c>
      <c r="N16" s="233">
        <f>SUM(N7:N15)</f>
        <v>585.76271186440658</v>
      </c>
      <c r="O16" s="101">
        <f>SUM(O7:O15)</f>
        <v>16.643304559322033</v>
      </c>
      <c r="P16" s="113">
        <f>SUM(P7:P15)</f>
        <v>3345.3042164237286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3099.3199999999997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247.94559999999998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108.47620000000001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2742.8981999999996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585.76271186440658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3328.6609118644064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16.643304559322033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3345.3042164237286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3345.3042164237286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</v>
      </c>
      <c r="I25" s="114">
        <f t="shared" si="7"/>
        <v>1000.8199999999999</v>
      </c>
      <c r="J25" s="274">
        <f>SUM(J16:J24)</f>
        <v>80.065600000000003</v>
      </c>
      <c r="K25" s="275">
        <f t="shared" si="7"/>
        <v>35.028700000000001</v>
      </c>
      <c r="L25" s="276">
        <f t="shared" si="7"/>
        <v>0</v>
      </c>
      <c r="M25" s="232">
        <f t="shared" si="7"/>
        <v>885.72569999999996</v>
      </c>
      <c r="N25" s="233">
        <f>SUM(N16:N24)</f>
        <v>189.15254237288133</v>
      </c>
      <c r="O25" s="101">
        <f>SUM(O16:O24)</f>
        <v>5.3743912118644062</v>
      </c>
      <c r="P25" s="234">
        <f>SUM(P16:P24)</f>
        <v>1080.2526335847456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1000.8199999999999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80.065600000000003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35.028700000000001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885.72569999999996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189.15254237288133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1074.8782423728812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5.3743912118644062</v>
      </c>
    </row>
    <row r="35" spans="2:16" ht="15.75" customHeight="1" thickBot="1" x14ac:dyDescent="0.4">
      <c r="N35" s="374" t="s">
        <v>88</v>
      </c>
      <c r="O35" s="375"/>
      <c r="P35" s="297">
        <f>+P33+P34</f>
        <v>1080.2526335847456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2026-10-02T12:40:46Z</dcterms:modified>
</cp:coreProperties>
</file>