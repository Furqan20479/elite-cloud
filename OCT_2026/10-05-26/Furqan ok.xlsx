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2EA3956-263D-447B-A7F5-1C56F08BF14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11" l="1"/>
  <c r="N4" i="51"/>
  <c r="N4" i="50"/>
  <c r="N4" i="57"/>
  <c r="N5" i="57" s="1"/>
  <c r="N4" i="55"/>
  <c r="N4" i="64"/>
  <c r="N5" i="64" s="1"/>
  <c r="N4" i="63"/>
  <c r="N4" i="70"/>
  <c r="N5" i="70" s="1"/>
  <c r="N4" i="45"/>
  <c r="N4" i="59"/>
  <c r="N4" i="58"/>
  <c r="N4" i="61"/>
  <c r="N5" i="61" s="1"/>
  <c r="N4" i="68"/>
  <c r="N5" i="68" s="1"/>
  <c r="N4" i="67"/>
  <c r="N5" i="67" s="1"/>
  <c r="N4" i="46"/>
  <c r="N4" i="53"/>
  <c r="N5" i="53" s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<sst xmlns="http://schemas.openxmlformats.org/spreadsheetml/2006/main" count="3948" uniqueCount="523">
  <si>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</si>
  <si>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</si>
  <si>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</si>
  <si>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</si>
  <si>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</si>
  <si>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</si>
  <si>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</si>
  <si>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</si>
  <si>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</si>
  <si>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</si>
  <si>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</si>
  <si>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</si>
  <si>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</si>
  <si>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</si>
  <si>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</si>
  <si>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</si>
  <si>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</si>
  <si>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</si>
  <si>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</si>
  <si>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</si>
  <si>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</si>
  <si>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</si>
  <si>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</si>
  <si>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</si>
  <si>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</si>
  <si>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</si>
  <si>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</si>
  <si>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</si>
  <si>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</si>
  <si>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</si>
  <si>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</si>
  <si>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</si>
  <si>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</si>
  <si>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</si>
  <si>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</si>
  <si>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</si>
  <si>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</si>
  <si>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</si>
  <si>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</si>
  <si>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</si>
  <si>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</si>
  <si>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</si>
  <si>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</si>
  <si>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</si>
  <si>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</si>
  <si>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</si>
  <si>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</si>
  <si>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</si>
  <si>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</si>
  <si>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</si>
  <si>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</si>
  <si>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</si>
  <si>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</si>
  <si>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</si>
  <si>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</si>
  <si>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</si>
  <si>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</si>
  <si>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</si>
  <si>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</si>
  <si>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</si>
  <si>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</si>
  <si>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</si>
  <si>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</si>
  <si>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</si>
  <si>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</si>
  <si>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</si>
  <si>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</si>
  <si>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</si>
  <si>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</si>
  <si>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</si>
  <si>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</si>
  <si>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</si>
  <si>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</si>
  <si>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</si>
  <si>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</si>
  <si>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</si>
  <si>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</si>
  <si>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</si>
  <si>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</si>
  <si>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</si>
  <si>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</si>
  <si>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</si>
  <si>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</si>
  <si>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</si>
  <si>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</si>
  <si>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</si>
  <si>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</si>
  <si>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</si>
  <si>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</si>
  <si>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</si>
  <si>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</si>
  <si>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</si>
  <si>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</si>
  <si>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</si>
  <si>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</si>
  <si>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</si>
  <si>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</si>
  <si>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</si>
  <si>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</si>
  <si>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</si>
  <si>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</si>
  <si>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</si>
  <si>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</si>
  <si>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</si>
  <si>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</si>
  <si>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</si>
  <si>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</si>
  <si>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</si>
  <si>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</si>
  <si>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</si>
  <si>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</si>
  <si>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</si>
  <si>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</si>
  <si>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</si>
  <si>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</si>
  <si>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</si>
  <si>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</si>
  <si>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</si>
  <si>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</si>
  <si>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</si>
  <si>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</si>
  <si>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</si>
  <si>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</si>
  <si>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</si>
  <si>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</si>
  <si>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</si>
  <si>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</si>
  <si>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</si>
  <si>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</si>
  <si>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</si>
  <si>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</si>
  <si>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</si>
  <si>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</si>
  <si>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</si>
  <si>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</si>
  <si>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</si>
  <si>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</si>
  <si>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</si>
  <si>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</si>
  <si>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</si>
  <si>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</si>
  <si>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</si>
  <si>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</si>
  <si>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</si>
  <si>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</si>
  <si>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</si>
  <si>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</si>
  <si>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</si>
  <si>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</si>
  <si>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</si>
  <si>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</si>
  <si>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</si>
  <si>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</si>
  <si>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</si>
  <si>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</si>
  <si>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</si>
  <si>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</si>
  <si>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</si>
  <si>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</si>
  <si>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</si>
  <si>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</si>
  <si>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</si>
  <si>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</si>
  <si>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</si>
  <si>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</si>
  <si>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</si>
  <si>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</si>
  <si>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</si>
  <si>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</si>
  <si>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</si>
  <si>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</si>
  <si>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</si>
  <si>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</si>
  <si>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</si>
  <si>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</si>
  <si>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</si>
  <si>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</si>
  <si>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</si>
  <si>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</si>
  <si>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</si>
  <si>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</si>
  <si>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</si>
  <si>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</si>
  <si>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</si>
  <si>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</si>
  <si>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</si>
  <si>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</si>
  <si>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</si>
  <si>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</si>
  <si>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</si>
  <si>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</si>
  <si>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</si>
  <si>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</si>
  <si>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</si>
  <si>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</si>
  <si>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</si>
  <si>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</si>
  <si>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</si>
  <si>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</si>
  <si>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</si>
  <si>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</si>
  <si>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</si>
  <si>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</si>
  <si>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</si>
  <si>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</si>
  <si>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</si>
  <si>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</si>
  <si>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</si>
  <si>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</si>
  <si>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</si>
  <si>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</si>
  <si>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</si>
  <si>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</si>
  <si>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</si>
  <si>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</si>
  <si>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</si>
  <si>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</si>
  <si>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</si>
  <si>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</si>
  <si>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</si>
  <si>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</si>
  <si>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</si>
  <si>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</si>
  <si>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</si>
  <si>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</si>
  <si>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</si>
  <si>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</si>
  <si>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</si>
  <si>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</si>
  <si>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</si>
  <si>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</si>
  <si>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</si>
  <si>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</si>
  <si>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</si>
  <si>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</si>
  <si>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</si>
  <si>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</si>
  <si>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</si>
  <si>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</si>
  <si>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</si>
  <si>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</si>
  <si>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</si>
  <si>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</si>
  <si>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</si>
  <si>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</si>
  <si>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</si>
  <si>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</si>
  <si>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</si>
  <si>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</si>
  <si>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</si>
  <si>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</si>
  <si>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</si>
  <si>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</si>
  <si>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</si>
  <si>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</si>
  <si>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</si>
  <si>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</si>
  <si>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</si>
  <si>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</si>
  <si>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</si>
  <si>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</si>
  <si>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</si>
  <si>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</si>
  <si>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</si>
  <si>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</si>
  <si>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</si>
  <si>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</si>
  <si>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</si>
  <si>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</si>
  <si>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</si>
  <si>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</si>
  <si>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</si>
  <si>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</si>
  <si>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</si>
  <si>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</si>
  <si>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</si>
  <si>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</si>
  <si>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</si>
  <si>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</si>
  <si>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</si>
  <si>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</si>
  <si>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</si>
  <si>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</si>
  <si>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</si>
  <si>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</si>
  <si>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</si>
  <si>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</si>
  <si>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</si>
  <si>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</si>
  <si>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</si>
  <si>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</si>
  <si>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</si>
  <si>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</si>
  <si>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</si>
  <si>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</si>
  <si>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</si>
  <si>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</si>
  <si>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</si>
  <si>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</si>
  <si>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</si>
  <si>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</si>
  <si>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</si>
  <si>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</si>
  <si>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</si>
  <si>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</si>
  <si>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</si>
  <si>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</si>
  <si>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</si>
  <si>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</si>
  <si>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</si>
  <si>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</si>
  <si>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</si>
  <si>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</si>
  <si>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</si>
  <si>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</si>
  <si>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</si>
  <si>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</si>
  <si>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</si>
  <si>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</si>
  <si>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</si>
  <si>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</si>
  <si>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</si>
  <si>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</si>
  <si>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</si>
  <si>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</si>
  <si>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</si>
  <si>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</si>
  <si>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</si>
  <si>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</si>
  <si>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</si>
  <si>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</si>
  <si>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</si>
  <si>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</si>
  <si>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</si>
  <si>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</si>
  <si>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</si>
  <si>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</si>
  <si>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</si>
  <si>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</si>
  <si>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</si>
  <si>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</si>
  <si>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</si>
  <si>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</si>
  <si>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</si>
  <si>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</si>
  <si>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</si>
  <si>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</si>
  <si>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</si>
  <si>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</si>
  <si>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</si>
  <si>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</si>
  <si>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</si>
  <si>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</si>
  <si>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</si>
  <si>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</si>
  <si>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</si>
  <si>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</si>
  <si>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</si>
  <si>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</si>
  <si>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</si>
  <si>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</si>
  <si>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</si>
  <si>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</si>
  <si>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</si>
  <si>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</si>
  <si>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</si>
  <si>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</si>
  <si>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</si>
  <si>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</si>
  <si>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</si>
  <si>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</si>
  <si>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</si>
  <si>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</si>
  <si>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</si>
  <si>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</si>
  <si>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</si>
  <si>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</si>
  <si>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</si>
  <si>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</si>
  <si>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</si>
  <si>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</si>
  <si>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</si>
  <si>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</si>
  <si>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</si>
  <si>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</si>
  <si>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</si>
  <si>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</si>
  <si>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</si>
  <si>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</si>
  <si>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</si>
  <si>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</si>
  <si>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</si>
  <si>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</si>
  <si>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</si>
  <si>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</si>
  <si>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</si>
  <si>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</si>
  <si>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</si>
  <si>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</si>
  <si>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</si>
  <si>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</si>
  <si>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</si>
  <si>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</si>
  <si>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</si>
  <si>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</si>
  <si>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</si>
  <si>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</si>
  <si>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</si>
  <si>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</si>
  <si>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</si>
  <si>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</si>
  <si>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</si>
  <si>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</si>
  <si>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</si>
  <si>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</si>
  <si>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</si>
  <si>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</si>
  <si>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</si>
  <si>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</si>
  <si>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</si>
  <si>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</si>
  <si>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</si>
  <si>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</si>
  <si>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</si>
  <si>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</si>
  <si>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</si>
  <si>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</si>
  <si>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</si>
  <si>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</si>
  <si>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</si>
  <si>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</si>
  <si>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</si>
  <si>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</si>
  <si>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</si>
  <si>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</si>
  <si>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</si>
  <si>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</si>
  <si>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</si>
  <si>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</si>
  <si>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</si>
  <si>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</si>
  <si>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</si>
  <si>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</si>
  <si>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</si>
  <si>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</si>
  <si>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</si>
  <si>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</si>
  <si>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</si>
  <si>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</si>
  <si>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</si>
  <si>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</si>
  <si>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</si>
  <si>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</si>
  <si>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</si>
  <si>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</si>
  <si>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</si>
  <si>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</si>
  <si>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</si>
  <si>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</si>
  <si>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</si>
  <si>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</si>
  <si>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</si>
  <si>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</si>
  <si>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</si>
  <si>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</si>
  <si>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</si>
  <si>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</si>
  <si>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</si>
  <si>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</si>
  <si>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</si>
  <si>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</si>
  <si>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</si>
  <si>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</si>
  <si>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</si>
  <si>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</si>
  <si>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</si>
  <si>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</si>
  <si>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</si>
  <si>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</si>
  <si>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</si>
  <si>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</si>
  <si>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</si>
  <si>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</si>
  <si>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</si>
  <si>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</si>
  <si>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</si>
  <si>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</si>
  <si>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</si>
  <si>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</si>
  <si>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</si>
  <si>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</si>
  <si>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</si>
  <si>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</si>
  <si>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</si>
  <si>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</si>
  <si>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</si>
  <si>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</si>
  <si>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</si>
  <si>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</si>
  <si>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</si>
  <si>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</si>
  <si>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</si>
  <si>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</si>
  <si>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</si>
  <si>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</si>
  <si>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</si>
  <si>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</si>
  <si>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</si>
  <si>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</si>
  <si>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</si>
  <si>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</si>
  <si>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</si>
  <si>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</si>
  <si>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</si>
  <si>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</si>
  <si>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Address: Askari 5</t>
  </si>
  <si>
    <t>Express Store</t>
  </si>
  <si>
    <t>Quality Store</t>
  </si>
  <si>
    <t>Sanwal Store</t>
  </si>
  <si>
    <t>Haider Store</t>
  </si>
  <si>
    <t>Al Makkah Store</t>
  </si>
  <si>
    <t xml:space="preserve">Bhai Bhai Good Luck </t>
  </si>
  <si>
    <t>786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</si>
</sst>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Express Store</v>
      </c>
      <c r="T3" s="301">
        <f>+'1'!P35</f>
        <v>1132.5257914194915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Quality Store</v>
      </c>
      <c r="T4" s="301">
        <f>+'2'!P35</f>
        <v>1568.1057925423729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Sanwal Store</v>
      </c>
      <c r="T5" s="301">
        <f>+'3'!P35</f>
        <v>1132.5257914194915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Haider Store</v>
      </c>
      <c r="T6" s="301">
        <f>+'4'!P35</f>
        <v>679.51547485169476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Makkah Store</v>
      </c>
      <c r="T7" s="301">
        <f>+'5'!P35</f>
        <v>6795.1547485169476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2321.4656249999998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14.086141684322033</v>
      </c>
      <c r="P8" s="311">
        <f t="shared" ref="P8:P15" si="2">M8+N8+O8</f>
        <v>2831.3144785487289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6</v>
      </c>
      <c r="R8" s="313">
        <v>6</v>
      </c>
      <c r="S8" s="300" t="str">
        <f>+'6'!A6:A6</f>
        <v xml:space="preserve">Bhai Bhai Good Luck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82</v>
      </c>
      <c r="I9" s="236">
        <f t="shared" si="0"/>
        <v>4301.9250000000002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344.154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150.56737500000003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3807.2036250000001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813.05084745762679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23.101272362288135</v>
      </c>
      <c r="P9" s="311">
        <f t="shared" si="2"/>
        <v>4643.3557448199153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18</v>
      </c>
      <c r="R9" s="313">
        <v>7</v>
      </c>
      <c r="S9" s="300" t="str">
        <f>+'7'!A6:A6</f>
        <v>786 Store</v>
      </c>
      <c r="T9" s="301">
        <f>+'7'!P35</f>
        <v>470.43173776271186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</v>
      </c>
      <c r="I10" s="236">
        <f t="shared" si="0"/>
        <v>726.4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58.112000000000002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25.424000000000003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642.86400000000003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137.28813559322035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3.9007606779661019</v>
      </c>
      <c r="P10" s="311">
        <f t="shared" si="2"/>
        <v>784.05289627118646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6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</v>
      </c>
      <c r="I12" s="236">
        <f t="shared" si="0"/>
        <v>435.84000000000003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34.867200000000004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15.254400000000002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385.71840000000003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82.372881355932208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2.3404564067796612</v>
      </c>
      <c r="P12" s="311">
        <f t="shared" si="2"/>
        <v>470.43173776271186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4.95</v>
      </c>
      <c r="H16" s="113">
        <f t="shared" ref="H16:M16" si="3">SUM(H7:H15)</f>
        <v>198</v>
      </c>
      <c r="I16" s="114">
        <f t="shared" si="3"/>
        <v>10912.189999999999</v>
      </c>
      <c r="J16" s="274">
        <f>SUM(J7:J15)</f>
        <v>872.97519999999997</v>
      </c>
      <c r="K16" s="275">
        <f t="shared" si="3"/>
        <v>381.92664999999994</v>
      </c>
      <c r="L16" s="276">
        <f t="shared" si="3"/>
        <v>0</v>
      </c>
      <c r="M16" s="232">
        <f t="shared" si="3"/>
        <v>9657.2881499999985</v>
      </c>
      <c r="N16" s="233">
        <f>SUM(N7:N15)</f>
        <v>2062.3728813559319</v>
      </c>
      <c r="O16" s="101">
        <f>SUM(O7:O15)</f>
        <v>58.598305156779666</v>
      </c>
      <c r="P16" s="113">
        <f>SUM(P7:P15)</f>
        <v>11778.259336512714</v>
      </c>
      <c r="Q16" s="128">
        <f>SUM(Q7:Q15)</f>
        <v>30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10912.189999999999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872.97519999999997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381.92664999999994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9657.2881499999985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2062.3728813559319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11719.66103135593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58.598305156779666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11778.25933651271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11778.25933651271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1049.25</v>
      </c>
      <c r="J25" s="274">
        <f>SUM(J16:J24)</f>
        <v>83.94</v>
      </c>
      <c r="K25" s="275">
        <f t="shared" si="10"/>
        <v>36.723750000000003</v>
      </c>
      <c r="L25" s="276">
        <f t="shared" si="10"/>
        <v>0</v>
      </c>
      <c r="M25" s="232">
        <f t="shared" si="10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6295.5</v>
      </c>
      <c r="J25" s="274">
        <f>SUM(J16:J24)</f>
        <v>503.64</v>
      </c>
      <c r="K25" s="275">
        <f t="shared" si="7"/>
        <v>220.34250000000003</v>
      </c>
      <c r="L25" s="276">
        <f t="shared" si="7"/>
        <v>0</v>
      </c>
      <c r="M25" s="232">
        <f t="shared" si="7"/>
        <v>5571.5174999999999</v>
      </c>
      <c r="N25" s="233">
        <f>SUM(N16:N24)</f>
        <v>1189.8305084745757</v>
      </c>
      <c r="O25" s="101">
        <f>SUM(O16:O24)</f>
        <v>33.80674004237288</v>
      </c>
      <c r="P25" s="234">
        <f>SUM(P16:P24)</f>
        <v>6795.1547485169485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6295.5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503.64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220.34250000000003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5571.5174999999999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6761.3480084745752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33.80674004237288</v>
      </c>
    </row>
    <row r="35" spans="2:16" ht="15.75" customHeight="1" thickBot="1" x14ac:dyDescent="0.4">
      <c r="N35" s="374" t="s">
        <v>88</v>
      </c>
      <c r="O35" s="375"/>
      <c r="P35" s="297">
        <f>+P33+P34</f>
        <v>6795.1547485169476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H19" sqref="H17: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46300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2026-10-05T11:04:03Z</dcterms:modified>
</cp:coreProperties>
</file>