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9E844B3-7580-4393-A94B-28ADEB8811F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11" l="1"/>
  <c r="N4" i="51"/>
  <c r="N4" i="50"/>
  <c r="N4" i="57"/>
  <c r="N5" i="57" s="1"/>
  <c r="N4" i="55"/>
  <c r="N4" i="64"/>
  <c r="N5" i="64" s="1"/>
  <c r="N4" i="63"/>
  <c r="N4" i="70"/>
  <c r="N5" i="70" s="1"/>
  <c r="N4" i="45"/>
  <c r="N4" i="59"/>
  <c r="N4" i="58"/>
  <c r="N4" i="61"/>
  <c r="N5" i="61" s="1"/>
  <c r="N4" i="68"/>
  <c r="N5" i="68" s="1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<sst xmlns="http://schemas.openxmlformats.org/spreadsheetml/2006/main" count="3948" uniqueCount="532">
  <si>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</si>
  <si>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</si>
  <si>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</si>
  <si>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</si>
  <si>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</si>
  <si>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</si>
  <si>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</si>
  <si>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</si>
  <si>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</si>
  <si>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</si>
  <si>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</si>
  <si>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</si>
  <si>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</si>
  <si>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</si>
  <si>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</si>
  <si>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</si>
  <si>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</si>
  <si>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</si>
  <si>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</si>
  <si>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</si>
  <si>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</si>
  <si>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</si>
  <si>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</si>
  <si>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</si>
  <si>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</si>
  <si>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</si>
  <si>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</si>
  <si>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</si>
  <si>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</si>
  <si>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</si>
  <si>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</si>
  <si>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</si>
  <si>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</si>
  <si>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</si>
  <si>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</si>
  <si>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</si>
  <si>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</si>
  <si>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</si>
  <si>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</si>
  <si>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</si>
  <si>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</si>
  <si>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</si>
  <si>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</si>
  <si>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</si>
  <si>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</si>
  <si>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</si>
  <si>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</si>
  <si>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</si>
  <si>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</si>
  <si>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</si>
  <si>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</si>
  <si>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</si>
  <si>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</si>
  <si>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</si>
  <si>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</si>
  <si>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</si>
  <si>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</si>
  <si>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</si>
  <si>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</si>
  <si>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</si>
  <si>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</si>
  <si>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</si>
  <si>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</si>
  <si>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</si>
  <si>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</si>
  <si>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</si>
  <si>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</si>
  <si>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</si>
  <si>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</si>
  <si>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</si>
  <si>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</si>
  <si>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</si>
  <si>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</si>
  <si>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</si>
  <si>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</si>
  <si>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</si>
  <si>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</si>
  <si>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</si>
  <si>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</si>
  <si>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</si>
  <si>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</si>
  <si>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</si>
  <si>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</si>
  <si>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</si>
  <si>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</si>
  <si>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</si>
  <si>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</si>
  <si>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</si>
  <si>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</si>
  <si>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</si>
  <si>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</si>
  <si>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</si>
  <si>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</si>
  <si>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</si>
  <si>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</si>
  <si>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</si>
  <si>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</si>
  <si>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</si>
  <si>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</si>
  <si>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</si>
  <si>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</si>
  <si>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</si>
  <si>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</si>
  <si>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</si>
  <si>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</si>
  <si>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</si>
  <si>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</si>
  <si>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</si>
  <si>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</si>
  <si>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</si>
  <si>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</si>
  <si>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</si>
  <si>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</si>
  <si>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</si>
  <si>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</si>
  <si>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</si>
  <si>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</si>
  <si>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</si>
  <si>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</si>
  <si>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</si>
  <si>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</si>
  <si>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</si>
  <si>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</si>
  <si>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</si>
  <si>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</si>
  <si>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</si>
  <si>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</si>
  <si>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</si>
  <si>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</si>
  <si>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</si>
  <si>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</si>
  <si>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</si>
  <si>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</si>
  <si>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</si>
  <si>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</si>
  <si>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</si>
  <si>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</si>
  <si>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</si>
  <si>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</si>
  <si>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</si>
  <si>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</si>
  <si>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</si>
  <si>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</si>
  <si>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</si>
  <si>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</si>
  <si>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</si>
  <si>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</si>
  <si>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</si>
  <si>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</si>
  <si>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</si>
  <si>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</si>
  <si>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</si>
  <si>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</si>
  <si>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</si>
  <si>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</si>
  <si>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</si>
  <si>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</si>
  <si>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</si>
  <si>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</si>
  <si>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</si>
  <si>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</si>
  <si>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</si>
  <si>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</si>
  <si>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</si>
  <si>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</si>
  <si>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</si>
  <si>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</si>
  <si>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</si>
  <si>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</si>
  <si>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</si>
  <si>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</si>
  <si>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</si>
  <si>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</si>
  <si>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</si>
  <si>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</si>
  <si>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</si>
  <si>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</si>
  <si>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</si>
  <si>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</si>
  <si>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</si>
  <si>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</si>
  <si>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</si>
  <si>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</si>
  <si>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</si>
  <si>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</si>
  <si>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</si>
  <si>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</si>
  <si>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</si>
  <si>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</si>
  <si>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</si>
  <si>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</si>
  <si>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</si>
  <si>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</si>
  <si>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</si>
  <si>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</si>
  <si>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</si>
  <si>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</si>
  <si>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</si>
  <si>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</si>
  <si>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</si>
  <si>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</si>
  <si>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</si>
  <si>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</si>
  <si>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</si>
  <si>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</si>
  <si>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</si>
  <si>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</si>
  <si>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</si>
  <si>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</si>
  <si>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</si>
  <si>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</si>
  <si>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</si>
  <si>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</si>
  <si>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</si>
  <si>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</si>
  <si>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</si>
  <si>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</si>
  <si>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</si>
  <si>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</si>
  <si>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</si>
  <si>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</si>
  <si>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</si>
  <si>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</si>
  <si>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</si>
  <si>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</si>
  <si>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</si>
  <si>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</si>
  <si>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</si>
  <si>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</si>
  <si>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</si>
  <si>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</si>
  <si>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</si>
  <si>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</si>
  <si>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</si>
  <si>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</si>
  <si>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</si>
  <si>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</si>
  <si>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</si>
  <si>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</si>
  <si>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</si>
  <si>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</si>
  <si>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</si>
  <si>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</si>
  <si>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</si>
  <si>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</si>
  <si>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</si>
  <si>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</si>
  <si>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</si>
  <si>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</si>
  <si>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</si>
  <si>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</si>
  <si>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</si>
  <si>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</si>
  <si>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</si>
  <si>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</si>
  <si>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</si>
  <si>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</si>
  <si>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</si>
  <si>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</si>
  <si>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</si>
  <si>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</si>
  <si>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</si>
  <si>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</si>
  <si>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</si>
  <si>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</si>
  <si>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</si>
  <si>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</si>
  <si>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</si>
  <si>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</si>
  <si>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</si>
  <si>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</si>
  <si>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</si>
  <si>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</si>
  <si>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</si>
  <si>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</si>
  <si>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</si>
  <si>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</si>
  <si>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</si>
  <si>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</si>
  <si>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</si>
  <si>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</si>
  <si>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</si>
  <si>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</si>
  <si>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</si>
  <si>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</si>
  <si>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</si>
  <si>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</si>
  <si>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</si>
  <si>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</si>
  <si>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</si>
  <si>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</si>
  <si>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</si>
  <si>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</si>
  <si>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</si>
  <si>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</si>
  <si>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</si>
  <si>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</si>
  <si>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</si>
  <si>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</si>
  <si>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</si>
  <si>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</si>
  <si>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</si>
  <si>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</si>
  <si>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</si>
  <si>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</si>
  <si>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</si>
  <si>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</si>
  <si>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</si>
  <si>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</si>
  <si>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</si>
  <si>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</si>
  <si>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</si>
  <si>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</si>
  <si>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</si>
  <si>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</si>
  <si>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</si>
  <si>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</si>
  <si>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</si>
  <si>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</si>
  <si>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</si>
  <si>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</si>
  <si>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</si>
  <si>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</si>
  <si>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</si>
  <si>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</si>
  <si>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</si>
  <si>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</si>
  <si>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</si>
  <si>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</si>
  <si>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</si>
  <si>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</si>
  <si>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</si>
  <si>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</si>
  <si>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</si>
  <si>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</si>
  <si>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</si>
  <si>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</si>
  <si>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</si>
  <si>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</si>
  <si>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</si>
  <si>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</si>
  <si>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</si>
  <si>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</si>
  <si>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</si>
  <si>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</si>
  <si>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</si>
  <si>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</si>
  <si>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</si>
  <si>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</si>
  <si>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</si>
  <si>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</si>
  <si>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</si>
  <si>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</si>
  <si>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</si>
  <si>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</si>
  <si>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</si>
  <si>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</si>
  <si>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</si>
  <si>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</si>
  <si>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</si>
  <si>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</si>
  <si>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</si>
  <si>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</si>
  <si>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</si>
  <si>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</si>
  <si>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</si>
  <si>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</si>
  <si>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</si>
  <si>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</si>
  <si>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</si>
  <si>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</si>
  <si>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</si>
  <si>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</si>
  <si>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</si>
  <si>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</si>
  <si>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</si>
  <si>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</si>
  <si>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</si>
  <si>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</si>
  <si>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</si>
  <si>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</si>
  <si>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</si>
  <si>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</si>
  <si>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</si>
  <si>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</si>
  <si>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</si>
  <si>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</si>
  <si>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</si>
  <si>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</si>
  <si>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</si>
  <si>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</si>
  <si>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</si>
  <si>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</si>
  <si>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</si>
  <si>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</si>
  <si>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</si>
  <si>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</si>
  <si>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</si>
  <si>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</si>
  <si>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</si>
  <si>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</si>
  <si>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</si>
  <si>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</si>
  <si>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</si>
  <si>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</si>
  <si>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</si>
  <si>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</si>
  <si>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</si>
  <si>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</si>
  <si>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</si>
  <si>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</si>
  <si>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</si>
  <si>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</si>
  <si>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</si>
  <si>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</si>
  <si>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</si>
  <si>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</si>
  <si>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</si>
  <si>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</si>
  <si>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</si>
  <si>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</si>
  <si>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</si>
  <si>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</si>
  <si>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</si>
  <si>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</si>
  <si>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</si>
  <si>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</si>
  <si>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</si>
  <si>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</si>
  <si>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</si>
  <si>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</si>
  <si>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</si>
  <si>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</si>
  <si>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</si>
  <si>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</si>
  <si>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</si>
  <si>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</si>
  <si>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</si>
  <si>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</si>
  <si>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</si>
  <si>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</si>
  <si>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</si>
  <si>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</si>
  <si>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</si>
  <si>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</si>
  <si>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</si>
  <si>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</si>
  <si>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</si>
  <si>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</si>
  <si>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</si>
  <si>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</si>
  <si>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</si>
  <si>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</si>
  <si>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</si>
  <si>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</si>
  <si>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</si>
  <si>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</si>
  <si>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</si>
  <si>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</si>
  <si>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</si>
  <si>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</si>
  <si>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</si>
  <si>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</si>
  <si>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</si>
  <si>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</si>
  <si>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</si>
  <si>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</si>
  <si>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</si>
  <si>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</si>
  <si>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</si>
  <si>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</si>
  <si>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</si>
  <si>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</si>
  <si>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</si>
  <si>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</si>
  <si>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</si>
  <si>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</si>
  <si>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</si>
  <si>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</si>
  <si>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</si>
  <si>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</si>
  <si>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</si>
  <si>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</si>
  <si>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</si>
  <si>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</si>
  <si>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</si>
  <si>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</si>
  <si>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</si>
  <si>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</si>
  <si>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</si>
  <si>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</si>
  <si>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</si>
  <si>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</si>
  <si>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</si>
  <si>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</si>
  <si>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</si>
  <si>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</si>
  <si>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</si>
  <si>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</si>
  <si>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</si>
  <si>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</si>
  <si>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</si>
  <si>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</si>
  <si>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</si>
  <si>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</si>
  <si>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</si>
  <si>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</si>
  <si>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</si>
  <si>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</si>
  <si>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</si>
  <si>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</si>
  <si>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</si>
  <si>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</si>
  <si>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</si>
  <si>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</si>
  <si>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Bedian Road</t>
  </si>
  <si>
    <t>Mian Store</t>
  </si>
  <si>
    <t>Malik Store</t>
  </si>
  <si>
    <t>Khalil Store</t>
  </si>
  <si>
    <t>MS Store</t>
  </si>
  <si>
    <t>Yaseen Store</t>
  </si>
  <si>
    <t>Hikma Store</t>
  </si>
  <si>
    <t>Address: DHA</t>
  </si>
  <si>
    <t>786 Store</t>
  </si>
  <si>
    <t xml:space="preserve">Irfan Bakers </t>
  </si>
  <si>
    <t>Jalani Store</t>
  </si>
  <si>
    <t xml:space="preserve">Rahat Bakery </t>
  </si>
  <si>
    <t xml:space="preserve">Alfalah Bakers </t>
  </si>
  <si>
    <t>Ishfaq Store</t>
  </si>
  <si>
    <t>Address: BB Block Askari 11</t>
  </si>
  <si>
    <t xml:space="preserve">Essa G </t>
  </si>
  <si>
    <t>Address: Phase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</si>
</sst>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Mian Store</v>
      </c>
      <c r="T3" s="301">
        <f>+'1'!P35</f>
        <v>784.05289627118657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Malik Store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Khalil Store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MS Store</v>
      </c>
      <c r="T6" s="301">
        <f>+'4'!P35</f>
        <v>392.02644813559323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3">
        <v>5</v>
      </c>
      <c r="S7" s="300" t="str">
        <f>+'5'!A6:A6</f>
        <v>Yaseen Store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Hikma Store</v>
      </c>
      <c r="T8" s="301">
        <f>+'6'!P35</f>
        <v>16203.789503771184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80</v>
      </c>
      <c r="R9" s="313">
        <v>7</v>
      </c>
      <c r="S9" s="300" t="str">
        <f>+'7'!A6:A6</f>
        <v>786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119</v>
      </c>
      <c r="I10" s="236">
        <f t="shared" si="0"/>
        <v>8644.16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691.53280000000007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302.54560000000004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7650.0815999999995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1633.7288135593221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46.419052067796613</v>
      </c>
      <c r="P10" s="311">
        <f t="shared" si="2"/>
        <v>9330.2294656271188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3">
        <v>8</v>
      </c>
      <c r="S10" s="300" t="str">
        <f>+'8'!A6:A6</f>
        <v xml:space="preserve">Irfan Bakers 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83</v>
      </c>
      <c r="I11" s="236">
        <f t="shared" si="0"/>
        <v>6029.12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482.32960000000003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211.01920000000001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5335.7712000000001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1139.4915254237289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32.376313627118648</v>
      </c>
      <c r="P11" s="311">
        <f t="shared" si="2"/>
        <v>6507.6390390508477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Jalani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113</v>
      </c>
      <c r="I12" s="236">
        <f t="shared" si="0"/>
        <v>8208.32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656.66559999999993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287.2912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7264.3631999999998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1551.3559322033898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44.078595661016948</v>
      </c>
      <c r="P12" s="311">
        <f t="shared" si="2"/>
        <v>8859.7977278644066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80</v>
      </c>
      <c r="R12" s="313">
        <v>10</v>
      </c>
      <c r="S12" s="300" t="str">
        <f>+'10'!A6:A6</f>
        <v xml:space="preserve">Rahat Bakery 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Alfalah Bakers 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Ishfaq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Hikma Store</v>
      </c>
      <c r="T15" s="301">
        <f>+'13'!P35</f>
        <v>9408.6347552542375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10.875</v>
      </c>
      <c r="H16" s="113">
        <f t="shared" ref="H16:M16" si="3">SUM(H7:H15)</f>
        <v>435</v>
      </c>
      <c r="I16" s="114">
        <f t="shared" si="3"/>
        <v>29177.1</v>
      </c>
      <c r="J16" s="274">
        <f>SUM(J7:J15)</f>
        <v>2334.1680000000001</v>
      </c>
      <c r="K16" s="275">
        <f t="shared" si="3"/>
        <v>1021.1985000000001</v>
      </c>
      <c r="L16" s="276">
        <f t="shared" si="3"/>
        <v>0</v>
      </c>
      <c r="M16" s="232">
        <f t="shared" si="3"/>
        <v>25821.733499999998</v>
      </c>
      <c r="N16" s="233">
        <f>SUM(N7:N15)</f>
        <v>5514.4067796610161</v>
      </c>
      <c r="O16" s="101">
        <f>SUM(O7:O15)</f>
        <v>156.68070139830508</v>
      </c>
      <c r="P16" s="113">
        <f>SUM(P7:P15)</f>
        <v>31492.820981059322</v>
      </c>
      <c r="Q16" s="128">
        <f>SUM(Q7:Q15)</f>
        <v>240</v>
      </c>
      <c r="R16" s="313">
        <v>14</v>
      </c>
      <c r="S16" s="315" t="str">
        <f>+'14'!A6:A6</f>
        <v xml:space="preserve">Essa G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29177.1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2334.1680000000001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1021.1985000000001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25821.733499999998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5514.4067796610161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31336.140279661013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156.68070139830508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31492.820981059318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31492.820981059318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7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7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7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726.40000000000009</v>
      </c>
      <c r="J25" s="274">
        <f>SUM(J16:J24)</f>
        <v>58.112000000000009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726.40000000000009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642.86400000000015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780.15213559322046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3.9007606779661024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784.05289627118657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B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1200.9839999999999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525.43050000000005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13285.8855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16123.173635593219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45" t="s">
        <v>88</v>
      </c>
      <c r="O35" s="346"/>
      <c r="P35" s="297">
        <f>+P33+P34</f>
        <v>16203.789503771184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H21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80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80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46301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46300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2026-10-05T11:01:49Z</dcterms:modified>
</cp:coreProperties>
</file>