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DCD59B9-6327-49BD-B508-5DFEE6CFD2FC}" xr6:coauthVersionLast="47" xr6:coauthVersionMax="47" xr10:uidLastSave="{00000000-0000-0000-0000-000000000000}"/>
  <bookViews>
    <workbookView xWindow="-110" yWindow="-110" windowWidth="19420" windowHeight="10420" tabRatio="948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11" l="1"/>
  <c r="N4" i="51"/>
  <c r="N4" i="50"/>
  <c r="N4" i="57"/>
  <c r="N5" i="57" s="1"/>
  <c r="N4" i="55"/>
  <c r="N4" i="64"/>
  <c r="N5" i="64" s="1"/>
  <c r="N4" i="63"/>
  <c r="N4" i="70"/>
  <c r="N5" i="70" s="1"/>
  <c r="N4" i="45"/>
  <c r="N4" i="59"/>
  <c r="N4" i="58"/>
  <c r="N4" i="61"/>
  <c r="N5" i="61" s="1"/>
  <c r="N4" i="68"/>
  <c r="N5" i="68" s="1"/>
  <c r="N4" i="67"/>
  <c r="N5" i="67" s="1"/>
  <c r="N4" i="46"/>
  <c r="N4" i="53"/>
  <c r="N5" i="53" s="1"/>
  <c r="N4" i="69"/>
  <c r="N5" i="69" s="1"/>
  <c r="N4" i="65"/>
  <c r="N5" i="65" s="1"/>
  <c r="N4" i="60"/>
  <c r="N4" i="52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<sst xmlns="http://schemas.openxmlformats.org/spreadsheetml/2006/main" count="3948" uniqueCount="522">
  <si>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</si>
  <si>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</si>
  <si>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</si>
  <si>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</si>
  <si>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</si>
  <si>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</si>
  <si>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</si>
  <si>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</si>
  <si>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</si>
  <si>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</si>
  <si>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</si>
  <si>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</si>
  <si>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</si>
  <si>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</si>
  <si>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</si>
  <si>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</si>
  <si>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</si>
  <si>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</si>
  <si>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</si>
  <si>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</si>
  <si>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</si>
  <si>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</si>
  <si>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</si>
  <si>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</si>
  <si>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</si>
  <si>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</si>
  <si>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</si>
  <si>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</si>
  <si>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</si>
  <si>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</si>
  <si>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</si>
  <si>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</si>
  <si>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</si>
  <si>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</si>
  <si>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</si>
  <si>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</si>
  <si>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</si>
  <si>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</si>
  <si>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</si>
  <si>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</si>
  <si>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</si>
  <si>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</si>
  <si>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</si>
  <si>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</si>
  <si>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</si>
  <si>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</si>
  <si>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</si>
  <si>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</si>
  <si>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</si>
  <si>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</si>
  <si>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</si>
  <si>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</si>
  <si>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</si>
  <si>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</si>
  <si>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</si>
  <si>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</si>
  <si>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</si>
  <si>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</si>
  <si>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</si>
  <si>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</si>
  <si>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</si>
  <si>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</si>
  <si>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</si>
  <si>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</si>
  <si>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</si>
  <si>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</si>
  <si>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</si>
  <si>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</si>
  <si>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</si>
  <si>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</si>
  <si>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</si>
  <si>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</si>
  <si>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</si>
  <si>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</si>
  <si>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</si>
  <si>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</si>
  <si>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</si>
  <si>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</si>
  <si>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</si>
  <si>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</si>
  <si>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</si>
  <si>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</si>
  <si>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</si>
  <si>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</si>
  <si>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</si>
  <si>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</si>
  <si>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</si>
  <si>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</si>
  <si>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</si>
  <si>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</si>
  <si>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</si>
  <si>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</si>
  <si>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</si>
  <si>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</si>
  <si>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</si>
  <si>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</si>
  <si>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</si>
  <si>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</si>
  <si>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</si>
  <si>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</si>
  <si>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</si>
  <si>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</si>
  <si>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</si>
  <si>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</si>
  <si>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</si>
  <si>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</si>
  <si>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</si>
  <si>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</si>
  <si>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</si>
  <si>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</si>
  <si>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</si>
  <si>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</si>
  <si>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</si>
  <si>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</si>
  <si>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</si>
  <si>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</si>
  <si>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</si>
  <si>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</si>
  <si>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</si>
  <si>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</si>
  <si>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</si>
  <si>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</si>
  <si>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</si>
  <si>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</si>
  <si>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</si>
  <si>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</si>
  <si>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</si>
  <si>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</si>
  <si>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</si>
  <si>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</si>
  <si>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</si>
  <si>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</si>
  <si>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</si>
  <si>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</si>
  <si>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</si>
  <si>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</si>
  <si>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</si>
  <si>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</si>
  <si>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</si>
  <si>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</si>
  <si>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</si>
  <si>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</si>
  <si>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</si>
  <si>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</si>
  <si>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</si>
  <si>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</si>
  <si>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</si>
  <si>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</si>
  <si>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</si>
  <si>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</si>
  <si>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</si>
  <si>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</si>
  <si>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</si>
  <si>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</si>
  <si>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</si>
  <si>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</si>
  <si>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</si>
  <si>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</si>
  <si>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</si>
  <si>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</si>
  <si>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</si>
  <si>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</si>
  <si>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</si>
  <si>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</si>
  <si>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</si>
  <si>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</si>
  <si>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</si>
  <si>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</si>
  <si>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</si>
  <si>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</si>
  <si>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</si>
  <si>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</si>
  <si>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</si>
  <si>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</si>
  <si>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</si>
  <si>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</si>
  <si>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</si>
  <si>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</si>
  <si>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</si>
  <si>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</si>
  <si>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</si>
  <si>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</si>
  <si>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</si>
  <si>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</si>
  <si>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</si>
  <si>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</si>
  <si>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</si>
  <si>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</si>
  <si>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</si>
  <si>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</si>
  <si>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</si>
  <si>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</si>
  <si>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</si>
  <si>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</si>
  <si>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</si>
  <si>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</si>
  <si>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</si>
  <si>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</si>
  <si>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</si>
  <si>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</si>
  <si>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</si>
  <si>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</si>
  <si>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</si>
  <si>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</si>
  <si>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</si>
  <si>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</si>
  <si>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</si>
  <si>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</si>
  <si>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</si>
  <si>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</si>
  <si>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</si>
  <si>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</si>
  <si>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</si>
  <si>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</si>
  <si>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</si>
  <si>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</si>
  <si>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</si>
  <si>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</si>
  <si>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</si>
  <si>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</si>
  <si>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</si>
  <si>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</si>
  <si>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</si>
  <si>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</si>
  <si>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</si>
  <si>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</si>
  <si>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</si>
  <si>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</si>
  <si>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</si>
  <si>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</si>
  <si>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</si>
  <si>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</si>
  <si>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</si>
  <si>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</si>
  <si>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</si>
  <si>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</si>
  <si>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</si>
  <si>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</si>
  <si>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</si>
  <si>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</si>
  <si>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</si>
  <si>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</si>
  <si>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</si>
  <si>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</si>
  <si>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</si>
  <si>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</si>
  <si>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</si>
  <si>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</si>
  <si>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</si>
  <si>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</si>
  <si>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</si>
  <si>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</si>
  <si>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</si>
  <si>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</si>
  <si>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</si>
  <si>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</si>
  <si>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</si>
  <si>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</si>
  <si>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</si>
  <si>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</si>
  <si>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</si>
  <si>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</si>
  <si>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</si>
  <si>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</si>
  <si>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</si>
  <si>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</si>
  <si>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</si>
  <si>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</si>
  <si>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</si>
  <si>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</si>
  <si>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</si>
  <si>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</si>
  <si>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</si>
  <si>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</si>
  <si>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</si>
  <si>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</si>
  <si>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</si>
  <si>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</si>
  <si>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</si>
  <si>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</si>
  <si>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</si>
  <si>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</si>
  <si>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</si>
  <si>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</si>
  <si>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</si>
  <si>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</si>
  <si>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</si>
  <si>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</si>
  <si>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</si>
  <si>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</si>
  <si>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</si>
  <si>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</si>
  <si>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</si>
  <si>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</si>
  <si>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</si>
  <si>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</si>
  <si>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</si>
  <si>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</si>
  <si>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</si>
  <si>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</si>
  <si>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</si>
  <si>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</si>
  <si>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</si>
  <si>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</si>
  <si>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</si>
  <si>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</si>
  <si>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</si>
  <si>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</si>
  <si>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</si>
  <si>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</si>
  <si>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</si>
  <si>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</si>
  <si>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</si>
  <si>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</si>
  <si>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</si>
  <si>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</si>
  <si>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</si>
  <si>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</si>
  <si>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</si>
  <si>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</si>
  <si>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</si>
  <si>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</si>
  <si>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</si>
  <si>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</si>
  <si>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</si>
  <si>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</si>
  <si>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</si>
  <si>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</si>
  <si>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</si>
  <si>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</si>
  <si>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</si>
  <si>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</si>
  <si>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</si>
  <si>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</si>
  <si>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</si>
  <si>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</si>
  <si>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</si>
  <si>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</si>
  <si>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</si>
  <si>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</si>
  <si>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</si>
  <si>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</si>
  <si>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</si>
  <si>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</si>
  <si>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</si>
  <si>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</si>
  <si>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</si>
  <si>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</si>
  <si>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</si>
  <si>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</si>
  <si>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</si>
  <si>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</si>
  <si>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</si>
  <si>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</si>
  <si>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</si>
  <si>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</si>
  <si>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</si>
  <si>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</si>
  <si>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</si>
  <si>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</si>
  <si>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</si>
  <si>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</si>
  <si>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</si>
  <si>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</si>
  <si>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</si>
  <si>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</si>
  <si>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</si>
  <si>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</si>
  <si>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</si>
  <si>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</si>
  <si>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</si>
  <si>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</si>
  <si>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</si>
  <si>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</si>
  <si>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</si>
  <si>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</si>
  <si>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</si>
  <si>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</si>
  <si>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</si>
  <si>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</si>
  <si>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</si>
  <si>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</si>
  <si>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</si>
  <si>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</si>
  <si>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</si>
  <si>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</si>
  <si>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</si>
  <si>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</si>
  <si>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</si>
  <si>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</si>
  <si>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</si>
  <si>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</si>
  <si>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</si>
  <si>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</si>
  <si>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</si>
  <si>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</si>
  <si>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</si>
  <si>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</si>
  <si>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</si>
  <si>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</si>
  <si>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</si>
  <si>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</si>
  <si>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</si>
  <si>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</si>
  <si>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</si>
  <si>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</si>
  <si>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</si>
  <si>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</si>
  <si>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</si>
  <si>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</si>
  <si>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</si>
  <si>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</si>
  <si>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</si>
  <si>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</si>
  <si>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</si>
  <si>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</si>
  <si>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</si>
  <si>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</si>
  <si>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</si>
  <si>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</si>
  <si>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</si>
  <si>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</si>
  <si>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</si>
  <si>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</si>
  <si>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</si>
  <si>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</si>
  <si>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</si>
  <si>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</si>
  <si>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</si>
  <si>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</si>
  <si>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</si>
  <si>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</si>
  <si>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</si>
  <si>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</si>
  <si>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</si>
  <si>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</si>
  <si>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</si>
  <si>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</si>
  <si>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</si>
  <si>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</si>
  <si>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</si>
  <si>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</si>
  <si>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</si>
  <si>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</si>
  <si>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</si>
  <si>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</si>
  <si>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</si>
  <si>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</si>
  <si>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</si>
  <si>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</si>
  <si>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</si>
  <si>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</si>
  <si>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</si>
  <si>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</si>
  <si>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</si>
  <si>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</si>
  <si>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</si>
  <si>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</si>
  <si>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</si>
  <si>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</si>
  <si>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</si>
  <si>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</si>
  <si>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</si>
  <si>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</si>
  <si>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</si>
  <si>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</si>
  <si>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</si>
  <si>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</si>
  <si>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</si>
  <si>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</si>
  <si>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</si>
  <si>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</si>
  <si>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</si>
  <si>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</si>
  <si>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</si>
  <si>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</si>
  <si>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</si>
  <si>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</si>
  <si>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</si>
  <si>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</si>
  <si>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</si>
  <si>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</si>
  <si>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</si>
  <si>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</si>
  <si>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</si>
  <si>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</si>
  <si>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</si>
  <si>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</si>
  <si>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</si>
  <si>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</si>
  <si>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</si>
  <si>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</si>
  <si>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</si>
  <si>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</si>
  <si>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</si>
  <si>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</si>
  <si>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</si>
  <si>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</si>
  <si>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</si>
  <si>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</si>
  <si>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</si>
  <si>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</si>
  <si>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</si>
  <si>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</si>
  <si>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</si>
  <si>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</si>
  <si>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</si>
  <si>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</si>
  <si>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</si>
  <si>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</si>
  <si>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</si>
  <si>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</si>
  <si>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</si>
  <si>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</si>
  <si>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</si>
  <si>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>Basic Store</t>
  </si>
  <si>
    <t>Address: Cant</t>
  </si>
  <si>
    <t xml:space="preserve">Express Mart </t>
  </si>
  <si>
    <t>Touqeer Store</t>
  </si>
  <si>
    <t>Food Rite Super Store</t>
  </si>
  <si>
    <t>Al Madina Store</t>
  </si>
  <si>
    <t>Imran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</si>
</sst>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6" priority="7" stopIfTrue="1" operator="lessThan">
      <formula>1</formula>
    </cfRule>
  </conditionalFormatting>
  <conditionalFormatting sqref="A6:D67">
    <cfRule type="cellIs" dxfId="5" priority="4" stopIfTrue="1" operator="lessThan">
      <formula>1</formula>
    </cfRule>
  </conditionalFormatting>
  <conditionalFormatting sqref="A68:D70">
    <cfRule type="cellIs" dxfId="4" priority="1" stopIfTrue="1" operator="lessThan">
      <formula>1</formula>
    </cfRule>
  </conditionalFormatting>
  <conditionalFormatting sqref="A159:D163">
    <cfRule type="cellIs" dxfId="3" priority="6" stopIfTrue="1" operator="lessThan">
      <formula>1</formula>
    </cfRule>
  </conditionalFormatting>
  <conditionalFormatting sqref="A170:D172">
    <cfRule type="cellIs" dxfId="2" priority="5" stopIfTrue="1" operator="lessThan">
      <formula>1</formula>
    </cfRule>
  </conditionalFormatting>
  <conditionalFormatting sqref="D1:D3 D71:D1048576 D6:D67">
    <cfRule type="duplicateValues" dxfId="1" priority="2"/>
  </conditionalFormatting>
  <conditionalFormatting sqref="D6:D66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46300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Basic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Express Mart </v>
      </c>
      <c r="T4" s="301">
        <f>+'2'!P35</f>
        <v>3057.8062954576271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Touqeer Store</v>
      </c>
      <c r="T5" s="301">
        <f>+'3'!P35</f>
        <v>1960.1322406779661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Food Rite Super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Al Madina Store</v>
      </c>
      <c r="T7" s="301">
        <f>+'5'!P35</f>
        <v>9408.6347552542375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20</v>
      </c>
      <c r="R8" s="313">
        <v>6</v>
      </c>
      <c r="S8" s="300" t="str">
        <f>+'6'!A6:A6</f>
        <v>Imran Store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134</v>
      </c>
      <c r="I10" s="236">
        <f t="shared" si="0"/>
        <v>9733.76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778.70079999999996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340.68160000000006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8614.3775999999998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1839.6610169491528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52.270193084745756</v>
      </c>
      <c r="P10" s="311">
        <f t="shared" si="2"/>
        <v>10506.308810033897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16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45</v>
      </c>
      <c r="I11" s="236">
        <f t="shared" si="0"/>
        <v>3268.8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261.50400000000002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114.40800000000002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2892.8879999999999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617.79661016949149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17.553423050847456</v>
      </c>
      <c r="P11" s="311">
        <f t="shared" si="2"/>
        <v>3528.2380332203388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15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85</v>
      </c>
      <c r="I12" s="236">
        <f t="shared" si="0"/>
        <v>6174.4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493.952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216.10400000000004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5464.3439999999991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1166.949152542373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33.156465762711861</v>
      </c>
      <c r="P12" s="311">
        <f t="shared" si="2"/>
        <v>6664.4496183050842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6.6</v>
      </c>
      <c r="H16" s="113">
        <f t="shared" ref="H16:M16" si="3">SUM(H7:H15)</f>
        <v>264</v>
      </c>
      <c r="I16" s="114">
        <f t="shared" si="3"/>
        <v>19176.96</v>
      </c>
      <c r="J16" s="274">
        <f>SUM(J7:J15)</f>
        <v>1534.1568</v>
      </c>
      <c r="K16" s="275">
        <f t="shared" si="3"/>
        <v>671.19360000000006</v>
      </c>
      <c r="L16" s="276">
        <f t="shared" si="3"/>
        <v>0</v>
      </c>
      <c r="M16" s="232">
        <f t="shared" si="3"/>
        <v>16971.609599999996</v>
      </c>
      <c r="N16" s="233">
        <f>SUM(N7:N15)</f>
        <v>3624.406779661017</v>
      </c>
      <c r="O16" s="101">
        <f>SUM(O7:O15)</f>
        <v>102.98008189830507</v>
      </c>
      <c r="P16" s="113">
        <f>SUM(P7:P15)</f>
        <v>20698.99646155932</v>
      </c>
      <c r="Q16" s="128">
        <f>SUM(Q7:Q15)</f>
        <v>81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19176.96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1534.1568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671.19360000000006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16971.6096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3624.406779661017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20596.016379661018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102.98008189830507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20698.996461559324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20698.99646155932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232.44799999999998</v>
      </c>
      <c r="K25" s="275">
        <f t="shared" si="10"/>
        <v>101.696</v>
      </c>
      <c r="L25" s="276">
        <f t="shared" si="10"/>
        <v>0</v>
      </c>
      <c r="M25" s="232">
        <f t="shared" si="10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>
        <v>1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39</v>
      </c>
      <c r="I25" s="114">
        <f t="shared" si="7"/>
        <v>2832.96</v>
      </c>
      <c r="J25" s="274">
        <f>SUM(J16:J24)</f>
        <v>226.63679999999999</v>
      </c>
      <c r="K25" s="275">
        <f t="shared" si="7"/>
        <v>99.153600000000012</v>
      </c>
      <c r="L25" s="276">
        <f t="shared" si="7"/>
        <v>0</v>
      </c>
      <c r="M25" s="232">
        <f t="shared" si="7"/>
        <v>2507.1696000000002</v>
      </c>
      <c r="N25" s="233">
        <f>SUM(N16:N24)</f>
        <v>535.42372881355936</v>
      </c>
      <c r="O25" s="101">
        <f>SUM(O16:O24)</f>
        <v>15.212966644067798</v>
      </c>
      <c r="P25" s="234">
        <f>SUM(P16:P24)</f>
        <v>3057.8062954576271</v>
      </c>
      <c r="Q25" s="239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2832.96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226.63679999999999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99.153600000000012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2507.1695999999997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535.42372881355936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3042.5933288135593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15.212966644067796</v>
      </c>
    </row>
    <row r="35" spans="2:16" ht="15.75" customHeight="1" thickBot="1" x14ac:dyDescent="0.4">
      <c r="N35" s="374" t="s">
        <v>88</v>
      </c>
      <c r="O35" s="375"/>
      <c r="P35" s="297">
        <f>+P33+P34</f>
        <v>3057.8062954576271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25</v>
      </c>
      <c r="I25" s="114">
        <f t="shared" si="7"/>
        <v>1816</v>
      </c>
      <c r="J25" s="274">
        <f>SUM(J16:J24)</f>
        <v>145.28</v>
      </c>
      <c r="K25" s="275">
        <f t="shared" si="7"/>
        <v>63.56</v>
      </c>
      <c r="L25" s="276">
        <f t="shared" si="7"/>
        <v>0</v>
      </c>
      <c r="M25" s="232">
        <f t="shared" si="7"/>
        <v>1607.1599999999999</v>
      </c>
      <c r="N25" s="233">
        <f>SUM(N16:N24)</f>
        <v>343.22033898305085</v>
      </c>
      <c r="O25" s="101">
        <f>SUM(O16:O24)</f>
        <v>9.7519016949152544</v>
      </c>
      <c r="P25" s="234">
        <f>SUM(P16:P24)</f>
        <v>1960.1322406779661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1816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145.28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63.56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1607.16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343.22033898305085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1950.3803389830509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9.7519016949152544</v>
      </c>
    </row>
    <row r="35" spans="2:16" ht="15.75" customHeight="1" thickBot="1" x14ac:dyDescent="0.4">
      <c r="N35" s="374" t="s">
        <v>88</v>
      </c>
      <c r="O35" s="375"/>
      <c r="P35" s="297">
        <f>+P33+P34</f>
        <v>1960.1322406779661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1" sqref="H17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20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20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15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13"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60</v>
      </c>
      <c r="I19" s="236">
        <f t="shared" si="0"/>
        <v>4358.3999999999996</v>
      </c>
      <c r="J19" s="272">
        <f t="shared" si="1"/>
        <v>348.67199999999997</v>
      </c>
      <c r="K19" s="128">
        <f t="shared" si="1"/>
        <v>152.54400000000001</v>
      </c>
      <c r="L19" s="119">
        <f t="shared" si="1"/>
        <v>0</v>
      </c>
      <c r="M19" s="230">
        <f t="shared" si="2"/>
        <v>3857.1839999999997</v>
      </c>
      <c r="N19" s="277">
        <f t="shared" si="3"/>
        <v>823.72881355932213</v>
      </c>
      <c r="O19" s="239">
        <f t="shared" si="4"/>
        <v>23.40456406779661</v>
      </c>
      <c r="P19" s="119">
        <f t="shared" si="5"/>
        <v>4704.3173776271187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697.34399999999994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  <c r="R28" s="223"/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697.34399999999994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305.08800000000002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7714.3679999999995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9361.8256271186438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74" t="s">
        <v>88</v>
      </c>
      <c r="O35" s="375"/>
      <c r="P35" s="297">
        <f>+P33+P34</f>
        <v>9408.6347552542375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46315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51" priority="1" stopIfTrue="1" operator="lessThan">
      <formula>1</formula>
    </cfRule>
  </conditionalFormatting>
  <conditionalFormatting sqref="C3:C5">
    <cfRule type="duplicateValues" dxfId="50" priority="2"/>
  </conditionalFormatting>
  <conditionalFormatting sqref="C7 C9:C11 C15:C17 C22:C25">
    <cfRule type="cellIs" dxfId="49" priority="22" stopIfTrue="1" operator="lessThan">
      <formula>1</formula>
    </cfRule>
  </conditionalFormatting>
  <conditionalFormatting sqref="C9:C11">
    <cfRule type="duplicateValues" dxfId="48" priority="52"/>
  </conditionalFormatting>
  <conditionalFormatting sqref="C13">
    <cfRule type="cellIs" dxfId="47" priority="18" stopIfTrue="1" operator="lessThan">
      <formula>1</formula>
    </cfRule>
  </conditionalFormatting>
  <conditionalFormatting sqref="C15:C17">
    <cfRule type="duplicateValues" dxfId="46" priority="58"/>
  </conditionalFormatting>
  <conditionalFormatting sqref="C20">
    <cfRule type="cellIs" dxfId="45" priority="14" stopIfTrue="1" operator="lessThan">
      <formula>1</formula>
    </cfRule>
  </conditionalFormatting>
  <conditionalFormatting sqref="C22:C25">
    <cfRule type="duplicateValues" dxfId="44" priority="45"/>
  </conditionalFormatting>
  <conditionalFormatting sqref="C27">
    <cfRule type="cellIs" dxfId="43" priority="10" stopIfTrue="1" operator="lessThan">
      <formula>1</formula>
    </cfRule>
  </conditionalFormatting>
  <conditionalFormatting sqref="C29:C31">
    <cfRule type="cellIs" dxfId="42" priority="3" stopIfTrue="1" operator="lessThan">
      <formula>1</formula>
    </cfRule>
    <cfRule type="duplicateValues" dxfId="41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40" priority="1" stopIfTrue="1" operator="lessThan">
      <formula>1</formula>
    </cfRule>
  </conditionalFormatting>
  <conditionalFormatting sqref="B3:B5">
    <cfRule type="duplicateValues" dxfId="39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8" priority="30"/>
  </conditionalFormatting>
  <conditionalFormatting sqref="G35:G41 G44:G52">
    <cfRule type="duplicateValues" dxfId="37" priority="32"/>
  </conditionalFormatting>
  <conditionalFormatting sqref="G42">
    <cfRule type="duplicateValues" dxfId="36" priority="24"/>
    <cfRule type="duplicateValues" dxfId="35" priority="25"/>
  </conditionalFormatting>
  <conditionalFormatting sqref="G43">
    <cfRule type="duplicateValues" dxfId="34" priority="28"/>
    <cfRule type="duplicateValues" dxfId="33" priority="29"/>
  </conditionalFormatting>
  <conditionalFormatting sqref="G44">
    <cfRule type="duplicateValues" dxfId="32" priority="26"/>
    <cfRule type="duplicateValues" dxfId="31" priority="27"/>
  </conditionalFormatting>
  <conditionalFormatting sqref="G46">
    <cfRule type="duplicateValues" dxfId="30" priority="31"/>
  </conditionalFormatting>
  <conditionalFormatting sqref="G65:G102 G104:G118">
    <cfRule type="duplicateValues" dxfId="29" priority="21"/>
  </conditionalFormatting>
  <conditionalFormatting sqref="G95:G102 G104:G112">
    <cfRule type="duplicateValues" dxfId="28" priority="23"/>
  </conditionalFormatting>
  <conditionalFormatting sqref="G103">
    <cfRule type="duplicateValues" dxfId="27" priority="19"/>
    <cfRule type="duplicateValues" dxfId="26" priority="20"/>
  </conditionalFormatting>
  <conditionalFormatting sqref="G104">
    <cfRule type="duplicateValues" dxfId="25" priority="17"/>
    <cfRule type="duplicateValues" dxfId="24" priority="18"/>
  </conditionalFormatting>
  <conditionalFormatting sqref="G106">
    <cfRule type="duplicateValues" dxfId="23" priority="22"/>
  </conditionalFormatting>
  <conditionalFormatting sqref="G125:G162 G164:G178">
    <cfRule type="duplicateValues" dxfId="22" priority="14"/>
  </conditionalFormatting>
  <conditionalFormatting sqref="G155:G162 G164:G172">
    <cfRule type="duplicateValues" dxfId="21" priority="16"/>
  </conditionalFormatting>
  <conditionalFormatting sqref="G163">
    <cfRule type="duplicateValues" dxfId="20" priority="12"/>
    <cfRule type="duplicateValues" dxfId="19" priority="13"/>
  </conditionalFormatting>
  <conditionalFormatting sqref="G164">
    <cfRule type="duplicateValues" dxfId="18" priority="10"/>
    <cfRule type="duplicateValues" dxfId="17" priority="11"/>
  </conditionalFormatting>
  <conditionalFormatting sqref="G166">
    <cfRule type="duplicateValues" dxfId="16" priority="15"/>
  </conditionalFormatting>
  <conditionalFormatting sqref="G203">
    <cfRule type="duplicateValues" dxfId="15" priority="4"/>
  </conditionalFormatting>
  <conditionalFormatting sqref="G204">
    <cfRule type="duplicateValues" dxfId="14" priority="3"/>
  </conditionalFormatting>
  <conditionalFormatting sqref="G215:G222 G225:G232">
    <cfRule type="duplicateValues" dxfId="13" priority="9"/>
  </conditionalFormatting>
  <conditionalFormatting sqref="G223">
    <cfRule type="duplicateValues" dxfId="12" priority="5"/>
    <cfRule type="duplicateValues" dxfId="11" priority="6"/>
  </conditionalFormatting>
  <conditionalFormatting sqref="G224">
    <cfRule type="duplicateValues" dxfId="10" priority="1"/>
    <cfRule type="duplicateValues" dxfId="9" priority="2"/>
  </conditionalFormatting>
  <conditionalFormatting sqref="G225:G232 G185:G202 G205:G222 G236:G238">
    <cfRule type="duplicateValues" dxfId="8" priority="7"/>
  </conditionalFormatting>
  <conditionalFormatting sqref="G226">
    <cfRule type="duplicateValues" dxfId="7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2026-10-20T04:15:18Z</dcterms:modified>
</cp:coreProperties>
</file>