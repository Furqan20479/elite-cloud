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C383334-6E53-404E-A205-3901DBF07CA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4" i="55"/>
  <c r="N5" i="55" s="1"/>
  <c r="N4" i="64"/>
  <c r="N5" i="64" s="1"/>
  <c r="N4" i="45"/>
  <c r="N4" i="59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<sst xmlns="http://schemas.openxmlformats.org/spreadsheetml/2006/main" count="3948" uniqueCount="530">
  <si>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</si>
  <si>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</si>
  <si>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</si>
  <si>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</si>
  <si>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</si>
  <si>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</si>
  <si>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</si>
  <si>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</si>
  <si>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</si>
  <si>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</si>
  <si>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</si>
  <si>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</si>
  <si>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</si>
  <si>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</si>
  <si>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</si>
  <si>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</si>
  <si>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</si>
  <si>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</si>
  <si>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</si>
  <si>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</si>
  <si>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</si>
  <si>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</si>
  <si>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</si>
  <si>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</si>
  <si>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</si>
  <si>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</si>
  <si>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</si>
  <si>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</si>
  <si>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</si>
  <si>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</si>
  <si>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</si>
  <si>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</si>
  <si>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</si>
  <si>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</si>
  <si>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</si>
  <si>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</si>
  <si>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</si>
  <si>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</si>
  <si>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</si>
  <si>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</si>
  <si>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</si>
  <si>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</si>
  <si>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</si>
  <si>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</si>
  <si>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</si>
  <si>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</si>
  <si>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</si>
  <si>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</si>
  <si>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</si>
  <si>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</si>
  <si>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</si>
  <si>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</si>
  <si>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</si>
  <si>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</si>
  <si>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</si>
  <si>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</si>
  <si>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</si>
  <si>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</si>
  <si>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</si>
  <si>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</si>
  <si>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</si>
  <si>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</si>
  <si>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</si>
  <si>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</si>
  <si>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</si>
  <si>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</si>
  <si>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</si>
  <si>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</si>
  <si>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</si>
  <si>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</si>
  <si>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</si>
  <si>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</si>
  <si>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</si>
  <si>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</si>
  <si>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</si>
  <si>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</si>
  <si>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</si>
  <si>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</si>
  <si>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</si>
  <si>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</si>
  <si>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</si>
  <si>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</si>
  <si>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</si>
  <si>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</si>
  <si>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</si>
  <si>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</si>
  <si>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</si>
  <si>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</si>
  <si>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</si>
  <si>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</si>
  <si>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</si>
  <si>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</si>
  <si>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</si>
  <si>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</si>
  <si>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</si>
  <si>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</si>
  <si>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</si>
  <si>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</si>
  <si>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</si>
  <si>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</si>
  <si>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</si>
  <si>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</si>
  <si>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</si>
  <si>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</si>
  <si>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</si>
  <si>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</si>
  <si>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</si>
  <si>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</si>
  <si>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</si>
  <si>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</si>
  <si>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</si>
  <si>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</si>
  <si>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</si>
  <si>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</si>
  <si>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</si>
  <si>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</si>
  <si>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</si>
  <si>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</si>
  <si>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</si>
  <si>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</si>
  <si>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</si>
  <si>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</si>
  <si>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</si>
  <si>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</si>
  <si>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</si>
  <si>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</si>
  <si>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</si>
  <si>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</si>
  <si>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</si>
  <si>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</si>
  <si>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</si>
  <si>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</si>
  <si>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</si>
  <si>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</si>
  <si>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</si>
  <si>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</si>
  <si>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</si>
  <si>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</si>
  <si>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</si>
  <si>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</si>
  <si>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</si>
  <si>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</si>
  <si>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</si>
  <si>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</si>
  <si>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</si>
  <si>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</si>
  <si>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</si>
  <si>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</si>
  <si>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</si>
  <si>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</si>
  <si>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</si>
  <si>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</si>
  <si>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</si>
  <si>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</si>
  <si>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</si>
  <si>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</si>
  <si>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</si>
  <si>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</si>
  <si>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</si>
  <si>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</si>
  <si>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</si>
  <si>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</si>
  <si>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</si>
  <si>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</si>
  <si>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</si>
  <si>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</si>
  <si>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</si>
  <si>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</si>
  <si>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</si>
  <si>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</si>
  <si>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</si>
  <si>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</si>
  <si>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</si>
  <si>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</si>
  <si>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</si>
  <si>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</si>
  <si>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</si>
  <si>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</si>
  <si>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</si>
  <si>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</si>
  <si>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</si>
  <si>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</si>
  <si>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</si>
  <si>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</si>
  <si>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</si>
  <si>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</si>
  <si>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</si>
  <si>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</si>
  <si>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</si>
  <si>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</si>
  <si>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</si>
  <si>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</si>
  <si>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</si>
  <si>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</si>
  <si>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</si>
  <si>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</si>
  <si>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</si>
  <si>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</si>
  <si>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</si>
  <si>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</si>
  <si>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</si>
  <si>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</si>
  <si>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</si>
  <si>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</si>
  <si>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</si>
  <si>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</si>
  <si>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</si>
  <si>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</si>
  <si>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</si>
  <si>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</si>
  <si>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</si>
  <si>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</si>
  <si>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</si>
  <si>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</si>
  <si>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</si>
  <si>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</si>
  <si>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</si>
  <si>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</si>
  <si>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</si>
  <si>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</si>
  <si>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</si>
  <si>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</si>
  <si>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</si>
  <si>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</si>
  <si>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</si>
  <si>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</si>
  <si>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</si>
  <si>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</si>
  <si>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</si>
  <si>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</si>
  <si>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</si>
  <si>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</si>
  <si>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</si>
  <si>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</si>
  <si>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</si>
  <si>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</si>
  <si>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</si>
  <si>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</si>
  <si>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</si>
  <si>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</si>
  <si>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</si>
  <si>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</si>
  <si>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</si>
  <si>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</si>
  <si>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</si>
  <si>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</si>
  <si>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</si>
  <si>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</si>
  <si>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</si>
  <si>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</si>
  <si>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</si>
  <si>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</si>
  <si>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</si>
  <si>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</si>
  <si>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</si>
  <si>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</si>
  <si>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</si>
  <si>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</si>
  <si>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</si>
  <si>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</si>
  <si>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</si>
  <si>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</si>
  <si>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</si>
  <si>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</si>
  <si>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</si>
  <si>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</si>
  <si>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</si>
  <si>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</si>
  <si>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</si>
  <si>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</si>
  <si>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</si>
  <si>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</si>
  <si>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</si>
  <si>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</si>
  <si>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</si>
  <si>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</si>
  <si>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</si>
  <si>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</si>
  <si>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</si>
  <si>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</si>
  <si>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</si>
  <si>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</si>
  <si>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</si>
  <si>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</si>
  <si>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</si>
  <si>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</si>
  <si>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</si>
  <si>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</si>
  <si>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</si>
  <si>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</si>
  <si>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</si>
  <si>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</si>
  <si>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</si>
  <si>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</si>
  <si>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</si>
  <si>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</si>
  <si>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</si>
  <si>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</si>
  <si>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</si>
  <si>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</si>
  <si>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</si>
  <si>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</si>
  <si>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</si>
  <si>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</si>
  <si>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</si>
  <si>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</si>
  <si>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</si>
  <si>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</si>
  <si>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</si>
  <si>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</si>
  <si>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</si>
  <si>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</si>
  <si>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</si>
  <si>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</si>
  <si>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</si>
  <si>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</si>
  <si>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</si>
  <si>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</si>
  <si>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</si>
  <si>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</si>
  <si>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</si>
  <si>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</si>
  <si>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</si>
  <si>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</si>
  <si>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</si>
  <si>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</si>
  <si>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</si>
  <si>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</si>
  <si>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</si>
  <si>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</si>
  <si>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</si>
  <si>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</si>
  <si>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</si>
  <si>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</si>
  <si>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</si>
  <si>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</si>
  <si>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</si>
  <si>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</si>
  <si>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</si>
  <si>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</si>
  <si>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</si>
  <si>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</si>
  <si>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</si>
  <si>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</si>
  <si>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</si>
  <si>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</si>
  <si>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</si>
  <si>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</si>
  <si>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</si>
  <si>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</si>
  <si>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</si>
  <si>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</si>
  <si>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</si>
  <si>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</si>
  <si>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</si>
  <si>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</si>
  <si>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</si>
  <si>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</si>
  <si>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</si>
  <si>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</si>
  <si>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</si>
  <si>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</si>
  <si>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</si>
  <si>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</si>
  <si>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</si>
  <si>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</si>
  <si>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</si>
  <si>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</si>
  <si>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</si>
  <si>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</si>
  <si>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</si>
  <si>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</si>
  <si>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</si>
  <si>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</si>
  <si>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</si>
  <si>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</si>
  <si>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</si>
  <si>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</si>
  <si>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</si>
  <si>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</si>
  <si>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</si>
  <si>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</si>
  <si>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</si>
  <si>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</si>
  <si>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</si>
  <si>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</si>
  <si>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</si>
  <si>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</si>
  <si>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</si>
  <si>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</si>
  <si>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</si>
  <si>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</si>
  <si>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</si>
  <si>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</si>
  <si>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</si>
  <si>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</si>
  <si>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</si>
  <si>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</si>
  <si>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</si>
  <si>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</si>
  <si>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</si>
  <si>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</si>
  <si>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</si>
  <si>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</si>
  <si>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</si>
  <si>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</si>
  <si>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</si>
  <si>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</si>
  <si>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</si>
  <si>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</si>
  <si>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</si>
  <si>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</si>
  <si>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</si>
  <si>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</si>
  <si>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</si>
  <si>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</si>
  <si>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</si>
  <si>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</si>
  <si>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</si>
  <si>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</si>
  <si>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</si>
  <si>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</si>
  <si>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</si>
  <si>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</si>
  <si>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</si>
  <si>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</si>
  <si>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</si>
  <si>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</si>
  <si>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</si>
  <si>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</si>
  <si>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</si>
  <si>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</si>
  <si>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</si>
  <si>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</si>
  <si>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</si>
  <si>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</si>
  <si>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</si>
  <si>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</si>
  <si>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</si>
  <si>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</si>
  <si>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</si>
  <si>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</si>
  <si>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</si>
  <si>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</si>
  <si>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</si>
  <si>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</si>
  <si>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</si>
  <si>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</si>
  <si>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</si>
  <si>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</si>
  <si>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</si>
  <si>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</si>
  <si>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</si>
  <si>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</si>
  <si>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</si>
  <si>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</si>
  <si>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</si>
  <si>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</si>
  <si>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</si>
  <si>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</si>
  <si>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</si>
  <si>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</si>
  <si>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</si>
  <si>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</si>
  <si>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</si>
  <si>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</si>
  <si>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</si>
  <si>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</si>
  <si>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</si>
  <si>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</si>
  <si>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</si>
  <si>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</si>
  <si>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</si>
  <si>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</si>
  <si>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</si>
  <si>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</si>
  <si>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</si>
  <si>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</si>
  <si>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</si>
  <si>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</si>
  <si>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</si>
  <si>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</si>
  <si>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</si>
  <si>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</si>
  <si>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</si>
  <si>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</si>
  <si>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</si>
  <si>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</si>
  <si>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</si>
  <si>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</si>
  <si>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</si>
  <si>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</si>
  <si>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</si>
  <si>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</si>
  <si>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</si>
  <si>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</si>
  <si>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</si>
  <si>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</si>
  <si>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</si>
  <si>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</si>
  <si>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</si>
  <si>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</si>
  <si>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</si>
  <si>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</si>
  <si>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</si>
  <si>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</si>
  <si>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</si>
  <si>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</si>
  <si>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</si>
  <si>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</si>
  <si>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</si>
  <si>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</si>
  <si>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</si>
  <si>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</si>
  <si>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</si>
  <si>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Ajwa Sweets &amp; Bakers </t>
  </si>
  <si>
    <t>Address: Makkah colony</t>
  </si>
  <si>
    <t>Aqeel Qadri Store</t>
  </si>
  <si>
    <t>Ghose GS</t>
  </si>
  <si>
    <t>Address: Firdos Market</t>
  </si>
  <si>
    <t>Yahya Gs</t>
  </si>
  <si>
    <t>Saleem Store</t>
  </si>
  <si>
    <t>Shakeel GS</t>
  </si>
  <si>
    <t>Address: Sheer paa Bazar</t>
  </si>
  <si>
    <t>Lasani Sweets</t>
  </si>
  <si>
    <t>Address: Sher Pa Bazar</t>
  </si>
  <si>
    <t>New Prince Store</t>
  </si>
  <si>
    <t>Address: Sher Pa</t>
  </si>
  <si>
    <t>Saeed Khan Store</t>
  </si>
  <si>
    <t>Address: Pepsi Gate no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</si>
</sst>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6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Ajwa Sweets &amp; Bakers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Aqeel Qadri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Ghose GS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Yahya Gs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Saleem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3">
        <v>6</v>
      </c>
      <c r="S8" s="300" t="str">
        <f>+'6'!A6:A6</f>
        <v>Shakeel GS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24</v>
      </c>
      <c r="R9" s="313">
        <v>7</v>
      </c>
      <c r="S9" s="300" t="str">
        <f>+'7'!A6:A6</f>
        <v>Lasani Sweets</v>
      </c>
      <c r="T9" s="301">
        <f>+'7'!P35</f>
        <v>3136.2115850847463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</v>
      </c>
      <c r="I10" s="236">
        <f t="shared" si="0"/>
        <v>435.84000000000003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34.867200000000004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15.254400000000002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385.71840000000003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82.372881355932208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2.3404564067796612</v>
      </c>
      <c r="P10" s="311">
        <f t="shared" si="2"/>
        <v>470.43173776271186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64</v>
      </c>
      <c r="R10" s="313">
        <v>8</v>
      </c>
      <c r="S10" s="300" t="str">
        <f>+'8'!A6:A6</f>
        <v>New Prince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17</v>
      </c>
      <c r="I11" s="236">
        <f t="shared" si="0"/>
        <v>1234.8800000000001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98.790400000000005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43.220800000000011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1092.8688000000002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233.38983050847457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6.6312931525423737</v>
      </c>
      <c r="P11" s="311">
        <f t="shared" si="2"/>
        <v>1332.8899236610171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</v>
      </c>
      <c r="R11" s="313">
        <v>9</v>
      </c>
      <c r="S11" s="300" t="str">
        <f>+'9'!A6:A6</f>
        <v>Saeed Khan Store</v>
      </c>
      <c r="T11" s="301">
        <f>+'9'!P35</f>
        <v>679.51547485169476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17</v>
      </c>
      <c r="I12" s="236">
        <f t="shared" si="0"/>
        <v>1234.8800000000001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98.790400000000005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43.220800000000011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1092.8688000000002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233.38983050847457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6.6312931525423737</v>
      </c>
      <c r="P12" s="311">
        <f t="shared" si="2"/>
        <v>1332.8899236610171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12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1.3</v>
      </c>
      <c r="H16" s="113">
        <f t="shared" ref="H16:M16" si="3">SUM(H7:H15)</f>
        <v>52</v>
      </c>
      <c r="I16" s="114">
        <f t="shared" si="3"/>
        <v>3535.15</v>
      </c>
      <c r="J16" s="274">
        <f>SUM(J7:J15)</f>
        <v>282.81200000000001</v>
      </c>
      <c r="K16" s="275">
        <f t="shared" si="3"/>
        <v>123.73025000000003</v>
      </c>
      <c r="L16" s="276">
        <f t="shared" si="3"/>
        <v>0</v>
      </c>
      <c r="M16" s="232">
        <f t="shared" si="3"/>
        <v>3128.6077500000001</v>
      </c>
      <c r="N16" s="233">
        <f>SUM(N7:N15)</f>
        <v>668.13559322033893</v>
      </c>
      <c r="O16" s="101">
        <f>SUM(O7:O15)</f>
        <v>18.983716716101696</v>
      </c>
      <c r="P16" s="113">
        <f>SUM(P7:P15)</f>
        <v>3815.727059936441</v>
      </c>
      <c r="Q16" s="128">
        <f>SUM(Q7:Q15)</f>
        <v>114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3535.15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282.81200000000001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123.73025000000003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3128.6077500000001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668.13559322033893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3796.7433432203388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18.983716716101696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3815.7270599364406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3815.727059936441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H19" sqref="H16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G25" sqref="G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17</v>
      </c>
      <c r="I20" s="236">
        <f t="shared" si="0"/>
        <v>1234.8800000000001</v>
      </c>
      <c r="J20" s="272">
        <f t="shared" si="1"/>
        <v>98.790400000000005</v>
      </c>
      <c r="K20" s="128">
        <f t="shared" si="1"/>
        <v>43.220800000000011</v>
      </c>
      <c r="L20" s="119">
        <f t="shared" si="1"/>
        <v>0</v>
      </c>
      <c r="M20" s="230">
        <f t="shared" si="2"/>
        <v>1092.8688000000002</v>
      </c>
      <c r="N20" s="277">
        <f t="shared" si="3"/>
        <v>233.38983050847457</v>
      </c>
      <c r="O20" s="239">
        <f t="shared" si="4"/>
        <v>6.6312931525423737</v>
      </c>
      <c r="P20" s="119">
        <f t="shared" si="5"/>
        <v>1332.8899236610171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17</v>
      </c>
      <c r="I21" s="236">
        <f t="shared" si="0"/>
        <v>1234.8800000000001</v>
      </c>
      <c r="J21" s="272">
        <f t="shared" si="1"/>
        <v>98.790400000000005</v>
      </c>
      <c r="K21" s="128">
        <f t="shared" si="1"/>
        <v>43.220800000000011</v>
      </c>
      <c r="L21" s="119">
        <f t="shared" si="1"/>
        <v>0</v>
      </c>
      <c r="M21" s="230">
        <f t="shared" si="2"/>
        <v>1092.8688000000002</v>
      </c>
      <c r="N21" s="277">
        <f t="shared" si="3"/>
        <v>233.38983050847457</v>
      </c>
      <c r="O21" s="239">
        <f t="shared" si="4"/>
        <v>6.6312931525423737</v>
      </c>
      <c r="P21" s="119">
        <f t="shared" si="5"/>
        <v>1332.8899236610171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232.44800000000001</v>
      </c>
      <c r="K25" s="275">
        <f t="shared" si="7"/>
        <v>101.69600000000003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2026-10-16T12:47:35Z</dcterms:modified>
</cp:coreProperties>
</file>