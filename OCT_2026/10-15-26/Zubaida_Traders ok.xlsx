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B15A3AD-30B0-4C15-A679-322BB0A3C88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<sst xmlns="http://schemas.openxmlformats.org/spreadsheetml/2006/main" count="3977" uniqueCount="517">
  <si>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</si>
  <si>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</si>
  <si>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</si>
  <si>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</si>
  <si>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</si>
  <si>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</si>
  <si>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</si>
  <si>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</si>
  <si>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</si>
  <si>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</si>
  <si>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</si>
  <si>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</si>
  <si>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</si>
  <si>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</si>
  <si>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</si>
  <si>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</si>
  <si>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</si>
  <si>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</si>
  <si>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</si>
  <si>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</si>
  <si>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</si>
  <si>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</si>
  <si>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</si>
  <si>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</si>
  <si>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</si>
  <si>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</si>
  <si>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</si>
  <si>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</si>
  <si>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</si>
  <si>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</si>
  <si>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</si>
  <si>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</si>
  <si>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</si>
  <si>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</si>
  <si>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</si>
  <si>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</si>
  <si>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</si>
  <si>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</si>
  <si>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</si>
  <si>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</si>
  <si>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</si>
  <si>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</si>
  <si>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</si>
  <si>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</si>
  <si>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</si>
  <si>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</si>
  <si>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</si>
  <si>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</si>
  <si>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</si>
  <si>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</si>
  <si>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</si>
  <si>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</si>
  <si>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</si>
  <si>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</si>
  <si>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</si>
  <si>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</si>
  <si>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</si>
  <si>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</si>
  <si>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</si>
  <si>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</si>
  <si>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</si>
  <si>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</si>
  <si>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</si>
  <si>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</si>
  <si>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</si>
  <si>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</si>
  <si>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</si>
  <si>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</si>
  <si>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</si>
  <si>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</si>
  <si>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</si>
  <si>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</si>
  <si>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</si>
  <si>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</si>
  <si>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</si>
  <si>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</si>
  <si>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</si>
  <si>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</si>
  <si>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</si>
  <si>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</si>
  <si>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</si>
  <si>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</si>
  <si>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</si>
  <si>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</si>
  <si>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</si>
  <si>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</si>
  <si>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</si>
  <si>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</si>
  <si>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</si>
  <si>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</si>
  <si>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</si>
  <si>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</si>
  <si>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</si>
  <si>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</si>
  <si>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</si>
  <si>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</si>
  <si>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</si>
  <si>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</si>
  <si>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</si>
  <si>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</si>
  <si>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</si>
  <si>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</si>
  <si>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</si>
  <si>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</si>
  <si>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</si>
  <si>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</si>
  <si>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</si>
  <si>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</si>
  <si>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</si>
  <si>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</si>
  <si>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</si>
  <si>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</si>
  <si>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</si>
  <si>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</si>
  <si>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</si>
  <si>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</si>
  <si>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</si>
  <si>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</si>
  <si>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</si>
  <si>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</si>
  <si>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</si>
  <si>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</si>
  <si>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</si>
  <si>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</si>
  <si>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</si>
  <si>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</si>
  <si>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</si>
  <si>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</si>
  <si>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</si>
  <si>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</si>
  <si>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</si>
  <si>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</si>
  <si>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</si>
  <si>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</si>
  <si>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</si>
  <si>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</si>
  <si>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</si>
  <si>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</si>
  <si>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</si>
  <si>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</si>
  <si>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</si>
  <si>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</si>
  <si>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</si>
  <si>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</si>
  <si>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</si>
  <si>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</si>
  <si>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</si>
  <si>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</si>
  <si>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</si>
  <si>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</si>
  <si>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</si>
  <si>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</si>
  <si>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</si>
  <si>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</si>
  <si>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</si>
  <si>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</si>
  <si>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</si>
  <si>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</si>
  <si>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</si>
  <si>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</si>
  <si>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</si>
  <si>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</si>
  <si>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</si>
  <si>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</si>
  <si>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</si>
  <si>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</si>
  <si>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</si>
  <si>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</si>
  <si>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</si>
  <si>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</si>
  <si>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</si>
  <si>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</si>
  <si>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</si>
  <si>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</si>
  <si>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</si>
  <si>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</si>
  <si>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</si>
  <si>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</si>
  <si>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</si>
  <si>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</si>
  <si>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</si>
  <si>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</si>
  <si>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</si>
  <si>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</si>
  <si>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</si>
  <si>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</si>
  <si>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</si>
  <si>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</si>
  <si>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</si>
  <si>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</si>
  <si>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</si>
  <si>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</si>
  <si>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</si>
  <si>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</si>
  <si>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</si>
  <si>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</si>
  <si>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</si>
  <si>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</si>
  <si>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</si>
  <si>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</si>
  <si>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</si>
  <si>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</si>
  <si>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</si>
  <si>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</si>
  <si>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</si>
  <si>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</si>
  <si>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</si>
  <si>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</si>
  <si>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</si>
  <si>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</si>
  <si>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</si>
  <si>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</si>
  <si>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</si>
  <si>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</si>
  <si>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</si>
  <si>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</si>
  <si>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</si>
  <si>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</si>
  <si>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</si>
  <si>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</si>
  <si>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</si>
  <si>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</si>
  <si>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</si>
  <si>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</si>
  <si>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</si>
  <si>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</si>
  <si>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</si>
  <si>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</si>
  <si>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</si>
  <si>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</si>
  <si>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</si>
  <si>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</si>
  <si>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</si>
  <si>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</si>
  <si>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</si>
  <si>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</si>
  <si>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</si>
  <si>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</si>
  <si>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</si>
  <si>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</si>
  <si>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</si>
  <si>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</si>
  <si>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</si>
  <si>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</si>
  <si>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</si>
  <si>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</si>
  <si>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</si>
  <si>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</si>
  <si>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</si>
  <si>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</si>
  <si>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</si>
  <si>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</si>
  <si>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</si>
  <si>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</si>
  <si>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</si>
  <si>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</si>
  <si>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</si>
  <si>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</si>
  <si>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</si>
  <si>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</si>
  <si>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</si>
  <si>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</si>
  <si>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</si>
  <si>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</si>
  <si>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</si>
  <si>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</si>
  <si>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</si>
  <si>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</si>
  <si>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</si>
  <si>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</si>
  <si>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</si>
  <si>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</si>
  <si>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</si>
  <si>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</si>
  <si>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</si>
  <si>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</si>
  <si>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</si>
  <si>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</si>
  <si>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</si>
  <si>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</si>
  <si>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</si>
  <si>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</si>
  <si>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</si>
  <si>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</si>
  <si>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</si>
  <si>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</si>
  <si>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</si>
  <si>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</si>
  <si>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</si>
  <si>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</si>
  <si>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</si>
  <si>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</si>
  <si>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</si>
  <si>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</si>
  <si>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</si>
  <si>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</si>
  <si>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</si>
  <si>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</si>
  <si>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</si>
  <si>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</si>
  <si>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</si>
  <si>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</si>
  <si>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</si>
  <si>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</si>
  <si>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</si>
  <si>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</si>
  <si>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</si>
  <si>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</si>
  <si>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</si>
  <si>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</si>
  <si>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</si>
  <si>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</si>
  <si>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</si>
  <si>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</si>
  <si>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</si>
  <si>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</si>
  <si>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</si>
  <si>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</si>
  <si>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</si>
  <si>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</si>
  <si>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</si>
  <si>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</si>
  <si>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</si>
  <si>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</si>
  <si>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</si>
  <si>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</si>
  <si>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</si>
  <si>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</si>
  <si>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</si>
  <si>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</si>
  <si>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</si>
  <si>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</si>
  <si>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</si>
  <si>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</si>
  <si>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</si>
  <si>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</si>
  <si>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</si>
  <si>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</si>
  <si>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</si>
  <si>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</si>
  <si>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</si>
  <si>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</si>
  <si>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</si>
  <si>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</si>
  <si>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</si>
  <si>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</si>
  <si>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</si>
  <si>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</si>
  <si>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</si>
  <si>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</si>
  <si>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</si>
  <si>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</si>
  <si>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</si>
  <si>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</si>
  <si>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</si>
  <si>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</si>
  <si>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</si>
  <si>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</si>
  <si>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</si>
  <si>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</si>
  <si>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</si>
  <si>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</si>
  <si>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</si>
  <si>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</si>
  <si>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</si>
  <si>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</si>
  <si>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</si>
  <si>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</si>
  <si>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</si>
  <si>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</si>
  <si>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</si>
  <si>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</si>
  <si>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</si>
  <si>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</si>
  <si>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</si>
  <si>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</si>
  <si>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</si>
  <si>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</si>
  <si>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</si>
  <si>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</si>
  <si>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</si>
  <si>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</si>
  <si>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</si>
  <si>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</si>
  <si>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</si>
  <si>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</si>
  <si>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</si>
  <si>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</si>
  <si>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</si>
  <si>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</si>
  <si>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</si>
  <si>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</si>
  <si>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</si>
  <si>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</si>
  <si>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</si>
  <si>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</si>
  <si>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</si>
  <si>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</si>
  <si>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</si>
  <si>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</si>
  <si>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</si>
  <si>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</si>
  <si>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</si>
  <si>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</si>
  <si>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</si>
  <si>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</si>
  <si>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</si>
  <si>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</si>
  <si>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</si>
  <si>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</si>
  <si>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</si>
  <si>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</si>
  <si>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</si>
  <si>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</si>
  <si>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</si>
  <si>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</si>
  <si>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</si>
  <si>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</si>
  <si>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</si>
  <si>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</si>
  <si>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</si>
  <si>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</si>
  <si>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</si>
  <si>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</si>
  <si>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</si>
  <si>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</si>
  <si>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</si>
  <si>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</si>
  <si>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</si>
  <si>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</si>
  <si>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</si>
  <si>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</si>
  <si>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</si>
  <si>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</si>
  <si>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</si>
  <si>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</si>
  <si>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</si>
  <si>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</si>
  <si>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</si>
  <si>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</si>
  <si>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</si>
  <si>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</si>
  <si>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</si>
  <si>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</si>
  <si>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</si>
  <si>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</si>
  <si>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</si>
  <si>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</si>
  <si>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</si>
  <si>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</si>
  <si>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</si>
  <si>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</si>
  <si>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</si>
  <si>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</si>
  <si>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</si>
  <si>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</si>
  <si>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</si>
  <si>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</si>
  <si>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</si>
  <si>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</si>
  <si>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</si>
  <si>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</si>
  <si>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</si>
  <si>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</si>
  <si>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</si>
  <si>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</si>
  <si>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</si>
  <si>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</si>
  <si>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</si>
  <si>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</si>
  <si>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</si>
  <si>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</si>
  <si>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</si>
  <si>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</si>
  <si>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</si>
  <si>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</si>
  <si>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</si>
  <si>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</si>
  <si>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</si>
  <si>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</si>
  <si>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</si>
  <si>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</si>
  <si>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</si>
  <si>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</si>
  <si>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</si>
  <si>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</si>
  <si>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</si>
  <si>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</si>
  <si>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</si>
  <si>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</si>
  <si>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</si>
  <si>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</si>
  <si>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</si>
  <si>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</si>
  <si>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</si>
  <si>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</si>
  <si>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</si>
  <si>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</si>
  <si>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</si>
  <si>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</si>
  <si>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</si>
  <si>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</si>
  <si>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</si>
  <si>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</si>
  <si>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</si>
  <si>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</si>
  <si>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</si>
  <si>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</si>
  <si>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</si>
  <si>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</si>
  <si>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</si>
  <si>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</si>
  <si>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</si>
  <si>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</si>
  <si>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</si>
  <si>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</si>
  <si>
    <t>Invoice No # :6153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</si>
</sst>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515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46312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Zubaida Associate</v>
      </c>
      <c r="T3" s="301">
        <f>+'1'!P35</f>
        <v>379304.77146525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398</v>
      </c>
      <c r="I7" s="235">
        <f>(G7*D7)*F7+H7*F7</f>
        <v>20880.075000000001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3758.4135000000001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17121.661500000002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3946.2711864406765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105.33966343220339</v>
      </c>
      <c r="P7" s="310">
        <f>M7+N7+O7</f>
        <v>21173.272349872881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399</v>
      </c>
      <c r="I8" s="236">
        <f t="shared" ref="I8:I14" si="0">(G8*D8)*F8+H8*F8</f>
        <v>20932.537499999999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3767.8567499999995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17164.68075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3956.1864406779646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105.60433595338982</v>
      </c>
      <c r="P8" s="311">
        <f t="shared" ref="P8:P15" si="2">M8+N8+O8</f>
        <v>21226.471526631354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800</v>
      </c>
      <c r="I9" s="236">
        <f t="shared" si="0"/>
        <v>41970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7554.5999999999995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34415.4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7932.2033898305053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211.73801694915252</v>
      </c>
      <c r="P9" s="311">
        <f t="shared" si="2"/>
        <v>42559.341406779655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1199</v>
      </c>
      <c r="I10" s="236">
        <f t="shared" si="0"/>
        <v>87095.360000000001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15677.164799999999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71418.195200000002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16460.847457627118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439.39521328813555</v>
      </c>
      <c r="P10" s="311">
        <f t="shared" si="2"/>
        <v>88318.437870915252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799</v>
      </c>
      <c r="I11" s="236">
        <f t="shared" si="0"/>
        <v>58039.360000000001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10447.084800000001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47592.275200000004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10969.322033898306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292.80798616949158</v>
      </c>
      <c r="P11" s="311">
        <f t="shared" si="2"/>
        <v>58854.405220067805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1998</v>
      </c>
      <c r="I12" s="236">
        <f t="shared" si="0"/>
        <v>145134.72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26124.249599999999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119010.47040000001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27430.169491525427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732.20319945762719</v>
      </c>
      <c r="P12" s="311">
        <f t="shared" si="2"/>
        <v>147172.84309098308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139.82499999999999</v>
      </c>
      <c r="H16" s="113">
        <f t="shared" ref="H16:M16" si="3">SUM(H7:H15)</f>
        <v>5593</v>
      </c>
      <c r="I16" s="114">
        <f t="shared" si="3"/>
        <v>374052.05249999999</v>
      </c>
      <c r="J16" s="274">
        <f>SUM(J7:J15)</f>
        <v>67329.369449999998</v>
      </c>
      <c r="K16" s="275">
        <f t="shared" si="3"/>
        <v>0</v>
      </c>
      <c r="L16" s="276">
        <f t="shared" si="3"/>
        <v>0</v>
      </c>
      <c r="M16" s="232">
        <f t="shared" si="3"/>
        <v>306722.68305000005</v>
      </c>
      <c r="N16" s="233">
        <f>SUM(N7:N15)</f>
        <v>70695</v>
      </c>
      <c r="O16" s="101">
        <f>SUM(O7:O15)</f>
        <v>1887.0884152500003</v>
      </c>
      <c r="P16" s="113">
        <f>SUM(P7:P15)</f>
        <v>379304.77146525</v>
      </c>
      <c r="Q16" s="128">
        <f>SUM(Q7:Q15)</f>
        <v>7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374052.05249999999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67329.369449999998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306722.68304999999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70695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377417.68304999999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1887.0884152500003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379304.77146525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379304.77146525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9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9.26953125" customWidth="1"/>
    <col min="16" max="16" width="10.54296875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7.2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8" t="s">
        <v>507</v>
      </c>
      <c r="XFD14" t="s">
        <v>106</v>
      </c>
    </row>
    <row r="15" spans="1:22 16383:16384" ht="3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0.18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8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398</v>
      </c>
      <c r="I16" s="235">
        <f>(G16*D16)*F16+H16*F16</f>
        <v>20880.075000000001</v>
      </c>
      <c r="J16" s="271">
        <f>$I16*S16</f>
        <v>3758.4135000000001</v>
      </c>
      <c r="K16" s="127">
        <f>$I16*T16</f>
        <v>0</v>
      </c>
      <c r="L16" s="118">
        <f>$I16*U16</f>
        <v>0</v>
      </c>
      <c r="M16" s="229">
        <f>I16-SUM(J16:L16)</f>
        <v>17121.661500000002</v>
      </c>
      <c r="N16" s="248">
        <f>+(G16*D16+H16)*V16</f>
        <v>3946.2711864406765</v>
      </c>
      <c r="O16" s="238">
        <f>(N16+M16)*$O$15</f>
        <v>105.33966343220339</v>
      </c>
      <c r="P16" s="118">
        <f>M16+N16+O16</f>
        <v>21173.272349872881</v>
      </c>
      <c r="Q16" s="320">
        <v>2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399</v>
      </c>
      <c r="I17" s="236">
        <f t="shared" ref="I17:I23" si="0">(G17*D17)*F17+H17*F17</f>
        <v>20932.537499999999</v>
      </c>
      <c r="J17" s="272">
        <f t="shared" ref="J17:L24" si="1">$I17*S17</f>
        <v>3767.8567499999995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17164.68075</v>
      </c>
      <c r="N17" s="277">
        <f t="shared" ref="N17:N24" si="3">+(G17*D17+H17)*V17</f>
        <v>3956.1864406779646</v>
      </c>
      <c r="O17" s="239">
        <f t="shared" ref="O17:O24" si="4">(N17+M17)*$O$15</f>
        <v>105.60433595338982</v>
      </c>
      <c r="P17" s="119">
        <f t="shared" ref="P17:P24" si="5">M17+N17+O17</f>
        <v>21226.471526631354</v>
      </c>
      <c r="Q17" s="321">
        <v>1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800</v>
      </c>
      <c r="I18" s="236">
        <f t="shared" ref="I18:I21" si="7">(G18*D18)*F18+H18*F18</f>
        <v>41970</v>
      </c>
      <c r="J18" s="272">
        <f t="shared" si="1"/>
        <v>7554.5999999999995</v>
      </c>
      <c r="K18" s="128">
        <f t="shared" si="1"/>
        <v>0</v>
      </c>
      <c r="L18" s="119">
        <f t="shared" si="1"/>
        <v>0</v>
      </c>
      <c r="M18" s="230">
        <f t="shared" si="2"/>
        <v>34415.4</v>
      </c>
      <c r="N18" s="277">
        <f t="shared" si="3"/>
        <v>7932.2033898305053</v>
      </c>
      <c r="O18" s="239">
        <f t="shared" si="4"/>
        <v>211.73801694915252</v>
      </c>
      <c r="P18" s="119">
        <f t="shared" si="5"/>
        <v>42559.341406779655</v>
      </c>
      <c r="Q18" s="321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1199</v>
      </c>
      <c r="I19" s="236">
        <f t="shared" si="7"/>
        <v>87095.360000000001</v>
      </c>
      <c r="J19" s="272">
        <f t="shared" si="1"/>
        <v>15677.164799999999</v>
      </c>
      <c r="K19" s="128">
        <f t="shared" si="1"/>
        <v>0</v>
      </c>
      <c r="L19" s="119">
        <f t="shared" si="1"/>
        <v>0</v>
      </c>
      <c r="M19" s="230">
        <f t="shared" si="2"/>
        <v>71418.195200000002</v>
      </c>
      <c r="N19" s="277">
        <f t="shared" si="3"/>
        <v>16460.847457627118</v>
      </c>
      <c r="O19" s="239">
        <f t="shared" si="4"/>
        <v>439.39521328813555</v>
      </c>
      <c r="P19" s="119">
        <f t="shared" si="5"/>
        <v>88318.437870915252</v>
      </c>
      <c r="Q19" s="321">
        <v>1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799</v>
      </c>
      <c r="I20" s="236">
        <f t="shared" si="7"/>
        <v>58039.360000000001</v>
      </c>
      <c r="J20" s="272">
        <f t="shared" si="1"/>
        <v>10447.084800000001</v>
      </c>
      <c r="K20" s="128">
        <f t="shared" si="1"/>
        <v>0</v>
      </c>
      <c r="L20" s="119">
        <f t="shared" si="1"/>
        <v>0</v>
      </c>
      <c r="M20" s="230">
        <f t="shared" si="2"/>
        <v>47592.275200000004</v>
      </c>
      <c r="N20" s="277">
        <f t="shared" si="3"/>
        <v>10969.322033898306</v>
      </c>
      <c r="O20" s="239">
        <f t="shared" si="4"/>
        <v>292.80798616949158</v>
      </c>
      <c r="P20" s="119">
        <f t="shared" si="5"/>
        <v>58854.405220067805</v>
      </c>
      <c r="Q20" s="321">
        <v>1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1998</v>
      </c>
      <c r="I21" s="236">
        <f t="shared" si="7"/>
        <v>145134.72</v>
      </c>
      <c r="J21" s="272">
        <f t="shared" si="1"/>
        <v>26124.249599999999</v>
      </c>
      <c r="K21" s="128">
        <f t="shared" si="1"/>
        <v>0</v>
      </c>
      <c r="L21" s="119">
        <f t="shared" si="1"/>
        <v>0</v>
      </c>
      <c r="M21" s="230">
        <f t="shared" si="2"/>
        <v>119010.47040000001</v>
      </c>
      <c r="N21" s="277">
        <f t="shared" si="3"/>
        <v>27430.169491525427</v>
      </c>
      <c r="O21" s="239">
        <f t="shared" si="4"/>
        <v>732.20319945762719</v>
      </c>
      <c r="P21" s="119">
        <f t="shared" si="5"/>
        <v>147172.84309098308</v>
      </c>
      <c r="Q21" s="321">
        <v>2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5593</v>
      </c>
      <c r="I25" s="114">
        <f t="shared" ref="I25:M25" si="10">SUM(I16:I24)</f>
        <v>374052.05249999999</v>
      </c>
      <c r="J25" s="274">
        <f>SUM(J16:J24)</f>
        <v>67329.369449999998</v>
      </c>
      <c r="K25" s="275">
        <f t="shared" si="10"/>
        <v>0</v>
      </c>
      <c r="L25" s="276">
        <f t="shared" si="10"/>
        <v>0</v>
      </c>
      <c r="M25" s="232">
        <f t="shared" si="10"/>
        <v>306722.68305000005</v>
      </c>
      <c r="N25" s="233">
        <f>SUM(N16:N24)</f>
        <v>70695</v>
      </c>
      <c r="O25" s="101">
        <f>SUM(O16:O24)</f>
        <v>1887.0884152500003</v>
      </c>
      <c r="P25" s="234">
        <f>SUM(P16:P24)</f>
        <v>379304.77146525</v>
      </c>
      <c r="Q25" s="239">
        <f>SUM(Q16:Q24)</f>
        <v>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374052.05249999999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67329.369449999998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306722.68304999999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70695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377417.68304999999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1887.08841525</v>
      </c>
    </row>
    <row r="35" spans="2:16" ht="15.75" customHeight="1" thickBot="1" x14ac:dyDescent="0.4">
      <c r="N35" s="375" t="s">
        <v>88</v>
      </c>
      <c r="O35" s="376"/>
      <c r="P35" s="297">
        <f>+P33+P34</f>
        <v>379304.77146525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46242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46241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46312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2026-10-17T05:03:42Z</dcterms:modified>
</cp:coreProperties>
</file>