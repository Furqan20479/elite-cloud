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5F4A323-3A42-4F07-8FC0-88CFF0F6409B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3" l="1"/>
  <c r="N4" i="70"/>
  <c r="N5" i="70" s="1"/>
  <c r="N4" i="58"/>
  <c r="N4" i="61"/>
  <c r="N5" i="61" s="1"/>
  <c r="N5" i="11"/>
  <c r="N4" i="51"/>
  <c r="N4" i="57"/>
  <c r="N4" i="55"/>
  <c r="N5" i="55" s="1"/>
  <c r="N4" i="64"/>
  <c r="N5" i="64" s="1"/>
  <c r="N4" i="45"/>
  <c r="N4" i="59"/>
  <c r="N4" i="68"/>
  <c r="N5" i="68" s="1"/>
  <c r="N4" i="50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<sst xmlns="http://schemas.openxmlformats.org/spreadsheetml/2006/main" count="3948" uniqueCount="524">
  <si>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</si>
  <si>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</si>
  <si>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</si>
  <si>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</si>
  <si>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</si>
  <si>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</si>
  <si>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</si>
  <si>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</si>
  <si>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</si>
  <si>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</si>
  <si>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</si>
  <si>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</si>
  <si>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</si>
  <si>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</si>
  <si>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</si>
  <si>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</si>
  <si>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</si>
  <si>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</si>
  <si>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</si>
  <si>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</si>
  <si>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</si>
  <si>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</si>
  <si>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</si>
  <si>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</si>
  <si>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</si>
  <si>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</si>
  <si>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</si>
  <si>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</si>
  <si>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</si>
  <si>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</si>
  <si>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</si>
  <si>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</si>
  <si>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</si>
  <si>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</si>
  <si>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</si>
  <si>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</si>
  <si>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</si>
  <si>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</si>
  <si>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</si>
  <si>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</si>
  <si>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</si>
  <si>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</si>
  <si>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</si>
  <si>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</si>
  <si>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</si>
  <si>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</si>
  <si>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</si>
  <si>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</si>
  <si>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</si>
  <si>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</si>
  <si>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</si>
  <si>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</si>
  <si>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</si>
  <si>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</si>
  <si>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</si>
  <si>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</si>
  <si>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</si>
  <si>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</si>
  <si>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</si>
  <si>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</si>
  <si>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</si>
  <si>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</si>
  <si>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</si>
  <si>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</si>
  <si>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</si>
  <si>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</si>
  <si>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</si>
  <si>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</si>
  <si>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</si>
  <si>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</si>
  <si>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</si>
  <si>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</si>
  <si>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</si>
  <si>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</si>
  <si>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</si>
  <si>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</si>
  <si>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</si>
  <si>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</si>
  <si>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</si>
  <si>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</si>
  <si>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</si>
  <si>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</si>
  <si>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</si>
  <si>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</si>
  <si>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</si>
  <si>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</si>
  <si>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</si>
  <si>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</si>
  <si>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</si>
  <si>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</si>
  <si>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</si>
  <si>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</si>
  <si>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</si>
  <si>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</si>
  <si>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</si>
  <si>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</si>
  <si>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</si>
  <si>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</si>
  <si>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</si>
  <si>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</si>
  <si>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</si>
  <si>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</si>
  <si>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</si>
  <si>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</si>
  <si>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</si>
  <si>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</si>
  <si>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</si>
  <si>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</si>
  <si>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</si>
  <si>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</si>
  <si>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</si>
  <si>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</si>
  <si>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</si>
  <si>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</si>
  <si>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</si>
  <si>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</si>
  <si>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</si>
  <si>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</si>
  <si>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</si>
  <si>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</si>
  <si>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</si>
  <si>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</si>
  <si>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</si>
  <si>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</si>
  <si>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</si>
  <si>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</si>
  <si>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</si>
  <si>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</si>
  <si>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</si>
  <si>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</si>
  <si>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</si>
  <si>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</si>
  <si>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</si>
  <si>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</si>
  <si>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</si>
  <si>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</si>
  <si>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</si>
  <si>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</si>
  <si>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</si>
  <si>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</si>
  <si>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</si>
  <si>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</si>
  <si>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</si>
  <si>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</si>
  <si>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</si>
  <si>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</si>
  <si>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</si>
  <si>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</si>
  <si>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</si>
  <si>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</si>
  <si>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</si>
  <si>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</si>
  <si>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</si>
  <si>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</si>
  <si>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</si>
  <si>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</si>
  <si>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</si>
  <si>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</si>
  <si>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</si>
  <si>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</si>
  <si>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</si>
  <si>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</si>
  <si>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</si>
  <si>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</si>
  <si>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</si>
  <si>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</si>
  <si>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</si>
  <si>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</si>
  <si>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</si>
  <si>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</si>
  <si>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</si>
  <si>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</si>
  <si>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</si>
  <si>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</si>
  <si>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</si>
  <si>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</si>
  <si>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</si>
  <si>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</si>
  <si>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</si>
  <si>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</si>
  <si>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</si>
  <si>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</si>
  <si>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</si>
  <si>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</si>
  <si>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</si>
  <si>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</si>
  <si>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</si>
  <si>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</si>
  <si>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</si>
  <si>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</si>
  <si>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</si>
  <si>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</si>
  <si>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</si>
  <si>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</si>
  <si>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</si>
  <si>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</si>
  <si>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</si>
  <si>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</si>
  <si>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</si>
  <si>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</si>
  <si>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</si>
  <si>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</si>
  <si>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</si>
  <si>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</si>
  <si>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</si>
  <si>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</si>
  <si>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</si>
  <si>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</si>
  <si>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</si>
  <si>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</si>
  <si>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</si>
  <si>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</si>
  <si>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</si>
  <si>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</si>
  <si>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</si>
  <si>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</si>
  <si>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</si>
  <si>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</si>
  <si>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</si>
  <si>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</si>
  <si>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</si>
  <si>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</si>
  <si>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</si>
  <si>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</si>
  <si>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</si>
  <si>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</si>
  <si>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</si>
  <si>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</si>
  <si>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</si>
  <si>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</si>
  <si>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</si>
  <si>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</si>
  <si>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</si>
  <si>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</si>
  <si>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</si>
  <si>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</si>
  <si>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</si>
  <si>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</si>
  <si>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</si>
  <si>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</si>
  <si>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</si>
  <si>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</si>
  <si>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</si>
  <si>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</si>
  <si>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</si>
  <si>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</si>
  <si>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</si>
  <si>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</si>
  <si>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</si>
  <si>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</si>
  <si>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</si>
  <si>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</si>
  <si>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</si>
  <si>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</si>
  <si>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</si>
  <si>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</si>
  <si>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</si>
  <si>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</si>
  <si>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</si>
  <si>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</si>
  <si>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</si>
  <si>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</si>
  <si>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</si>
  <si>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</si>
  <si>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</si>
  <si>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</si>
  <si>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</si>
  <si>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</si>
  <si>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</si>
  <si>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</si>
  <si>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</si>
  <si>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</si>
  <si>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</si>
  <si>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</si>
  <si>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</si>
  <si>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</si>
  <si>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</si>
  <si>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</si>
  <si>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</si>
  <si>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</si>
  <si>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</si>
  <si>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</si>
  <si>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</si>
  <si>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</si>
  <si>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</si>
  <si>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</si>
  <si>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</si>
  <si>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</si>
  <si>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</si>
  <si>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</si>
  <si>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</si>
  <si>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</si>
  <si>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</si>
  <si>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</si>
  <si>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</si>
  <si>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</si>
  <si>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</si>
  <si>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</si>
  <si>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</si>
  <si>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</si>
  <si>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</si>
  <si>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</si>
  <si>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</si>
  <si>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</si>
  <si>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</si>
  <si>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</si>
  <si>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</si>
  <si>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</si>
  <si>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</si>
  <si>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</si>
  <si>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</si>
  <si>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</si>
  <si>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</si>
  <si>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</si>
  <si>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</si>
  <si>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</si>
  <si>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</si>
  <si>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</si>
  <si>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</si>
  <si>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</si>
  <si>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</si>
  <si>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</si>
  <si>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</si>
  <si>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</si>
  <si>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</si>
  <si>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</si>
  <si>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</si>
  <si>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</si>
  <si>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</si>
  <si>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</si>
  <si>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</si>
  <si>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</si>
  <si>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</si>
  <si>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</si>
  <si>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</si>
  <si>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</si>
  <si>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</si>
  <si>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</si>
  <si>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</si>
  <si>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</si>
  <si>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</si>
  <si>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</si>
  <si>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</si>
  <si>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</si>
  <si>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</si>
  <si>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</si>
  <si>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</si>
  <si>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</si>
  <si>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</si>
  <si>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</si>
  <si>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</si>
  <si>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</si>
  <si>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</si>
  <si>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</si>
  <si>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</si>
  <si>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</si>
  <si>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</si>
  <si>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</si>
  <si>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</si>
  <si>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</si>
  <si>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</si>
  <si>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</si>
  <si>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</si>
  <si>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</si>
  <si>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</si>
  <si>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</si>
  <si>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</si>
  <si>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</si>
  <si>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</si>
  <si>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</si>
  <si>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</si>
  <si>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</si>
  <si>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</si>
  <si>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</si>
  <si>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</si>
  <si>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</si>
  <si>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</si>
  <si>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</si>
  <si>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</si>
  <si>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</si>
  <si>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</si>
  <si>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</si>
  <si>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</si>
  <si>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</si>
  <si>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</si>
  <si>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</si>
  <si>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</si>
  <si>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</si>
  <si>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</si>
  <si>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</si>
  <si>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</si>
  <si>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</si>
  <si>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</si>
  <si>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</si>
  <si>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</si>
  <si>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</si>
  <si>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</si>
  <si>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</si>
  <si>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</si>
  <si>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</si>
  <si>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</si>
  <si>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</si>
  <si>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</si>
  <si>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</si>
  <si>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</si>
  <si>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</si>
  <si>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</si>
  <si>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</si>
  <si>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</si>
  <si>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</si>
  <si>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</si>
  <si>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</si>
  <si>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</si>
  <si>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</si>
  <si>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</si>
  <si>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</si>
  <si>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</si>
  <si>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</si>
  <si>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</si>
  <si>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</si>
  <si>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</si>
  <si>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</si>
  <si>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</si>
  <si>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</si>
  <si>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</si>
  <si>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</si>
  <si>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</si>
  <si>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</si>
  <si>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</si>
  <si>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</si>
  <si>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</si>
  <si>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</si>
  <si>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</si>
  <si>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</si>
  <si>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</si>
  <si>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</si>
  <si>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</si>
  <si>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</si>
  <si>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</si>
  <si>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</si>
  <si>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</si>
  <si>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</si>
  <si>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</si>
  <si>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</si>
  <si>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</si>
  <si>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</si>
  <si>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</si>
  <si>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</si>
  <si>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</si>
  <si>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</si>
  <si>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</si>
  <si>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</si>
  <si>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</si>
  <si>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</si>
  <si>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</si>
  <si>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</si>
  <si>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</si>
  <si>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</si>
  <si>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</si>
  <si>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</si>
  <si>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</si>
  <si>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</si>
  <si>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</si>
  <si>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</si>
  <si>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</si>
  <si>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</si>
  <si>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</si>
  <si>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</si>
  <si>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</si>
  <si>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</si>
  <si>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</si>
  <si>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</si>
  <si>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</si>
  <si>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</si>
  <si>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</si>
  <si>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</si>
  <si>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</si>
  <si>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</si>
  <si>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</si>
  <si>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</si>
  <si>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</si>
  <si>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</si>
  <si>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</si>
  <si>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</si>
  <si>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</si>
  <si>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</si>
  <si>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</si>
  <si>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</si>
  <si>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</si>
  <si>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</si>
  <si>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</si>
  <si>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</si>
  <si>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</si>
  <si>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</si>
  <si>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</si>
  <si>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</si>
  <si>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</si>
  <si>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</si>
  <si>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</si>
  <si>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</si>
  <si>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</si>
  <si>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</si>
  <si>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</si>
  <si>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</si>
  <si>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</si>
  <si>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</si>
  <si>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</si>
  <si>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</si>
  <si>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</si>
  <si>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</si>
  <si>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</si>
  <si>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</si>
  <si>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</si>
  <si>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</si>
  <si>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</si>
  <si>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Bin Saeed Store</t>
  </si>
  <si>
    <t>Address: Ghaziaabad</t>
  </si>
  <si>
    <t>Bhatti Store</t>
  </si>
  <si>
    <t>Address: Dogach Bazar</t>
  </si>
  <si>
    <t>Ashiq Store</t>
  </si>
  <si>
    <t xml:space="preserve">Address: Dogach </t>
  </si>
  <si>
    <t>Sohail Store</t>
  </si>
  <si>
    <t>Hikma Store</t>
  </si>
  <si>
    <t xml:space="preserve">Address: Askari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</si>
</sst>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9" workbookViewId="0">
      <selection activeCell="H38" sqref="H3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Bin Saeed Store</v>
      </c>
      <c r="T3" s="301">
        <f>+'1'!P35</f>
        <v>940.86347552542372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Bhatti Store</v>
      </c>
      <c r="T4" s="301">
        <f>+'2'!P35</f>
        <v>810.1894751885593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Ashiq Store</v>
      </c>
      <c r="T5" s="301">
        <f>+'3'!P35</f>
        <v>3136.2115850847458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Sohail Store</v>
      </c>
      <c r="T6" s="301">
        <f>+'4'!P35</f>
        <v>1411.2952132881355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Hikma Store</v>
      </c>
      <c r="T7" s="301">
        <f>+'5'!P35</f>
        <v>3136.2115850847458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6</v>
      </c>
      <c r="I9" s="236">
        <f t="shared" si="0"/>
        <v>314.77499999999998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25.181999999999999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11.017125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278.575875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59.491525423728788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1.6903370021186439</v>
      </c>
      <c r="P9" s="311">
        <f t="shared" si="2"/>
        <v>339.75773742584744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60</v>
      </c>
      <c r="I10" s="236">
        <f t="shared" si="0"/>
        <v>4358.3999999999996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348.67200000000003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152.54400000000001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3857.1839999999997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823.72881355932213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23.404564067796613</v>
      </c>
      <c r="P10" s="311">
        <f t="shared" si="2"/>
        <v>4704.3173776271187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20</v>
      </c>
      <c r="I11" s="236">
        <f t="shared" si="0"/>
        <v>1452.8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116.22400000000002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1285.7279999999998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274.57627118644069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7.8015213559322039</v>
      </c>
      <c r="P11" s="311">
        <f t="shared" si="2"/>
        <v>1568.1057925423727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36</v>
      </c>
      <c r="I12" s="236">
        <f t="shared" si="0"/>
        <v>2615.04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209.20320000000001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91.52640000000001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2314.3103999999998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494.2372881355933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14.042738440677969</v>
      </c>
      <c r="P12" s="311">
        <f t="shared" si="2"/>
        <v>2822.5904265762711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3.05</v>
      </c>
      <c r="H16" s="113">
        <f t="shared" ref="H16:M16" si="3">SUM(H7:H15)</f>
        <v>122</v>
      </c>
      <c r="I16" s="114">
        <f t="shared" si="3"/>
        <v>8741.0149999999994</v>
      </c>
      <c r="J16" s="274">
        <f>SUM(J7:J15)</f>
        <v>699.28120000000013</v>
      </c>
      <c r="K16" s="275">
        <f t="shared" si="3"/>
        <v>305.93552500000004</v>
      </c>
      <c r="L16" s="276">
        <f t="shared" si="3"/>
        <v>0</v>
      </c>
      <c r="M16" s="232">
        <f t="shared" si="3"/>
        <v>7735.7982749999992</v>
      </c>
      <c r="N16" s="233">
        <f>SUM(N7:N15)</f>
        <v>1652.0338983050851</v>
      </c>
      <c r="O16" s="101">
        <f>SUM(O7:O15)</f>
        <v>46.939160866525427</v>
      </c>
      <c r="P16" s="113">
        <f>SUM(P7:P15)</f>
        <v>9434.7713341716099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8741.0149999999994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699.28120000000013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305.93552500000004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7735.7982749999992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1652.0338983050851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9387.8321733050834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46.939160866525427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9434.771334171608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9434.7713341716117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7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7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7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871.68000000000006</v>
      </c>
      <c r="J25" s="274">
        <f>SUM(J16:J24)</f>
        <v>69.734400000000008</v>
      </c>
      <c r="K25" s="275">
        <f t="shared" si="10"/>
        <v>30.508800000000001</v>
      </c>
      <c r="L25" s="276">
        <f t="shared" si="10"/>
        <v>0</v>
      </c>
      <c r="M25" s="232">
        <f t="shared" si="10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6</v>
      </c>
      <c r="I18" s="236">
        <f t="shared" si="0"/>
        <v>314.77499999999998</v>
      </c>
      <c r="J18" s="272">
        <f t="shared" si="1"/>
        <v>25.181999999999999</v>
      </c>
      <c r="K18" s="128">
        <f t="shared" si="1"/>
        <v>11.017125</v>
      </c>
      <c r="L18" s="119">
        <f t="shared" si="1"/>
        <v>0</v>
      </c>
      <c r="M18" s="230">
        <f t="shared" si="2"/>
        <v>278.575875</v>
      </c>
      <c r="N18" s="277">
        <f t="shared" si="3"/>
        <v>59.491525423728788</v>
      </c>
      <c r="O18" s="239">
        <f t="shared" si="4"/>
        <v>1.6903370021186439</v>
      </c>
      <c r="P18" s="119">
        <f t="shared" si="5"/>
        <v>339.75773742584744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750.61500000000001</v>
      </c>
      <c r="J25" s="274">
        <f>SUM(J16:J24)</f>
        <v>60.049199999999999</v>
      </c>
      <c r="K25" s="275">
        <f t="shared" si="7"/>
        <v>26.271525000000004</v>
      </c>
      <c r="L25" s="276">
        <f t="shared" si="7"/>
        <v>0</v>
      </c>
      <c r="M25" s="232">
        <f t="shared" si="7"/>
        <v>664.29427499999997</v>
      </c>
      <c r="N25" s="233">
        <f>SUM(N16:N24)</f>
        <v>141.86440677966101</v>
      </c>
      <c r="O25" s="101">
        <f>SUM(O16:O24)</f>
        <v>4.0307934088983046</v>
      </c>
      <c r="P25" s="234">
        <f>SUM(P16:P24)</f>
        <v>810.1894751885593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750.61500000000001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60.049199999999999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26.271525000000004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664.29427499999997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141.86440677966101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806.15868177966104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4.0307934088983055</v>
      </c>
    </row>
    <row r="35" spans="2:16" ht="15.75" customHeight="1" thickBot="1" x14ac:dyDescent="0.4">
      <c r="N35" s="345" t="s">
        <v>88</v>
      </c>
      <c r="O35" s="346"/>
      <c r="P35" s="297">
        <f>+P33+P34</f>
        <v>810.1894751885593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520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119">
        <f t="shared" si="5"/>
        <v>470.43173776271186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6</v>
      </c>
      <c r="I20" s="236">
        <f t="shared" si="0"/>
        <v>435.84000000000003</v>
      </c>
      <c r="J20" s="272">
        <f t="shared" si="1"/>
        <v>34.867200000000004</v>
      </c>
      <c r="K20" s="128">
        <f t="shared" si="1"/>
        <v>15.254400000000002</v>
      </c>
      <c r="L20" s="119">
        <f t="shared" si="1"/>
        <v>0</v>
      </c>
      <c r="M20" s="230">
        <f t="shared" si="2"/>
        <v>385.71840000000003</v>
      </c>
      <c r="N20" s="277">
        <f t="shared" si="3"/>
        <v>82.372881355932208</v>
      </c>
      <c r="O20" s="239">
        <f t="shared" si="4"/>
        <v>2.3404564067796612</v>
      </c>
      <c r="P20" s="119">
        <f t="shared" si="5"/>
        <v>470.43173776271186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119">
        <f t="shared" si="5"/>
        <v>470.43173776271186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18</v>
      </c>
      <c r="I25" s="114">
        <f t="shared" si="7"/>
        <v>1307.52</v>
      </c>
      <c r="J25" s="274">
        <f>SUM(J16:J24)</f>
        <v>104.60160000000002</v>
      </c>
      <c r="K25" s="275">
        <f t="shared" si="7"/>
        <v>45.763200000000005</v>
      </c>
      <c r="L25" s="276">
        <f t="shared" si="7"/>
        <v>0</v>
      </c>
      <c r="M25" s="232">
        <f t="shared" si="7"/>
        <v>1157.1552000000001</v>
      </c>
      <c r="N25" s="233">
        <f>SUM(N16:N24)</f>
        <v>247.11864406779662</v>
      </c>
      <c r="O25" s="101">
        <f>SUM(O16:O24)</f>
        <v>7.0213692203389835</v>
      </c>
      <c r="P25" s="234">
        <f>SUM(P16:P24)</f>
        <v>1411.2952132881355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1307.52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104.60160000000002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45.763200000000005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1157.1551999999999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247.11864406779662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1404.2738440677965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7.0213692203389826</v>
      </c>
    </row>
    <row r="35" spans="2:16" ht="15.75" customHeight="1" thickBot="1" x14ac:dyDescent="0.4">
      <c r="N35" s="345" t="s">
        <v>88</v>
      </c>
      <c r="O35" s="346"/>
      <c r="P35" s="297">
        <f>+P33+P34</f>
        <v>1411.2952132881355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46311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46310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2026-10-15T06:03:43Z</dcterms:modified>
</cp:coreProperties>
</file>