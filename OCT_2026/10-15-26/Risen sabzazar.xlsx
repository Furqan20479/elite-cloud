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7C59FB-3E32-48BC-A541-F34A3C45DDE4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M20" i="43" s="1"/>
  <c r="O20" i="43" s="1"/>
  <c r="P20" i="43" s="1"/>
  <c r="R20" i="43" s="1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<sst xmlns="http://schemas.openxmlformats.org/spreadsheetml/2006/main" count="3950" uniqueCount="521">
  <si>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</si>
  <si>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</si>
  <si>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</si>
  <si>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</si>
  <si>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</si>
  <si>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</si>
  <si>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</si>
  <si>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</si>
  <si>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</si>
  <si>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</si>
  <si>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</si>
  <si>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</si>
  <si>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</si>
  <si>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</si>
  <si>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</si>
  <si>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</si>
  <si>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</si>
  <si>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</si>
  <si>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</si>
  <si>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</si>
  <si>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</si>
  <si>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</si>
  <si>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</si>
  <si>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</si>
  <si>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</si>
  <si>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</si>
  <si>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</si>
  <si>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</si>
  <si>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</si>
  <si>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</si>
  <si>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</si>
  <si>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</si>
  <si>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</si>
  <si>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</si>
  <si>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</si>
  <si>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</si>
  <si>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</si>
  <si>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</si>
  <si>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</si>
  <si>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</si>
  <si>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</si>
  <si>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</si>
  <si>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</si>
  <si>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</si>
  <si>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</si>
  <si>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</si>
  <si>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</si>
  <si>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</si>
  <si>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</si>
  <si>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</si>
  <si>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</si>
  <si>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</si>
  <si>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</si>
  <si>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</si>
  <si>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</si>
  <si>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</si>
  <si>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</si>
  <si>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</si>
  <si>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</si>
  <si>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</si>
  <si>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</si>
  <si>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</si>
  <si>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</si>
  <si>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</si>
  <si>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</si>
  <si>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</si>
  <si>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</si>
  <si>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</si>
  <si>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</si>
  <si>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</si>
  <si>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</si>
  <si>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</si>
  <si>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</si>
  <si>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</si>
  <si>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</si>
  <si>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</si>
  <si>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</si>
  <si>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</si>
  <si>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</si>
  <si>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</si>
  <si>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</si>
  <si>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</si>
  <si>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</si>
  <si>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</si>
  <si>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</si>
  <si>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</si>
  <si>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</si>
  <si>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</si>
  <si>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</si>
  <si>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</si>
  <si>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</si>
  <si>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</si>
  <si>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</si>
  <si>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</si>
  <si>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</si>
  <si>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</si>
  <si>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</si>
  <si>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</si>
  <si>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</si>
  <si>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</si>
  <si>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</si>
  <si>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</si>
  <si>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</si>
  <si>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</si>
  <si>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</si>
  <si>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</si>
  <si>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</si>
  <si>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</si>
  <si>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</si>
  <si>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</si>
  <si>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</si>
  <si>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</si>
  <si>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</si>
  <si>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</si>
  <si>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</si>
  <si>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</si>
  <si>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</si>
  <si>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</si>
  <si>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</si>
  <si>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</si>
  <si>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</si>
  <si>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</si>
  <si>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</si>
  <si>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</si>
  <si>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</si>
  <si>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</si>
  <si>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</si>
  <si>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</si>
  <si>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</si>
  <si>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</si>
  <si>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</si>
  <si>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</si>
  <si>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</si>
  <si>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</si>
  <si>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</si>
  <si>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</si>
  <si>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</si>
  <si>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</si>
  <si>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</si>
  <si>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</si>
  <si>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</si>
  <si>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</si>
  <si>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</si>
  <si>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</si>
  <si>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</si>
  <si>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</si>
  <si>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</si>
  <si>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</si>
  <si>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</si>
  <si>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</si>
  <si>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</si>
  <si>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</si>
  <si>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</si>
  <si>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</si>
  <si>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</si>
  <si>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</si>
  <si>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</si>
  <si>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</si>
  <si>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</si>
  <si>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</si>
  <si>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</si>
  <si>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</si>
  <si>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</si>
  <si>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</si>
  <si>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</si>
  <si>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</si>
  <si>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</si>
  <si>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</si>
  <si>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</si>
  <si>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</si>
  <si>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</si>
  <si>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</si>
  <si>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</si>
  <si>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</si>
  <si>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</si>
  <si>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</si>
  <si>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</si>
  <si>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</si>
  <si>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</si>
  <si>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</si>
  <si>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</si>
  <si>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</si>
  <si>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</si>
  <si>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</si>
  <si>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</si>
  <si>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</si>
  <si>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</si>
  <si>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</si>
  <si>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</si>
  <si>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</si>
  <si>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</si>
  <si>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</si>
  <si>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</si>
  <si>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</si>
  <si>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</si>
  <si>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</si>
  <si>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</si>
  <si>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</si>
  <si>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</si>
  <si>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</si>
  <si>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</si>
  <si>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</si>
  <si>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</si>
  <si>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</si>
  <si>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</si>
  <si>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</si>
  <si>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</si>
  <si>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</si>
  <si>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</si>
  <si>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</si>
  <si>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</si>
  <si>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</si>
  <si>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</si>
  <si>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</si>
  <si>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</si>
  <si>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</si>
  <si>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</si>
  <si>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</si>
  <si>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</si>
  <si>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</si>
  <si>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</si>
  <si>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</si>
  <si>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</si>
  <si>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</si>
  <si>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</si>
  <si>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</si>
  <si>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</si>
  <si>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</si>
  <si>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</si>
  <si>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</si>
  <si>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</si>
  <si>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</si>
  <si>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</si>
  <si>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</si>
  <si>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</si>
  <si>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</si>
  <si>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</si>
  <si>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</si>
  <si>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</si>
  <si>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</si>
  <si>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</si>
  <si>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</si>
  <si>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</si>
  <si>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</si>
  <si>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</si>
  <si>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</si>
  <si>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</si>
  <si>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</si>
  <si>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</si>
  <si>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</si>
  <si>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</si>
  <si>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</si>
  <si>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</si>
  <si>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</si>
  <si>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</si>
  <si>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</si>
  <si>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</si>
  <si>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</si>
  <si>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</si>
  <si>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</si>
  <si>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</si>
  <si>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</si>
  <si>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</si>
  <si>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</si>
  <si>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</si>
  <si>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</si>
  <si>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</si>
  <si>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</si>
  <si>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</si>
  <si>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</si>
  <si>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</si>
  <si>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</si>
  <si>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</si>
  <si>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</si>
  <si>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</si>
  <si>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</si>
  <si>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</si>
  <si>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</si>
  <si>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</si>
  <si>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</si>
  <si>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</si>
  <si>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</si>
  <si>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</si>
  <si>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</si>
  <si>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</si>
  <si>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</si>
  <si>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</si>
  <si>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</si>
  <si>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</si>
  <si>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</si>
  <si>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</si>
  <si>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</si>
  <si>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</si>
  <si>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</si>
  <si>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</si>
  <si>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</si>
  <si>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</si>
  <si>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</si>
  <si>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</si>
  <si>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</si>
  <si>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</si>
  <si>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</si>
  <si>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</si>
  <si>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</si>
  <si>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</si>
  <si>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</si>
  <si>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</si>
  <si>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</si>
  <si>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</si>
  <si>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</si>
  <si>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</si>
  <si>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</si>
  <si>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</si>
  <si>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</si>
  <si>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</si>
  <si>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</si>
  <si>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</si>
  <si>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</si>
  <si>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</si>
  <si>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</si>
  <si>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</si>
  <si>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</si>
  <si>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</si>
  <si>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</si>
  <si>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</si>
  <si>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</si>
  <si>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</si>
  <si>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</si>
  <si>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</si>
  <si>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</si>
  <si>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</si>
  <si>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</si>
  <si>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</si>
  <si>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</si>
  <si>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</si>
  <si>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</si>
  <si>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</si>
  <si>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</si>
  <si>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</si>
  <si>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</si>
  <si>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</si>
  <si>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</si>
  <si>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</si>
  <si>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</si>
  <si>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</si>
  <si>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</si>
  <si>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</si>
  <si>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</si>
  <si>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</si>
  <si>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</si>
  <si>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</si>
  <si>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</si>
  <si>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</si>
  <si>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</si>
  <si>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</si>
  <si>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</si>
  <si>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</si>
  <si>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</si>
  <si>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</si>
  <si>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</si>
  <si>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</si>
  <si>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</si>
  <si>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</si>
  <si>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</si>
  <si>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</si>
  <si>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</si>
  <si>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</si>
  <si>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</si>
  <si>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</si>
  <si>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</si>
  <si>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</si>
  <si>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</si>
  <si>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</si>
  <si>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</si>
  <si>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</si>
  <si>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</si>
  <si>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</si>
  <si>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</si>
  <si>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</si>
  <si>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</si>
  <si>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</si>
  <si>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</si>
  <si>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</si>
  <si>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</si>
  <si>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</si>
  <si>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</si>
  <si>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</si>
  <si>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</si>
  <si>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</si>
  <si>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</si>
  <si>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</si>
  <si>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</si>
  <si>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</si>
  <si>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</si>
  <si>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</si>
  <si>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</si>
  <si>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</si>
  <si>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</si>
  <si>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</si>
  <si>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</si>
  <si>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</si>
  <si>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</si>
  <si>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</si>
  <si>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</si>
  <si>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</si>
  <si>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</si>
  <si>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</si>
  <si>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</si>
  <si>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</si>
  <si>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</si>
  <si>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</si>
  <si>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</si>
  <si>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</si>
  <si>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</si>
  <si>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</si>
  <si>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</si>
  <si>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</si>
  <si>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</si>
  <si>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</si>
  <si>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</si>
  <si>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</si>
  <si>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</si>
  <si>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</si>
  <si>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</si>
  <si>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</si>
  <si>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</si>
  <si>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</si>
  <si>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</si>
  <si>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</si>
  <si>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</si>
  <si>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</si>
  <si>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</si>
  <si>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</si>
  <si>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</si>
  <si>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</si>
  <si>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</si>
  <si>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</si>
  <si>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</si>
  <si>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</si>
  <si>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</si>
  <si>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</si>
  <si>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</si>
  <si>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</si>
  <si>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</si>
  <si>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</si>
  <si>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</si>
  <si>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</si>
  <si>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</si>
  <si>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</si>
  <si>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</si>
  <si>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</si>
  <si>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</si>
  <si>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</si>
  <si>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</si>
  <si>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</si>
  <si>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</si>
  <si>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</si>
  <si>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</si>
  <si>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</si>
  <si>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</si>
  <si>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</si>
  <si>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</si>
  <si>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</si>
  <si>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</si>
  <si>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</si>
  <si>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</si>
  <si>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</si>
  <si>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</si>
  <si>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</si>
  <si>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</si>
  <si>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</si>
  <si>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</si>
  <si>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</si>
  <si>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</si>
  <si>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</si>
  <si>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</si>
  <si>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</si>
  <si>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</si>
  <si>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</si>
  <si>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</si>
  <si>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</si>
  <si>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</si>
  <si>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</si>
  <si>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</si>
  <si>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</si>
  <si>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</si>
  <si>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</si>
  <si>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</si>
  <si>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</si>
  <si>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</si>
  <si>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</si>
  <si>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</si>
  <si>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</si>
  <si>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</si>
  <si>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</si>
  <si>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</si>
  <si>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</si>
  <si>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</si>
  <si>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</si>
  <si>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</si>
  <si>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</si>
  <si>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</si>
  <si>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</si>
  <si>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</si>
  <si>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</si>
  <si>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</si>
  <si>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</si>
  <si>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</si>
  <si>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</si>
  <si>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</si>
  <si>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</si>
  <si>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</si>
  <si>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</si>
  <si>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</si>
  <si>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</si>
  <si>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</si>
  <si>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</si>
  <si>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</si>
  <si>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</si>
  <si>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Fatehgher</t>
  </si>
  <si>
    <t>Invoice No # :00111564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</si>
</sst>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46310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Rafaqat Sons 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11844.015620338982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3661.0560000000005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915.26400000000012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21574.080000000002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4942.3728813559319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132.58226440677964</v>
      </c>
      <c r="P11" s="311">
        <f t="shared" si="2"/>
        <v>26649.035145762715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29</v>
      </c>
      <c r="H16" s="113">
        <f t="shared" ref="H16:M16" si="3">SUM(H7:H15)</f>
        <v>1160</v>
      </c>
      <c r="I16" s="114">
        <f t="shared" si="3"/>
        <v>76191.399999999994</v>
      </c>
      <c r="J16" s="274">
        <f>SUM(J7:J15)</f>
        <v>10666.796</v>
      </c>
      <c r="K16" s="275">
        <f t="shared" si="3"/>
        <v>2666.6990000000001</v>
      </c>
      <c r="L16" s="276">
        <f t="shared" si="3"/>
        <v>0</v>
      </c>
      <c r="M16" s="232">
        <f t="shared" si="3"/>
        <v>62857.904999999999</v>
      </c>
      <c r="N16" s="233">
        <f>SUM(N7:N15)</f>
        <v>14399.999999999998</v>
      </c>
      <c r="O16" s="101">
        <f>SUM(O7:O15)</f>
        <v>386.28952499999997</v>
      </c>
      <c r="P16" s="113">
        <f>SUM(P7:P15)</f>
        <v>77644.194525000014</v>
      </c>
      <c r="Q16" s="128">
        <f>SUM(Q7:Q15)</f>
        <v>0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76191.399999999994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10666.796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2666.6990000000001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62857.904999999992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14399.999999999998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77257.904999999984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386.28952499999997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77644.194524999984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77644.194524999984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D26" sqref="D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113">
        <f>SUM(P16:P24)</f>
        <v>65800.178904661021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64569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9039.6600000000017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2259.9150000000004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53269.424999999996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65472.814830508469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73" t="s">
        <v>88</v>
      </c>
      <c r="O35" s="374"/>
      <c r="P35" s="297">
        <f>+P33+P34</f>
        <v>65800.178904661007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311">
        <f t="shared" si="5"/>
        <v>11844.015620338982</v>
      </c>
      <c r="Q20" s="156"/>
      <c r="R20">
        <f>P20/21</f>
        <v>564.00074382566584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1627.1360000000002</v>
      </c>
      <c r="K25" s="275">
        <f t="shared" si="7"/>
        <v>406.78400000000005</v>
      </c>
      <c r="L25" s="276">
        <f t="shared" si="7"/>
        <v>0</v>
      </c>
      <c r="M25" s="232">
        <f t="shared" si="7"/>
        <v>9588.48</v>
      </c>
      <c r="N25" s="233">
        <f>SUM(N16:N24)</f>
        <v>2196.6101694915255</v>
      </c>
      <c r="O25" s="101">
        <f>SUM(O16:O24)</f>
        <v>58.925450847457626</v>
      </c>
      <c r="P25" s="113">
        <f>SUM(P16:P24)</f>
        <v>11844.015620338982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11622.4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1627.1360000000002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406.78400000000005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9588.48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11785.090169491525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58.925450847457626</v>
      </c>
    </row>
    <row r="35" spans="2:16" ht="15.75" customHeight="1" thickBot="1" x14ac:dyDescent="0.4">
      <c r="N35" s="373" t="s">
        <v>88</v>
      </c>
      <c r="O35" s="374"/>
      <c r="P35" s="297">
        <f>+P33+P34</f>
        <v>11844.015620338982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46311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46310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2026-10-15T07:17:25Z</dcterms:modified>
</cp:coreProperties>
</file>