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67D5B08-973D-42D9-A1DA-E5BA69061089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3" l="1"/>
  <c r="N4" i="70"/>
  <c r="N5" i="70" s="1"/>
  <c r="N4" i="58"/>
  <c r="N4" i="61"/>
  <c r="N5" i="61" s="1"/>
  <c r="N5" i="11"/>
  <c r="N4" i="51"/>
  <c r="N4" i="57"/>
  <c r="N4" i="55"/>
  <c r="N5" i="55" s="1"/>
  <c r="N4" i="64"/>
  <c r="N5" i="64" s="1"/>
  <c r="N4" i="45"/>
  <c r="N4" i="59"/>
  <c r="N4" i="68"/>
  <c r="N5" i="68" s="1"/>
  <c r="N4" i="50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<sst xmlns="http://schemas.openxmlformats.org/spreadsheetml/2006/main" count="3918" uniqueCount="517">
  <si>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</si>
  <si>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</si>
  <si>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</si>
  <si>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</si>
  <si>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</si>
  <si>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</si>
  <si>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</si>
  <si>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</si>
  <si>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</si>
  <si>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</si>
  <si>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</si>
  <si>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</si>
  <si>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</si>
  <si>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</si>
  <si>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</si>
  <si>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</si>
  <si>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</si>
  <si>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</si>
  <si>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</si>
  <si>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</si>
  <si>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</si>
  <si>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</si>
  <si>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</si>
  <si>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</si>
  <si>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</si>
  <si>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</si>
  <si>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</si>
  <si>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</si>
  <si>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</si>
  <si>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</si>
  <si>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</si>
  <si>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</si>
  <si>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</si>
  <si>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</si>
  <si>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</si>
  <si>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</si>
  <si>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</si>
  <si>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</si>
  <si>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</si>
  <si>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</si>
  <si>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</si>
  <si>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</si>
  <si>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</si>
  <si>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</si>
  <si>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</si>
  <si>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</si>
  <si>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</si>
  <si>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</si>
  <si>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</si>
  <si>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</si>
  <si>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</si>
  <si>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</si>
  <si>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</si>
  <si>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</si>
  <si>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</si>
  <si>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</si>
  <si>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</si>
  <si>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</si>
  <si>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</si>
  <si>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</si>
  <si>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</si>
  <si>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</si>
  <si>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</si>
  <si>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</si>
  <si>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</si>
  <si>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</si>
  <si>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</si>
  <si>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</si>
  <si>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</si>
  <si>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</si>
  <si>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</si>
  <si>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</si>
  <si>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</si>
  <si>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</si>
  <si>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</si>
  <si>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</si>
  <si>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</si>
  <si>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</si>
  <si>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</si>
  <si>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</si>
  <si>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</si>
  <si>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</si>
  <si>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</si>
  <si>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</si>
  <si>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</si>
  <si>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</si>
  <si>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</si>
  <si>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</si>
  <si>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</si>
  <si>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</si>
  <si>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</si>
  <si>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</si>
  <si>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</si>
  <si>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</si>
  <si>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</si>
  <si>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</si>
  <si>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</si>
  <si>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</si>
  <si>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</si>
  <si>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</si>
  <si>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</si>
  <si>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</si>
  <si>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</si>
  <si>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</si>
  <si>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</si>
  <si>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</si>
  <si>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</si>
  <si>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</si>
  <si>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</si>
  <si>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</si>
  <si>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</si>
  <si>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</si>
  <si>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</si>
  <si>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</si>
  <si>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</si>
  <si>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</si>
  <si>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</si>
  <si>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</si>
  <si>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</si>
  <si>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</si>
  <si>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</si>
  <si>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</si>
  <si>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</si>
  <si>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</si>
  <si>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</si>
  <si>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</si>
  <si>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</si>
  <si>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</si>
  <si>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</si>
  <si>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</si>
  <si>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</si>
  <si>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</si>
  <si>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</si>
  <si>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</si>
  <si>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</si>
  <si>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</si>
  <si>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</si>
  <si>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</si>
  <si>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</si>
  <si>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</si>
  <si>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</si>
  <si>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</si>
  <si>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</si>
  <si>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</si>
  <si>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</si>
  <si>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</si>
  <si>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</si>
  <si>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</si>
  <si>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</si>
  <si>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</si>
  <si>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</si>
  <si>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</si>
  <si>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</si>
  <si>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</si>
  <si>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</si>
  <si>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</si>
  <si>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</si>
  <si>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</si>
  <si>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</si>
  <si>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</si>
  <si>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</si>
  <si>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</si>
  <si>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</si>
  <si>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</si>
  <si>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</si>
  <si>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</si>
  <si>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</si>
  <si>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</si>
  <si>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</si>
  <si>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</si>
  <si>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</si>
  <si>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</si>
  <si>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</si>
  <si>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</si>
  <si>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</si>
  <si>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</si>
  <si>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</si>
  <si>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</si>
  <si>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</si>
  <si>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</si>
  <si>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</si>
  <si>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</si>
  <si>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</si>
  <si>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</si>
  <si>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</si>
  <si>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</si>
  <si>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</si>
  <si>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</si>
  <si>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</si>
  <si>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</si>
  <si>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</si>
  <si>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</si>
  <si>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</si>
  <si>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</si>
  <si>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</si>
  <si>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</si>
  <si>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</si>
  <si>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</si>
  <si>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</si>
  <si>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</si>
  <si>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</si>
  <si>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</si>
  <si>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</si>
  <si>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</si>
  <si>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</si>
  <si>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</si>
  <si>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</si>
  <si>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</si>
  <si>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</si>
  <si>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</si>
  <si>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</si>
  <si>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</si>
  <si>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</si>
  <si>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</si>
  <si>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</si>
  <si>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</si>
  <si>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</si>
  <si>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</si>
  <si>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</si>
  <si>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</si>
  <si>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</si>
  <si>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</si>
  <si>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</si>
  <si>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</si>
  <si>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</si>
  <si>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</si>
  <si>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</si>
  <si>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</si>
  <si>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</si>
  <si>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</si>
  <si>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</si>
  <si>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</si>
  <si>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</si>
  <si>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</si>
  <si>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</si>
  <si>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</si>
  <si>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</si>
  <si>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</si>
  <si>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</si>
  <si>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</si>
  <si>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</si>
  <si>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</si>
  <si>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</si>
  <si>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</si>
  <si>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</si>
  <si>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</si>
  <si>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</si>
  <si>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</si>
  <si>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</si>
  <si>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</si>
  <si>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</si>
  <si>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</si>
  <si>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</si>
  <si>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</si>
  <si>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</si>
  <si>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</si>
  <si>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</si>
  <si>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</si>
  <si>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</si>
  <si>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</si>
  <si>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</si>
  <si>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</si>
  <si>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</si>
  <si>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</si>
  <si>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</si>
  <si>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</si>
  <si>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</si>
  <si>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</si>
  <si>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</si>
  <si>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</si>
  <si>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</si>
  <si>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</si>
  <si>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</si>
  <si>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</si>
  <si>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</si>
  <si>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</si>
  <si>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</si>
  <si>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</si>
  <si>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</si>
  <si>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</si>
  <si>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</si>
  <si>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</si>
  <si>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</si>
  <si>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</si>
  <si>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</si>
  <si>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</si>
  <si>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</si>
  <si>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</si>
  <si>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</si>
  <si>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</si>
  <si>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</si>
  <si>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</si>
  <si>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</si>
  <si>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</si>
  <si>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</si>
  <si>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</si>
  <si>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</si>
  <si>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</si>
  <si>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</si>
  <si>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</si>
  <si>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</si>
  <si>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</si>
  <si>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</si>
  <si>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</si>
  <si>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</si>
  <si>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</si>
  <si>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</si>
  <si>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</si>
  <si>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</si>
  <si>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</si>
  <si>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</si>
  <si>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</si>
  <si>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</si>
  <si>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</si>
  <si>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</si>
  <si>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</si>
  <si>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</si>
  <si>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</si>
  <si>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</si>
  <si>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</si>
  <si>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</si>
  <si>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</si>
  <si>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</si>
  <si>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</si>
  <si>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</si>
  <si>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</si>
  <si>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</si>
  <si>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</si>
  <si>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</si>
  <si>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</si>
  <si>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</si>
  <si>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</si>
  <si>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</si>
  <si>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</si>
  <si>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</si>
  <si>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</si>
  <si>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</si>
  <si>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</si>
  <si>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</si>
  <si>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</si>
  <si>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</si>
  <si>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</si>
  <si>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</si>
  <si>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</si>
  <si>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</si>
  <si>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</si>
  <si>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</si>
  <si>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</si>
  <si>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</si>
  <si>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</si>
  <si>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</si>
  <si>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</si>
  <si>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</si>
  <si>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</si>
  <si>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</si>
  <si>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</si>
  <si>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</si>
  <si>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</si>
  <si>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</si>
  <si>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</si>
  <si>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</si>
  <si>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</si>
  <si>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</si>
  <si>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</si>
  <si>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</si>
  <si>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</si>
  <si>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</si>
  <si>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</si>
  <si>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</si>
  <si>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</si>
  <si>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</si>
  <si>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</si>
  <si>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</si>
  <si>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</si>
  <si>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</si>
  <si>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</si>
  <si>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</si>
  <si>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</si>
  <si>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</si>
  <si>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</si>
  <si>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</si>
  <si>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</si>
  <si>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</si>
  <si>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</si>
  <si>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</si>
  <si>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</si>
  <si>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</si>
  <si>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</si>
  <si>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</si>
  <si>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</si>
  <si>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</si>
  <si>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</si>
  <si>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</si>
  <si>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</si>
  <si>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</si>
  <si>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</si>
  <si>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</si>
  <si>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</si>
  <si>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</si>
  <si>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</si>
  <si>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</si>
  <si>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</si>
  <si>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</si>
  <si>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</si>
  <si>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</si>
  <si>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</si>
  <si>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</si>
  <si>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</si>
  <si>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</si>
  <si>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</si>
  <si>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</si>
  <si>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</si>
  <si>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</si>
  <si>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</si>
  <si>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</si>
  <si>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</si>
  <si>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</si>
  <si>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</si>
  <si>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</si>
  <si>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</si>
  <si>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</si>
  <si>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</si>
  <si>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</si>
  <si>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</si>
  <si>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</si>
  <si>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</si>
  <si>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</si>
  <si>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</si>
  <si>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</si>
  <si>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</si>
  <si>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</si>
  <si>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</si>
  <si>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</si>
  <si>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</si>
  <si>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</si>
  <si>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</si>
  <si>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</si>
  <si>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</si>
  <si>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</si>
  <si>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</si>
  <si>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</si>
  <si>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</si>
  <si>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</si>
  <si>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</si>
  <si>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</si>
  <si>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</si>
  <si>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</si>
  <si>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</si>
  <si>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</si>
  <si>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</si>
  <si>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</si>
  <si>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</si>
  <si>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</si>
  <si>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</si>
  <si>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</si>
  <si>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</si>
  <si>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</si>
  <si>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</si>
  <si>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</si>
  <si>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</si>
  <si>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</si>
  <si>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</si>
  <si>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</si>
  <si>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</si>
  <si>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</si>
  <si>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</si>
  <si>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</si>
  <si>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</si>
  <si>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</si>
  <si>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</si>
  <si>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</si>
  <si>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</si>
  <si>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</si>
  <si>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</si>
  <si>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</si>
  <si>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</si>
  <si>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</si>
  <si>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</si>
  <si>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</si>
  <si>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</si>
  <si>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</si>
  <si>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</si>
  <si>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</si>
  <si>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</si>
  <si>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</si>
  <si>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</si>
  <si>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</si>
  <si>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</si>
  <si>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</si>
  <si>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</si>
  <si>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</si>
  <si>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</si>
  <si>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</si>
  <si>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</si>
  <si>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</si>
  <si>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</si>
  <si>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</si>
  <si>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</si>
  <si>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</si>
  <si>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</si>
  <si>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</si>
  <si>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</si>
  <si>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</si>
  <si>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</si>
  <si>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</si>
  <si>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</si>
  <si>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</si>
  <si>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</si>
  <si>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</si>
  <si>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</si>
  <si>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</si>
  <si>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</si>
  <si>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Booker</t>
  </si>
  <si>
    <t xml:space="preserve">MS Ajwa Cash  &amp; Carry </t>
  </si>
  <si>
    <t>NTN #: K196439-5</t>
  </si>
  <si>
    <t xml:space="preserve">Address: Canal Garden 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</si>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</sst>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MS Ajwa Cash  &amp; Carry 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MS Ajwa Cash  &amp; Carry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MS Ajwa Cash  &amp; Carry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MS Ajwa Cash  &amp; Carry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MS Ajwa Cash  &amp;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MS Ajwa Cash  &amp; Carry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MS Ajwa Cash  &amp; Carry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MS Ajwa Cash  &amp; Carry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MS Ajwa Cash  &amp; Carry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MS Ajwa Cash  &amp; Carry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MS Ajwa Cash  &amp; Carry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MS Ajwa Cash  &amp; Carry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MS Ajwa Cash  &amp; Carry 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525.43050000000005</v>
      </c>
      <c r="L16" s="276">
        <f t="shared" si="3"/>
        <v>0</v>
      </c>
      <c r="M16" s="232">
        <f t="shared" si="3"/>
        <v>12985.639500000001</v>
      </c>
      <c r="N16" s="233">
        <f>SUM(N7:N15)</f>
        <v>2837.2881355932195</v>
      </c>
      <c r="O16" s="101">
        <f>SUM(O7:O15)</f>
        <v>79.1146381779661</v>
      </c>
      <c r="P16" s="113">
        <f>SUM(P7:P15)</f>
        <v>15902.042273771183</v>
      </c>
      <c r="Q16" s="128">
        <f>SUM(Q7:Q15)</f>
        <v>0</v>
      </c>
      <c r="R16" s="313">
        <v>14</v>
      </c>
      <c r="S16" s="315" t="str">
        <f>+'14'!A6:A6</f>
        <v xml:space="preserve">MS Ajwa Cash  &amp; Carry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MS Ajwa Cash  &amp; Carry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MS Ajwa Cash  &amp; Carry 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15012.300000000001</v>
      </c>
      <c r="R19" s="299">
        <v>17</v>
      </c>
      <c r="S19" s="300" t="str">
        <f>+'17'!A6:A6</f>
        <v xml:space="preserve">MS Ajwa Cash  &amp; Carry 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1501.23</v>
      </c>
      <c r="R20" s="299">
        <v>18</v>
      </c>
      <c r="S20" s="300" t="str">
        <f>+'18'!A6:A6</f>
        <v xml:space="preserve">MS Ajwa Cash  &amp; Carry 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525.43050000000005</v>
      </c>
      <c r="R21" s="299">
        <v>19</v>
      </c>
      <c r="S21" s="300" t="str">
        <f>+'19'!A6:A6</f>
        <v xml:space="preserve">MS Ajwa Cash  &amp; Carry 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12985.639500000001</v>
      </c>
      <c r="R22" s="299">
        <v>20</v>
      </c>
      <c r="S22" s="300" t="str">
        <f>+'20'!A6:A6</f>
        <v xml:space="preserve">MS Ajwa Cash  &amp; Carry 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MS Ajwa Cash  &amp; Carry 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15822.92763559322</v>
      </c>
      <c r="R24" s="299">
        <v>22</v>
      </c>
      <c r="S24" s="300" t="str">
        <f>+'22'!A6:A6</f>
        <v xml:space="preserve">MS Ajwa Cash  &amp; Carry 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79.1146381779661</v>
      </c>
      <c r="R25" s="299">
        <v>23</v>
      </c>
      <c r="S25" s="300" t="str">
        <f>+'23'!A6:A6</f>
        <v xml:space="preserve">MS Ajwa Cash  &amp; Carry 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15902.042273771185</v>
      </c>
      <c r="R26" s="299">
        <v>24</v>
      </c>
      <c r="S26" s="300" t="str">
        <f>+'24'!A6:A6</f>
        <v xml:space="preserve">MS Ajwa Cash  &amp; Carry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 xml:space="preserve">MS Ajwa Cash  &amp; Carry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MS Ajwa Cash  &amp; Carry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MS Ajwa Cash  &amp; Carry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MS Ajwa Cash  &amp; Carry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MS Ajwa Cash  &amp; Carry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MS Ajwa Cash  &amp; Carry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15902.042273771185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234">
        <f>SUM(P16:P24)</f>
        <v>15902.042273771183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1501.23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12985.639500000001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15822.92763559322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74" t="s">
        <v>88</v>
      </c>
      <c r="O35" s="375"/>
      <c r="P35" s="297">
        <f>+P33+P34</f>
        <v>15902.042273771185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2026-10-15T07:31:01Z</dcterms:modified>
</cp:coreProperties>
</file>