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BA1AEB-D644-471F-8A04-CF4E008D095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<sst xmlns="http://schemas.openxmlformats.org/spreadsheetml/2006/main" count="3948" uniqueCount="523">
  <si>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</si>
  <si>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</si>
  <si>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</si>
  <si>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</si>
  <si>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</si>
  <si>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</si>
  <si>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</si>
  <si>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</si>
  <si>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</si>
  <si>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</si>
  <si>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</si>
  <si>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</si>
  <si>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</si>
  <si>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</si>
  <si>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</si>
  <si>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</si>
  <si>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</si>
  <si>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</si>
  <si>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</si>
  <si>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</si>
  <si>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</si>
  <si>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</si>
  <si>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</si>
  <si>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</si>
  <si>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</si>
  <si>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</si>
  <si>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</si>
  <si>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</si>
  <si>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</si>
  <si>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</si>
  <si>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</si>
  <si>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</si>
  <si>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</si>
  <si>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</si>
  <si>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</si>
  <si>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</si>
  <si>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</si>
  <si>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</si>
  <si>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</si>
  <si>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</si>
  <si>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</si>
  <si>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</si>
  <si>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</si>
  <si>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</si>
  <si>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</si>
  <si>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</si>
  <si>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</si>
  <si>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</si>
  <si>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</si>
  <si>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</si>
  <si>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</si>
  <si>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</si>
  <si>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</si>
  <si>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</si>
  <si>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</si>
  <si>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</si>
  <si>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</si>
  <si>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</si>
  <si>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</si>
  <si>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</si>
  <si>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</si>
  <si>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</si>
  <si>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</si>
  <si>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</si>
  <si>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</si>
  <si>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</si>
  <si>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</si>
  <si>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</si>
  <si>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</si>
  <si>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</si>
  <si>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</si>
  <si>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</si>
  <si>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</si>
  <si>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</si>
  <si>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</si>
  <si>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</si>
  <si>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</si>
  <si>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</si>
  <si>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</si>
  <si>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</si>
  <si>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</si>
  <si>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</si>
  <si>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</si>
  <si>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</si>
  <si>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</si>
  <si>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</si>
  <si>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</si>
  <si>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</si>
  <si>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</si>
  <si>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</si>
  <si>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</si>
  <si>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</si>
  <si>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</si>
  <si>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</si>
  <si>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</si>
  <si>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</si>
  <si>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</si>
  <si>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</si>
  <si>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</si>
  <si>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</si>
  <si>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</si>
  <si>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</si>
  <si>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</si>
  <si>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</si>
  <si>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</si>
  <si>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</si>
  <si>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</si>
  <si>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</si>
  <si>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</si>
  <si>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</si>
  <si>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</si>
  <si>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</si>
  <si>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</si>
  <si>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</si>
  <si>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</si>
  <si>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</si>
  <si>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</si>
  <si>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</si>
  <si>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</si>
  <si>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</si>
  <si>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</si>
  <si>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</si>
  <si>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</si>
  <si>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</si>
  <si>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</si>
  <si>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</si>
  <si>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</si>
  <si>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</si>
  <si>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</si>
  <si>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</si>
  <si>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</si>
  <si>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</si>
  <si>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</si>
  <si>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</si>
  <si>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</si>
  <si>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</si>
  <si>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</si>
  <si>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</si>
  <si>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</si>
  <si>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</si>
  <si>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</si>
  <si>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</si>
  <si>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</si>
  <si>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</si>
  <si>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</si>
  <si>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</si>
  <si>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</si>
  <si>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</si>
  <si>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</si>
  <si>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</si>
  <si>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</si>
  <si>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</si>
  <si>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</si>
  <si>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</si>
  <si>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</si>
  <si>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</si>
  <si>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</si>
  <si>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</si>
  <si>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</si>
  <si>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</si>
  <si>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</si>
  <si>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</si>
  <si>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</si>
  <si>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</si>
  <si>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</si>
  <si>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</si>
  <si>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</si>
  <si>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</si>
  <si>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</si>
  <si>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</si>
  <si>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</si>
  <si>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</si>
  <si>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</si>
  <si>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</si>
  <si>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</si>
  <si>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</si>
  <si>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</si>
  <si>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</si>
  <si>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</si>
  <si>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</si>
  <si>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</si>
  <si>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</si>
  <si>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</si>
  <si>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</si>
  <si>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</si>
  <si>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</si>
  <si>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</si>
  <si>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</si>
  <si>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</si>
  <si>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</si>
  <si>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</si>
  <si>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</si>
  <si>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</si>
  <si>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</si>
  <si>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</si>
  <si>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</si>
  <si>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</si>
  <si>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</si>
  <si>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</si>
  <si>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</si>
  <si>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</si>
  <si>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</si>
  <si>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</si>
  <si>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</si>
  <si>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</si>
  <si>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</si>
  <si>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</si>
  <si>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</si>
  <si>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</si>
  <si>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</si>
  <si>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</si>
  <si>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</si>
  <si>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</si>
  <si>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</si>
  <si>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</si>
  <si>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</si>
  <si>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</si>
  <si>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</si>
  <si>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</si>
  <si>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</si>
  <si>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</si>
  <si>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</si>
  <si>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</si>
  <si>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</si>
  <si>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</si>
  <si>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</si>
  <si>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</si>
  <si>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</si>
  <si>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</si>
  <si>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</si>
  <si>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</si>
  <si>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</si>
  <si>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</si>
  <si>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</si>
  <si>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</si>
  <si>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</si>
  <si>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</si>
  <si>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</si>
  <si>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</si>
  <si>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</si>
  <si>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</si>
  <si>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</si>
  <si>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</si>
  <si>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</si>
  <si>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</si>
  <si>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</si>
  <si>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</si>
  <si>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</si>
  <si>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</si>
  <si>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</si>
  <si>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</si>
  <si>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</si>
  <si>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</si>
  <si>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</si>
  <si>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</si>
  <si>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</si>
  <si>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</si>
  <si>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</si>
  <si>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</si>
  <si>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</si>
  <si>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</si>
  <si>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</si>
  <si>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</si>
  <si>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</si>
  <si>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</si>
  <si>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</si>
  <si>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</si>
  <si>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</si>
  <si>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</si>
  <si>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</si>
  <si>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</si>
  <si>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</si>
  <si>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</si>
  <si>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</si>
  <si>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</si>
  <si>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</si>
  <si>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</si>
  <si>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</si>
  <si>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</si>
  <si>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</si>
  <si>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</si>
  <si>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</si>
  <si>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</si>
  <si>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</si>
  <si>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</si>
  <si>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</si>
  <si>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</si>
  <si>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</si>
  <si>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</si>
  <si>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</si>
  <si>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</si>
  <si>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</si>
  <si>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</si>
  <si>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</si>
  <si>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</si>
  <si>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</si>
  <si>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</si>
  <si>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</si>
  <si>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</si>
  <si>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</si>
  <si>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</si>
  <si>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</si>
  <si>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</si>
  <si>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</si>
  <si>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</si>
  <si>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</si>
  <si>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</si>
  <si>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</si>
  <si>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</si>
  <si>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</si>
  <si>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</si>
  <si>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</si>
  <si>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</si>
  <si>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</si>
  <si>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</si>
  <si>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</si>
  <si>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</si>
  <si>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</si>
  <si>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</si>
  <si>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</si>
  <si>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</si>
  <si>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</si>
  <si>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</si>
  <si>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</si>
  <si>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</si>
  <si>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</si>
  <si>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</si>
  <si>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</si>
  <si>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</si>
  <si>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</si>
  <si>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</si>
  <si>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</si>
  <si>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</si>
  <si>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</si>
  <si>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</si>
  <si>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</si>
  <si>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</si>
  <si>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</si>
  <si>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</si>
  <si>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</si>
  <si>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</si>
  <si>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</si>
  <si>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</si>
  <si>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</si>
  <si>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</si>
  <si>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</si>
  <si>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</si>
  <si>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</si>
  <si>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</si>
  <si>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</si>
  <si>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</si>
  <si>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</si>
  <si>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</si>
  <si>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</si>
  <si>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</si>
  <si>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</si>
  <si>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</si>
  <si>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</si>
  <si>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</si>
  <si>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</si>
  <si>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</si>
  <si>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</si>
  <si>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</si>
  <si>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</si>
  <si>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</si>
  <si>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</si>
  <si>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</si>
  <si>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</si>
  <si>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</si>
  <si>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</si>
  <si>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</si>
  <si>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</si>
  <si>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</si>
  <si>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</si>
  <si>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</si>
  <si>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</si>
  <si>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</si>
  <si>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</si>
  <si>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</si>
  <si>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</si>
  <si>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</si>
  <si>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</si>
  <si>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</si>
  <si>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</si>
  <si>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</si>
  <si>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</si>
  <si>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</si>
  <si>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</si>
  <si>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</si>
  <si>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</si>
  <si>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</si>
  <si>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</si>
  <si>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</si>
  <si>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</si>
  <si>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</si>
  <si>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</si>
  <si>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</si>
  <si>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</si>
  <si>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</si>
  <si>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</si>
  <si>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</si>
  <si>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</si>
  <si>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</si>
  <si>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</si>
  <si>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</si>
  <si>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</si>
  <si>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</si>
  <si>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</si>
  <si>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</si>
  <si>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</si>
  <si>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</si>
  <si>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</si>
  <si>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</si>
  <si>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</si>
  <si>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</si>
  <si>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</si>
  <si>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</si>
  <si>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</si>
  <si>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</si>
  <si>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</si>
  <si>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</si>
  <si>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</si>
  <si>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</si>
  <si>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</si>
  <si>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</si>
  <si>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</si>
  <si>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</si>
  <si>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</si>
  <si>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</si>
  <si>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</si>
  <si>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</si>
  <si>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</si>
  <si>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</si>
  <si>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</si>
  <si>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</si>
  <si>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</si>
  <si>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</si>
  <si>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</si>
  <si>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</si>
  <si>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</si>
  <si>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</si>
  <si>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</si>
  <si>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</si>
  <si>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</si>
  <si>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</si>
  <si>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</si>
  <si>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</si>
  <si>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</si>
  <si>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</si>
  <si>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</si>
  <si>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</si>
  <si>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</si>
  <si>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</si>
  <si>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</si>
  <si>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</si>
  <si>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</si>
  <si>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</si>
  <si>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</si>
  <si>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</si>
  <si>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</si>
  <si>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</si>
  <si>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</si>
  <si>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</si>
  <si>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</si>
  <si>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</si>
  <si>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</si>
  <si>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</si>
  <si>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</si>
  <si>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</si>
  <si>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</si>
  <si>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</si>
  <si>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</si>
  <si>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</si>
  <si>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</si>
  <si>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</si>
  <si>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</si>
  <si>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</si>
  <si>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</si>
  <si>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</si>
  <si>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</si>
  <si>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</si>
  <si>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</si>
  <si>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</si>
  <si>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</si>
  <si>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</si>
  <si>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</si>
  <si>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</si>
  <si>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</si>
  <si>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</si>
  <si>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</si>
  <si>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</si>
  <si>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</si>
  <si>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</si>
  <si>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</si>
  <si>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</si>
  <si>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</si>
  <si>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</si>
  <si>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</si>
  <si>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</si>
  <si>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</si>
  <si>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</si>
  <si>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</si>
  <si>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</si>
  <si>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</si>
  <si>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</si>
  <si>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</si>
  <si>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</si>
  <si>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</si>
  <si>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</si>
  <si>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</si>
  <si>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</si>
  <si>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</si>
  <si>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</si>
  <si>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</si>
  <si>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</si>
  <si>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Allys Store</t>
  </si>
  <si>
    <t>Address:DHA</t>
  </si>
  <si>
    <t>Shahab Store</t>
  </si>
  <si>
    <t>MS Store</t>
  </si>
  <si>
    <t>Pakistan Store</t>
  </si>
  <si>
    <t xml:space="preserve">Bravo Mart </t>
  </si>
  <si>
    <t xml:space="preserve">Tariq Mart 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</si>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</sst>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6" sqref="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Allys Store</v>
      </c>
      <c r="T3" s="301">
        <f>+'1'!P35</f>
        <v>2918.4215845233057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Shahab Store</v>
      </c>
      <c r="T4" s="301">
        <f>+'2'!P35</f>
        <v>3048.6077450847456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MS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Pakistan Store</v>
      </c>
      <c r="T6" s="301">
        <f>+'4'!P35</f>
        <v>1019.2732122775423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 xml:space="preserve">Bravo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Tariq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</v>
      </c>
      <c r="I9" s="236">
        <f t="shared" si="0"/>
        <v>839.4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67.152000000000001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29.379000000000001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742.86899999999991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158.6440677966101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4.507565338983051</v>
      </c>
      <c r="P9" s="311">
        <f t="shared" si="2"/>
        <v>906.02063313559302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786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352.30399999999997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139.83199999999999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3503.0639999999999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21.29074372881356</v>
      </c>
      <c r="P10" s="311">
        <f t="shared" si="2"/>
        <v>4279.4394894915249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254.23999999999998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2549.6639999999998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15.494082711864408</v>
      </c>
      <c r="P11" s="311">
        <f t="shared" si="2"/>
        <v>3114.3106250847454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352.30399999999997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139.83199999999999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3503.0639999999999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21.29074372881356</v>
      </c>
      <c r="P12" s="311">
        <f t="shared" si="2"/>
        <v>4279.4394894915249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4.45</v>
      </c>
      <c r="H16" s="113">
        <f t="shared" ref="H16:M16" si="3">SUM(H7:H15)</f>
        <v>178</v>
      </c>
      <c r="I16" s="114">
        <f t="shared" si="3"/>
        <v>12364.95</v>
      </c>
      <c r="J16" s="274">
        <f>SUM(J7:J15)</f>
        <v>1076.364</v>
      </c>
      <c r="K16" s="275">
        <f t="shared" si="3"/>
        <v>432.77325000000002</v>
      </c>
      <c r="L16" s="276">
        <f t="shared" si="3"/>
        <v>0</v>
      </c>
      <c r="M16" s="232">
        <f t="shared" si="3"/>
        <v>10855.812749999999</v>
      </c>
      <c r="N16" s="233">
        <f>SUM(N7:N15)</f>
        <v>2336.9491525423728</v>
      </c>
      <c r="O16" s="101">
        <f>SUM(O7:O15)</f>
        <v>65.963809512711862</v>
      </c>
      <c r="P16" s="113">
        <f>SUM(P7:P15)</f>
        <v>13258.725712055082</v>
      </c>
      <c r="Q16" s="128">
        <f>SUM(Q7:Q15)</f>
        <v>120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12364.95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1076.364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432.77325000000002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10855.812750000001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2336.9491525423728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13192.761902542374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65.963809512711862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13258.725712055086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13258.725712055084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2703.8250000000003</v>
      </c>
      <c r="J25" s="274">
        <f>SUM(J16:J24)</f>
        <v>216.30599999999998</v>
      </c>
      <c r="K25" s="275">
        <f t="shared" si="10"/>
        <v>94.633875000000018</v>
      </c>
      <c r="L25" s="276">
        <f t="shared" si="10"/>
        <v>0</v>
      </c>
      <c r="M25" s="232">
        <f t="shared" si="10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2703.8250000000003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216.30599999999998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94.633875000000018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2392.8851250000002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2903.9020741525428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45" t="s">
        <v>88</v>
      </c>
      <c r="O35" s="346"/>
      <c r="P35" s="297">
        <f>+P33+P34</f>
        <v>2918.4215845233057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119.85599999999999</v>
      </c>
      <c r="K19" s="128">
        <f t="shared" si="1"/>
        <v>38.136000000000003</v>
      </c>
      <c r="L19" s="119">
        <f t="shared" si="1"/>
        <v>0</v>
      </c>
      <c r="M19" s="230">
        <f t="shared" si="2"/>
        <v>931.60799999999995</v>
      </c>
      <c r="N19" s="277">
        <f t="shared" si="3"/>
        <v>205.93220338983053</v>
      </c>
      <c r="O19" s="239">
        <f t="shared" si="4"/>
        <v>5.687701016949152</v>
      </c>
      <c r="P19" s="119">
        <f t="shared" si="5"/>
        <v>1143.2279044067795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79.903999999999996</v>
      </c>
      <c r="K20" s="128">
        <f t="shared" si="1"/>
        <v>25.424000000000003</v>
      </c>
      <c r="L20" s="119">
        <f t="shared" si="1"/>
        <v>0</v>
      </c>
      <c r="M20" s="230">
        <f t="shared" si="2"/>
        <v>621.072</v>
      </c>
      <c r="N20" s="277">
        <f t="shared" si="3"/>
        <v>137.28813559322035</v>
      </c>
      <c r="O20" s="239">
        <f t="shared" si="4"/>
        <v>3.7918006779661018</v>
      </c>
      <c r="P20" s="119">
        <f t="shared" si="5"/>
        <v>762.1519362711864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119.85599999999999</v>
      </c>
      <c r="K21" s="128">
        <f t="shared" si="1"/>
        <v>38.136000000000003</v>
      </c>
      <c r="L21" s="119">
        <f t="shared" si="1"/>
        <v>0</v>
      </c>
      <c r="M21" s="230">
        <f t="shared" si="2"/>
        <v>931.60799999999995</v>
      </c>
      <c r="N21" s="277">
        <f t="shared" si="3"/>
        <v>205.93220338983053</v>
      </c>
      <c r="O21" s="239">
        <f t="shared" si="4"/>
        <v>5.687701016949152</v>
      </c>
      <c r="P21" s="119">
        <f t="shared" si="5"/>
        <v>1143.2279044067795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319.61599999999999</v>
      </c>
      <c r="K25" s="275">
        <f t="shared" si="7"/>
        <v>101.696</v>
      </c>
      <c r="L25" s="276">
        <f t="shared" si="7"/>
        <v>0</v>
      </c>
      <c r="M25" s="232">
        <f t="shared" si="7"/>
        <v>2484.2879999999996</v>
      </c>
      <c r="N25" s="233">
        <f>SUM(N16:N24)</f>
        <v>549.15254237288138</v>
      </c>
      <c r="O25" s="101">
        <f>SUM(O16:O24)</f>
        <v>15.167202711864405</v>
      </c>
      <c r="P25" s="234">
        <f>SUM(P16:P24)</f>
        <v>3048.6077450847456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319.61599999999999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2484.288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3033.4405423728813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15.167202711864407</v>
      </c>
    </row>
    <row r="35" spans="2:16" ht="15.75" customHeight="1" thickBot="1" x14ac:dyDescent="0.4">
      <c r="N35" s="345" t="s">
        <v>88</v>
      </c>
      <c r="O35" s="346"/>
      <c r="P35" s="297">
        <f>+P33+P34</f>
        <v>3048.6077450847456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0" sqref="H19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2026-10-16T12:45:21Z</dcterms:modified>
</cp:coreProperties>
</file>