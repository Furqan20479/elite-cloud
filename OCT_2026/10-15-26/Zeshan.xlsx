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9092392-33FB-4538-BC02-7641B1F28B3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<sst xmlns="http://schemas.openxmlformats.org/spreadsheetml/2006/main" count="3948" uniqueCount="523">
  <si>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</si>
  <si>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</si>
  <si>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</si>
  <si>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</si>
  <si>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</si>
  <si>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</si>
  <si>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</si>
  <si>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</si>
  <si>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</si>
  <si>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</si>
  <si>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</si>
  <si>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</si>
  <si>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</si>
  <si>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</si>
  <si>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</si>
  <si>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</si>
  <si>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</si>
  <si>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</si>
  <si>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</si>
  <si>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</si>
  <si>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</si>
  <si>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</si>
  <si>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</si>
  <si>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</si>
  <si>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</si>
  <si>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</si>
  <si>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</si>
  <si>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</si>
  <si>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</si>
  <si>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</si>
  <si>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</si>
  <si>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</si>
  <si>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</si>
  <si>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</si>
  <si>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</si>
  <si>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</si>
  <si>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</si>
  <si>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</si>
  <si>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</si>
  <si>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</si>
  <si>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</si>
  <si>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</si>
  <si>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</si>
  <si>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</si>
  <si>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</si>
  <si>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</si>
  <si>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</si>
  <si>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</si>
  <si>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</si>
  <si>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</si>
  <si>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</si>
  <si>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</si>
  <si>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</si>
  <si>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</si>
  <si>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</si>
  <si>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</si>
  <si>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</si>
  <si>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</si>
  <si>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</si>
  <si>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</si>
  <si>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</si>
  <si>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</si>
  <si>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</si>
  <si>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</si>
  <si>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</si>
  <si>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</si>
  <si>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</si>
  <si>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</si>
  <si>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</si>
  <si>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</si>
  <si>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</si>
  <si>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</si>
  <si>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</si>
  <si>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</si>
  <si>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</si>
  <si>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</si>
  <si>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</si>
  <si>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</si>
  <si>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</si>
  <si>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</si>
  <si>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</si>
  <si>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</si>
  <si>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</si>
  <si>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</si>
  <si>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</si>
  <si>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</si>
  <si>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</si>
  <si>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</si>
  <si>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</si>
  <si>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</si>
  <si>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</si>
  <si>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</si>
  <si>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</si>
  <si>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</si>
  <si>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</si>
  <si>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</si>
  <si>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</si>
  <si>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</si>
  <si>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</si>
  <si>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</si>
  <si>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</si>
  <si>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</si>
  <si>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</si>
  <si>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</si>
  <si>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</si>
  <si>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</si>
  <si>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</si>
  <si>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</si>
  <si>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</si>
  <si>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</si>
  <si>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</si>
  <si>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</si>
  <si>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</si>
  <si>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</si>
  <si>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</si>
  <si>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</si>
  <si>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</si>
  <si>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</si>
  <si>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</si>
  <si>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</si>
  <si>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</si>
  <si>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</si>
  <si>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</si>
  <si>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</si>
  <si>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</si>
  <si>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</si>
  <si>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</si>
  <si>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</si>
  <si>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</si>
  <si>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</si>
  <si>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</si>
  <si>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</si>
  <si>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</si>
  <si>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</si>
  <si>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</si>
  <si>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</si>
  <si>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</si>
  <si>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</si>
  <si>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</si>
  <si>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</si>
  <si>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</si>
  <si>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</si>
  <si>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</si>
  <si>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</si>
  <si>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</si>
  <si>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</si>
  <si>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</si>
  <si>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</si>
  <si>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</si>
  <si>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</si>
  <si>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</si>
  <si>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</si>
  <si>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</si>
  <si>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</si>
  <si>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</si>
  <si>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</si>
  <si>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</si>
  <si>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</si>
  <si>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</si>
  <si>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</si>
  <si>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</si>
  <si>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</si>
  <si>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</si>
  <si>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</si>
  <si>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</si>
  <si>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</si>
  <si>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</si>
  <si>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</si>
  <si>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</si>
  <si>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</si>
  <si>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</si>
  <si>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</si>
  <si>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</si>
  <si>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</si>
  <si>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</si>
  <si>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</si>
  <si>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</si>
  <si>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</si>
  <si>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</si>
  <si>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</si>
  <si>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</si>
  <si>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</si>
  <si>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</si>
  <si>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</si>
  <si>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</si>
  <si>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</si>
  <si>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</si>
  <si>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</si>
  <si>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</si>
  <si>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</si>
  <si>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</si>
  <si>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</si>
  <si>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</si>
  <si>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</si>
  <si>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</si>
  <si>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</si>
  <si>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</si>
  <si>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</si>
  <si>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</si>
  <si>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</si>
  <si>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</si>
  <si>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</si>
  <si>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</si>
  <si>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</si>
  <si>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</si>
  <si>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</si>
  <si>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</si>
  <si>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</si>
  <si>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</si>
  <si>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</si>
  <si>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</si>
  <si>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</si>
  <si>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</si>
  <si>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</si>
  <si>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</si>
  <si>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</si>
  <si>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</si>
  <si>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</si>
  <si>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</si>
  <si>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</si>
  <si>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</si>
  <si>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</si>
  <si>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</si>
  <si>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</si>
  <si>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</si>
  <si>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</si>
  <si>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</si>
  <si>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</si>
  <si>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</si>
  <si>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</si>
  <si>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</si>
  <si>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</si>
  <si>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</si>
  <si>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</si>
  <si>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</si>
  <si>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</si>
  <si>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</si>
  <si>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</si>
  <si>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</si>
  <si>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</si>
  <si>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</si>
  <si>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</si>
  <si>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</si>
  <si>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</si>
  <si>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</si>
  <si>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</si>
  <si>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</si>
  <si>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</si>
  <si>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</si>
  <si>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</si>
  <si>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</si>
  <si>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</si>
  <si>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</si>
  <si>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</si>
  <si>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</si>
  <si>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</si>
  <si>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</si>
  <si>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</si>
  <si>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</si>
  <si>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</si>
  <si>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</si>
  <si>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</si>
  <si>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</si>
  <si>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</si>
  <si>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</si>
  <si>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</si>
  <si>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</si>
  <si>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</si>
  <si>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</si>
  <si>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</si>
  <si>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</si>
  <si>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</si>
  <si>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</si>
  <si>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</si>
  <si>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</si>
  <si>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</si>
  <si>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</si>
  <si>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</si>
  <si>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</si>
  <si>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</si>
  <si>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</si>
  <si>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</si>
  <si>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</si>
  <si>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</si>
  <si>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</si>
  <si>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</si>
  <si>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</si>
  <si>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</si>
  <si>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</si>
  <si>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</si>
  <si>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</si>
  <si>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</si>
  <si>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</si>
  <si>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</si>
  <si>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</si>
  <si>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</si>
  <si>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</si>
  <si>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</si>
  <si>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</si>
  <si>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</si>
  <si>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</si>
  <si>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</si>
  <si>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</si>
  <si>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</si>
  <si>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</si>
  <si>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</si>
  <si>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</si>
  <si>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</si>
  <si>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</si>
  <si>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</si>
  <si>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</si>
  <si>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</si>
  <si>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</si>
  <si>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</si>
  <si>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</si>
  <si>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</si>
  <si>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</si>
  <si>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</si>
  <si>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</si>
  <si>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</si>
  <si>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</si>
  <si>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</si>
  <si>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</si>
  <si>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</si>
  <si>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</si>
  <si>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</si>
  <si>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</si>
  <si>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</si>
  <si>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</si>
  <si>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</si>
  <si>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</si>
  <si>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</si>
  <si>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</si>
  <si>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</si>
  <si>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</si>
  <si>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</si>
  <si>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</si>
  <si>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</si>
  <si>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</si>
  <si>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</si>
  <si>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</si>
  <si>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</si>
  <si>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</si>
  <si>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</si>
  <si>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</si>
  <si>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</si>
  <si>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</si>
  <si>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</si>
  <si>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</si>
  <si>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</si>
  <si>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</si>
  <si>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</si>
  <si>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</si>
  <si>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</si>
  <si>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</si>
  <si>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</si>
  <si>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</si>
  <si>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</si>
  <si>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</si>
  <si>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</si>
  <si>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</si>
  <si>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</si>
  <si>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</si>
  <si>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</si>
  <si>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</si>
  <si>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</si>
  <si>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</si>
  <si>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</si>
  <si>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</si>
  <si>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</si>
  <si>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</si>
  <si>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</si>
  <si>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</si>
  <si>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</si>
  <si>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</si>
  <si>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</si>
  <si>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</si>
  <si>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</si>
  <si>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</si>
  <si>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</si>
  <si>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</si>
  <si>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</si>
  <si>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</si>
  <si>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</si>
  <si>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</si>
  <si>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</si>
  <si>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</si>
  <si>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</si>
  <si>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</si>
  <si>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</si>
  <si>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</si>
  <si>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</si>
  <si>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</si>
  <si>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</si>
  <si>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</si>
  <si>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</si>
  <si>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</si>
  <si>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</si>
  <si>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</si>
  <si>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</si>
  <si>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</si>
  <si>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</si>
  <si>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</si>
  <si>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</si>
  <si>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</si>
  <si>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</si>
  <si>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</si>
  <si>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</si>
  <si>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</si>
  <si>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</si>
  <si>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</si>
  <si>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</si>
  <si>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</si>
  <si>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</si>
  <si>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</si>
  <si>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</si>
  <si>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</si>
  <si>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</si>
  <si>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</si>
  <si>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</si>
  <si>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</si>
  <si>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</si>
  <si>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</si>
  <si>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</si>
  <si>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</si>
  <si>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</si>
  <si>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</si>
  <si>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</si>
  <si>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</si>
  <si>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</si>
  <si>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</si>
  <si>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</si>
  <si>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</si>
  <si>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</si>
  <si>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</si>
  <si>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</si>
  <si>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</si>
  <si>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</si>
  <si>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</si>
  <si>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</si>
  <si>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</si>
  <si>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</si>
  <si>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</si>
  <si>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</si>
  <si>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</si>
  <si>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</si>
  <si>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</si>
  <si>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</si>
  <si>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</si>
  <si>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</si>
  <si>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</si>
  <si>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</si>
  <si>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</si>
  <si>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</si>
  <si>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</si>
  <si>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</si>
  <si>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</si>
  <si>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</si>
  <si>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</si>
  <si>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</si>
  <si>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</si>
  <si>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</si>
  <si>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</si>
  <si>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</si>
  <si>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</si>
  <si>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</si>
  <si>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</si>
  <si>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</si>
  <si>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</si>
  <si>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</si>
  <si>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</si>
  <si>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</si>
  <si>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</si>
  <si>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</si>
  <si>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</si>
  <si>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</si>
  <si>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</si>
  <si>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</si>
  <si>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</si>
  <si>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</si>
  <si>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</si>
  <si>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</si>
  <si>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</si>
  <si>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</si>
  <si>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</si>
  <si>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</si>
  <si>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</si>
  <si>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</si>
  <si>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</si>
  <si>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</si>
  <si>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</si>
  <si>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</si>
  <si>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</si>
  <si>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</si>
  <si>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</si>
  <si>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</si>
  <si>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</si>
  <si>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</si>
  <si>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</si>
  <si>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</si>
  <si>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</si>
  <si>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</si>
  <si>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</si>
  <si>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</si>
  <si>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</si>
  <si>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</si>
  <si>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</si>
  <si>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</si>
  <si>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</si>
  <si>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</si>
  <si>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</si>
  <si>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</si>
  <si>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</si>
  <si>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</si>
  <si>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</si>
  <si>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Allys Store</t>
  </si>
  <si>
    <t>Address:DHA</t>
  </si>
  <si>
    <t>Shahab Store</t>
  </si>
  <si>
    <t>MS Store</t>
  </si>
  <si>
    <t>Pakistan Store</t>
  </si>
  <si>
    <t xml:space="preserve">Bravo Mart </t>
  </si>
  <si>
    <t xml:space="preserve">Tariq Mart 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</si>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</sst>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Allys Store</v>
      </c>
      <c r="T3" s="301">
        <f>+'1'!P35</f>
        <v>2918.4215845233057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Shahab Store</v>
      </c>
      <c r="T4" s="301">
        <f>+'2'!P35</f>
        <v>3048.6077450847456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MS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Pakistan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21</v>
      </c>
      <c r="I7" s="235">
        <f>(G7*D7)*F7+H7*F7</f>
        <v>1101.7124999999999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111.745125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38.559937500000004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951.40743749999979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208.22033898305074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5.7981388824152535</v>
      </c>
      <c r="P7" s="310">
        <f>M7+N7+O7</f>
        <v>1165.4259153654659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Bravo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82.890749999999997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727.13024999999993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4.4288715889830508</v>
      </c>
      <c r="P8" s="311">
        <f t="shared" ref="P8:P15" si="2">M8+N8+O8</f>
        <v>890.20318938559308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Tariq Mart </v>
      </c>
      <c r="T8" s="301">
        <f>+'6'!P35</f>
        <v>5250.3895529237288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31</v>
      </c>
      <c r="I9" s="236">
        <f t="shared" si="0"/>
        <v>1626.3374999999999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153.715125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56.921812500000001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1415.7005624999999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307.37288135593207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8.615367219279662</v>
      </c>
      <c r="P9" s="311">
        <f t="shared" si="2"/>
        <v>1731.6888110752118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786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588.38400000000001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5720.4000000000005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34.779966101694917</v>
      </c>
      <c r="P10" s="311">
        <f t="shared" si="2"/>
        <v>6990.7731864406787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450.36799999999999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4456.4639999999999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27.087404745762711</v>
      </c>
      <c r="P11" s="311">
        <f t="shared" si="2"/>
        <v>5444.5683538983048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472.15999999999997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177.96799999999999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4434.6720000000005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26.978444745762712</v>
      </c>
      <c r="P12" s="311">
        <f t="shared" si="2"/>
        <v>5422.6673938983049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7.45</v>
      </c>
      <c r="H16" s="113">
        <f t="shared" ref="H16:M16" si="3">SUM(H7:H15)</f>
        <v>298</v>
      </c>
      <c r="I16" s="114">
        <f t="shared" si="3"/>
        <v>20274.649999999998</v>
      </c>
      <c r="J16" s="274">
        <f>SUM(J7:J15)</f>
        <v>1859.2629999999999</v>
      </c>
      <c r="K16" s="275">
        <f t="shared" si="3"/>
        <v>709.61275000000001</v>
      </c>
      <c r="L16" s="276">
        <f t="shared" si="3"/>
        <v>0</v>
      </c>
      <c r="M16" s="232">
        <f t="shared" si="3"/>
        <v>17705.774250000002</v>
      </c>
      <c r="N16" s="233">
        <f>SUM(N7:N15)</f>
        <v>3831.8644067796608</v>
      </c>
      <c r="O16" s="101">
        <f>SUM(O7:O15)</f>
        <v>107.68819328389831</v>
      </c>
      <c r="P16" s="113">
        <f>SUM(P7:P15)</f>
        <v>21645.32685006356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20274.649999999998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1859.2629999999999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709.61275000000001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17705.774249999999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3831.8644067796608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21537.638656779658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107.68819328389831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21645.326850063557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21645.32685006356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2703.8250000000003</v>
      </c>
      <c r="J25" s="274">
        <f>SUM(J16:J24)</f>
        <v>216.30599999999998</v>
      </c>
      <c r="K25" s="275">
        <f t="shared" si="10"/>
        <v>94.633875000000018</v>
      </c>
      <c r="L25" s="276">
        <f t="shared" si="10"/>
        <v>0</v>
      </c>
      <c r="M25" s="232">
        <f t="shared" si="10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2703.8250000000003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216.30599999999998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94.633875000000018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2392.8851250000002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2903.9020741525428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45" t="s">
        <v>88</v>
      </c>
      <c r="O35" s="346"/>
      <c r="P35" s="297">
        <f>+P33+P34</f>
        <v>2918.4215845233057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119.85599999999999</v>
      </c>
      <c r="K19" s="128">
        <f t="shared" si="1"/>
        <v>38.136000000000003</v>
      </c>
      <c r="L19" s="119">
        <f t="shared" si="1"/>
        <v>0</v>
      </c>
      <c r="M19" s="230">
        <f t="shared" si="2"/>
        <v>931.60799999999995</v>
      </c>
      <c r="N19" s="277">
        <f t="shared" si="3"/>
        <v>205.93220338983053</v>
      </c>
      <c r="O19" s="239">
        <f t="shared" si="4"/>
        <v>5.687701016949152</v>
      </c>
      <c r="P19" s="119">
        <f t="shared" si="5"/>
        <v>1143.2279044067795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79.903999999999996</v>
      </c>
      <c r="K20" s="128">
        <f t="shared" si="1"/>
        <v>25.424000000000003</v>
      </c>
      <c r="L20" s="119">
        <f t="shared" si="1"/>
        <v>0</v>
      </c>
      <c r="M20" s="230">
        <f t="shared" si="2"/>
        <v>621.072</v>
      </c>
      <c r="N20" s="277">
        <f t="shared" si="3"/>
        <v>137.28813559322035</v>
      </c>
      <c r="O20" s="239">
        <f t="shared" si="4"/>
        <v>3.7918006779661018</v>
      </c>
      <c r="P20" s="119">
        <f t="shared" si="5"/>
        <v>762.1519362711864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119.85599999999999</v>
      </c>
      <c r="K21" s="128">
        <f t="shared" si="1"/>
        <v>38.136000000000003</v>
      </c>
      <c r="L21" s="119">
        <f t="shared" si="1"/>
        <v>0</v>
      </c>
      <c r="M21" s="230">
        <f t="shared" si="2"/>
        <v>931.60799999999995</v>
      </c>
      <c r="N21" s="277">
        <f t="shared" si="3"/>
        <v>205.93220338983053</v>
      </c>
      <c r="O21" s="239">
        <f t="shared" si="4"/>
        <v>5.687701016949152</v>
      </c>
      <c r="P21" s="119">
        <f t="shared" si="5"/>
        <v>1143.2279044067795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319.61599999999999</v>
      </c>
      <c r="K25" s="275">
        <f t="shared" si="7"/>
        <v>101.696</v>
      </c>
      <c r="L25" s="276">
        <f t="shared" si="7"/>
        <v>0</v>
      </c>
      <c r="M25" s="232">
        <f t="shared" si="7"/>
        <v>2484.2879999999996</v>
      </c>
      <c r="N25" s="233">
        <f>SUM(N16:N24)</f>
        <v>549.15254237288138</v>
      </c>
      <c r="O25" s="101">
        <f>SUM(O16:O24)</f>
        <v>15.167202711864405</v>
      </c>
      <c r="P25" s="234">
        <f>SUM(P16:P24)</f>
        <v>3048.6077450847456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319.61599999999999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2484.288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3033.4405423728813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15.167202711864407</v>
      </c>
    </row>
    <row r="35" spans="2:16" ht="15.75" customHeight="1" thickBot="1" x14ac:dyDescent="0.4">
      <c r="N35" s="345" t="s">
        <v>88</v>
      </c>
      <c r="O35" s="346"/>
      <c r="P35" s="297">
        <f>+P33+P34</f>
        <v>3048.6077450847456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86.563124999999999</v>
      </c>
      <c r="K16" s="127">
        <f>$I16*T16</f>
        <v>27.542812500000004</v>
      </c>
      <c r="L16" s="118">
        <f>$I16*U16</f>
        <v>0</v>
      </c>
      <c r="M16" s="229">
        <f>I16-SUM(J16:L16)</f>
        <v>672.83156250000002</v>
      </c>
      <c r="N16" s="248">
        <f>+(G16*D16+H16)*V16</f>
        <v>148.72881355932196</v>
      </c>
      <c r="O16" s="238">
        <f>(N16+M16)*$O$15</f>
        <v>4.1078018802966101</v>
      </c>
      <c r="P16" s="118">
        <f>M16+N16+O16</f>
        <v>825.66817793961854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57.708750000000002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448.55437499999999</v>
      </c>
      <c r="N17" s="277">
        <f t="shared" ref="N17:N24" si="3">+(G17*D17+H17)*V17</f>
        <v>99.152542372881314</v>
      </c>
      <c r="O17" s="239">
        <f t="shared" ref="O17:O24" si="4">(N17+M17)*$O$15</f>
        <v>2.7385345868644069</v>
      </c>
      <c r="P17" s="119">
        <f t="shared" ref="P17:P24" si="5">M17+N17+O17</f>
        <v>550.4454519597457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86.563124999999999</v>
      </c>
      <c r="K18" s="128">
        <f t="shared" si="1"/>
        <v>27.542812500000004</v>
      </c>
      <c r="L18" s="119">
        <f t="shared" si="1"/>
        <v>0</v>
      </c>
      <c r="M18" s="230">
        <f t="shared" si="2"/>
        <v>672.83156250000002</v>
      </c>
      <c r="N18" s="277">
        <f t="shared" si="3"/>
        <v>148.72881355932196</v>
      </c>
      <c r="O18" s="239">
        <f t="shared" si="4"/>
        <v>4.1078018802966101</v>
      </c>
      <c r="P18" s="119">
        <f t="shared" si="5"/>
        <v>825.66817793961854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119.85599999999999</v>
      </c>
      <c r="K19" s="128">
        <f t="shared" si="1"/>
        <v>38.136000000000003</v>
      </c>
      <c r="L19" s="119">
        <f t="shared" si="1"/>
        <v>0</v>
      </c>
      <c r="M19" s="230">
        <f t="shared" si="2"/>
        <v>931.60799999999995</v>
      </c>
      <c r="N19" s="277">
        <f t="shared" si="3"/>
        <v>205.93220338983053</v>
      </c>
      <c r="O19" s="239">
        <f t="shared" si="4"/>
        <v>5.687701016949152</v>
      </c>
      <c r="P19" s="119">
        <f t="shared" si="5"/>
        <v>1143.2279044067795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79.903999999999996</v>
      </c>
      <c r="K20" s="128">
        <f t="shared" si="1"/>
        <v>25.424000000000003</v>
      </c>
      <c r="L20" s="119">
        <f t="shared" si="1"/>
        <v>0</v>
      </c>
      <c r="M20" s="230">
        <f t="shared" si="2"/>
        <v>621.072</v>
      </c>
      <c r="N20" s="277">
        <f t="shared" si="3"/>
        <v>137.28813559322035</v>
      </c>
      <c r="O20" s="239">
        <f t="shared" si="4"/>
        <v>3.7918006779661018</v>
      </c>
      <c r="P20" s="119">
        <f t="shared" si="5"/>
        <v>762.1519362711864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119.85599999999999</v>
      </c>
      <c r="K21" s="128">
        <f t="shared" si="1"/>
        <v>38.136000000000003</v>
      </c>
      <c r="L21" s="119">
        <f t="shared" si="1"/>
        <v>0</v>
      </c>
      <c r="M21" s="230">
        <f t="shared" si="2"/>
        <v>931.60799999999995</v>
      </c>
      <c r="N21" s="277">
        <f t="shared" si="3"/>
        <v>205.93220338983053</v>
      </c>
      <c r="O21" s="239">
        <f t="shared" si="4"/>
        <v>5.687701016949152</v>
      </c>
      <c r="P21" s="119">
        <f t="shared" si="5"/>
        <v>1143.2279044067795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550.45100000000002</v>
      </c>
      <c r="K25" s="275">
        <f t="shared" si="7"/>
        <v>175.14350000000002</v>
      </c>
      <c r="L25" s="276">
        <f t="shared" si="7"/>
        <v>0</v>
      </c>
      <c r="M25" s="232">
        <f t="shared" si="7"/>
        <v>4278.5055000000002</v>
      </c>
      <c r="N25" s="233">
        <f>SUM(N16:N24)</f>
        <v>945.76271186440658</v>
      </c>
      <c r="O25" s="101">
        <f>SUM(O16:O24)</f>
        <v>26.121341059322031</v>
      </c>
      <c r="P25" s="234">
        <f>SUM(P16:P24)</f>
        <v>5250.3895529237288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550.45100000000002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4278.5055000000002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5224.268211864407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26.121341059322035</v>
      </c>
    </row>
    <row r="35" spans="2:16" ht="15.75" customHeight="1" thickBot="1" x14ac:dyDescent="0.4">
      <c r="N35" s="345" t="s">
        <v>88</v>
      </c>
      <c r="O35" s="346"/>
      <c r="P35" s="297">
        <f>+P33+P34</f>
        <v>5250.3895529237288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2026-10-15T06:06:11Z</dcterms:modified>
</cp:coreProperties>
</file>