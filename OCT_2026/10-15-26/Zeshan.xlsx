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9613E9C-F4E5-408E-8656-EDFD06C77B4F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3" l="1"/>
  <c r="N4" i="70"/>
  <c r="N5" i="70" s="1"/>
  <c r="N4" i="58"/>
  <c r="N4" i="61"/>
  <c r="N5" i="61" s="1"/>
  <c r="N5" i="11"/>
  <c r="N4" i="51"/>
  <c r="N4" i="57"/>
  <c r="N4" i="55"/>
  <c r="N5" i="55" s="1"/>
  <c r="N4" i="64"/>
  <c r="N5" i="64" s="1"/>
  <c r="N4" i="45"/>
  <c r="N4" i="59"/>
  <c r="N4" i="68"/>
  <c r="N5" i="68" s="1"/>
  <c r="N4" i="50"/>
  <c r="N4" i="67"/>
  <c r="N5" i="67" s="1"/>
  <c r="N4" i="46"/>
  <c r="N4" i="53"/>
  <c r="N5" i="53" s="1"/>
  <c r="N4" i="69"/>
  <c r="N5" i="69" s="1"/>
  <c r="N4" i="65"/>
  <c r="N5" i="65" s="1"/>
  <c r="N4" i="60"/>
  <c r="N4" i="52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7" l="1"/>
  <c r="O21" i="47" s="1"/>
  <c r="P21" i="47" s="1"/>
  <c r="M20" i="47"/>
  <c r="O20" i="47" s="1"/>
  <c r="P20" i="4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<sst xmlns="http://schemas.openxmlformats.org/spreadsheetml/2006/main" count="3948" uniqueCount="523">
  <si>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</si>
  <si>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</si>
  <si>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</si>
  <si>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</si>
  <si>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</si>
  <si>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</si>
  <si>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</si>
  <si>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</si>
  <si>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</si>
  <si>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</si>
  <si>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</si>
  <si>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</si>
  <si>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</si>
  <si>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</si>
  <si>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</si>
  <si>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</si>
  <si>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</si>
  <si>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</si>
  <si>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</si>
  <si>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</si>
  <si>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</si>
  <si>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</si>
  <si>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</si>
  <si>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</si>
  <si>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</si>
  <si>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</si>
  <si>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</si>
  <si>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</si>
  <si>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</si>
  <si>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</si>
  <si>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</si>
  <si>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</si>
  <si>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</si>
  <si>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</si>
  <si>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</si>
  <si>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</si>
  <si>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</si>
  <si>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</si>
  <si>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</si>
  <si>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</si>
  <si>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</si>
  <si>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</si>
  <si>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</si>
  <si>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</si>
  <si>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</si>
  <si>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</si>
  <si>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</si>
  <si>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</si>
  <si>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</si>
  <si>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</si>
  <si>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</si>
  <si>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</si>
  <si>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</si>
  <si>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</si>
  <si>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</si>
  <si>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</si>
  <si>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</si>
  <si>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</si>
  <si>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</si>
  <si>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</si>
  <si>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</si>
  <si>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</si>
  <si>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</si>
  <si>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</si>
  <si>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</si>
  <si>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</si>
  <si>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</si>
  <si>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</si>
  <si>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</si>
  <si>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</si>
  <si>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</si>
  <si>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</si>
  <si>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</si>
  <si>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</si>
  <si>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</si>
  <si>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</si>
  <si>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</si>
  <si>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</si>
  <si>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</si>
  <si>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</si>
  <si>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</si>
  <si>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</si>
  <si>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</si>
  <si>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</si>
  <si>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</si>
  <si>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</si>
  <si>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</si>
  <si>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</si>
  <si>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</si>
  <si>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</si>
  <si>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</si>
  <si>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</si>
  <si>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</si>
  <si>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</si>
  <si>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</si>
  <si>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</si>
  <si>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</si>
  <si>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</si>
  <si>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</si>
  <si>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</si>
  <si>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</si>
  <si>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</si>
  <si>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</si>
  <si>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</si>
  <si>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</si>
  <si>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</si>
  <si>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</si>
  <si>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</si>
  <si>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</si>
  <si>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</si>
  <si>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</si>
  <si>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</si>
  <si>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</si>
  <si>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</si>
  <si>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</si>
  <si>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</si>
  <si>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</si>
  <si>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</si>
  <si>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</si>
  <si>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</si>
  <si>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</si>
  <si>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</si>
  <si>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</si>
  <si>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</si>
  <si>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</si>
  <si>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</si>
  <si>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</si>
  <si>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</si>
  <si>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</si>
  <si>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</si>
  <si>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</si>
  <si>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</si>
  <si>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</si>
  <si>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</si>
  <si>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</si>
  <si>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</si>
  <si>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</si>
  <si>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</si>
  <si>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</si>
  <si>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</si>
  <si>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</si>
  <si>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</si>
  <si>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</si>
  <si>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</si>
  <si>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</si>
  <si>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</si>
  <si>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</si>
  <si>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</si>
  <si>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</si>
  <si>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</si>
  <si>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</si>
  <si>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</si>
  <si>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</si>
  <si>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</si>
  <si>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</si>
  <si>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</si>
  <si>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</si>
  <si>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</si>
  <si>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</si>
  <si>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</si>
  <si>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</si>
  <si>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</si>
  <si>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</si>
  <si>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</si>
  <si>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</si>
  <si>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</si>
  <si>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</si>
  <si>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</si>
  <si>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</si>
  <si>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</si>
  <si>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</si>
  <si>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</si>
  <si>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</si>
  <si>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</si>
  <si>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</si>
  <si>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</si>
  <si>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</si>
  <si>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</si>
  <si>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</si>
  <si>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</si>
  <si>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</si>
  <si>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</si>
  <si>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</si>
  <si>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</si>
  <si>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</si>
  <si>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</si>
  <si>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</si>
  <si>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</si>
  <si>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</si>
  <si>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</si>
  <si>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</si>
  <si>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</si>
  <si>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</si>
  <si>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</si>
  <si>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</si>
  <si>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</si>
  <si>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</si>
  <si>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</si>
  <si>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</si>
  <si>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</si>
  <si>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</si>
  <si>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</si>
  <si>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</si>
  <si>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</si>
  <si>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</si>
  <si>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</si>
  <si>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</si>
  <si>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</si>
  <si>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</si>
  <si>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</si>
  <si>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</si>
  <si>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</si>
  <si>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</si>
  <si>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</si>
  <si>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</si>
  <si>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</si>
  <si>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</si>
  <si>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</si>
  <si>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</si>
  <si>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</si>
  <si>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</si>
  <si>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</si>
  <si>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</si>
  <si>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</si>
  <si>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</si>
  <si>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</si>
  <si>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</si>
  <si>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</si>
  <si>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</si>
  <si>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</si>
  <si>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</si>
  <si>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</si>
  <si>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</si>
  <si>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</si>
  <si>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</si>
  <si>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</si>
  <si>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</si>
  <si>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</si>
  <si>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</si>
  <si>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</si>
  <si>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</si>
  <si>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</si>
  <si>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</si>
  <si>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</si>
  <si>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</si>
  <si>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</si>
  <si>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</si>
  <si>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</si>
  <si>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</si>
  <si>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</si>
  <si>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</si>
  <si>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</si>
  <si>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</si>
  <si>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</si>
  <si>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</si>
  <si>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</si>
  <si>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</si>
  <si>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</si>
  <si>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</si>
  <si>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</si>
  <si>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</si>
  <si>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</si>
  <si>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</si>
  <si>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</si>
  <si>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</si>
  <si>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</si>
  <si>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</si>
  <si>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</si>
  <si>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</si>
  <si>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</si>
  <si>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</si>
  <si>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</si>
  <si>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</si>
  <si>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</si>
  <si>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</si>
  <si>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</si>
  <si>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</si>
  <si>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</si>
  <si>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</si>
  <si>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</si>
  <si>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</si>
  <si>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</si>
  <si>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</si>
  <si>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</si>
  <si>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</si>
  <si>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</si>
  <si>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</si>
  <si>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</si>
  <si>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</si>
  <si>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</si>
  <si>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</si>
  <si>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</si>
  <si>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</si>
  <si>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</si>
  <si>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</si>
  <si>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</si>
  <si>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</si>
  <si>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</si>
  <si>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</si>
  <si>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</si>
  <si>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</si>
  <si>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</si>
  <si>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</si>
  <si>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</si>
  <si>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</si>
  <si>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</si>
  <si>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</si>
  <si>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</si>
  <si>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</si>
  <si>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</si>
  <si>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</si>
  <si>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</si>
  <si>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</si>
  <si>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</si>
  <si>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</si>
  <si>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</si>
  <si>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</si>
  <si>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</si>
  <si>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</si>
  <si>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</si>
  <si>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</si>
  <si>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</si>
  <si>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</si>
  <si>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</si>
  <si>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</si>
  <si>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</si>
  <si>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</si>
  <si>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</si>
  <si>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</si>
  <si>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</si>
  <si>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</si>
  <si>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</si>
  <si>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</si>
  <si>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</si>
  <si>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</si>
  <si>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</si>
  <si>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</si>
  <si>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</si>
  <si>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</si>
  <si>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</si>
  <si>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</si>
  <si>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</si>
  <si>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</si>
  <si>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</si>
  <si>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</si>
  <si>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</si>
  <si>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</si>
  <si>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</si>
  <si>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</si>
  <si>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</si>
  <si>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</si>
  <si>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</si>
  <si>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</si>
  <si>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</si>
  <si>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</si>
  <si>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</si>
  <si>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</si>
  <si>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</si>
  <si>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</si>
  <si>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</si>
  <si>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</si>
  <si>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</si>
  <si>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</si>
  <si>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</si>
  <si>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</si>
  <si>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</si>
  <si>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</si>
  <si>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</si>
  <si>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</si>
  <si>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</si>
  <si>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</si>
  <si>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</si>
  <si>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</si>
  <si>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</si>
  <si>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</si>
  <si>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</si>
  <si>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</si>
  <si>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</si>
  <si>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</si>
  <si>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</si>
  <si>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</si>
  <si>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</si>
  <si>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</si>
  <si>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</si>
  <si>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</si>
  <si>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</si>
  <si>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</si>
  <si>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</si>
  <si>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</si>
  <si>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</si>
  <si>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</si>
  <si>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</si>
  <si>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</si>
  <si>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</si>
  <si>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</si>
  <si>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</si>
  <si>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</si>
  <si>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</si>
  <si>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</si>
  <si>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</si>
  <si>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</si>
  <si>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</si>
  <si>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</si>
  <si>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</si>
  <si>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</si>
  <si>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</si>
  <si>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</si>
  <si>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</si>
  <si>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</si>
  <si>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</si>
  <si>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</si>
  <si>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</si>
  <si>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</si>
  <si>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</si>
  <si>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</si>
  <si>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</si>
  <si>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</si>
  <si>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</si>
  <si>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</si>
  <si>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</si>
  <si>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</si>
  <si>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</si>
  <si>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</si>
  <si>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</si>
  <si>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</si>
  <si>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</si>
  <si>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</si>
  <si>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</si>
  <si>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</si>
  <si>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</si>
  <si>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</si>
  <si>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</si>
  <si>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</si>
  <si>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</si>
  <si>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</si>
  <si>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</si>
  <si>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</si>
  <si>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</si>
  <si>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</si>
  <si>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</si>
  <si>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</si>
  <si>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</si>
  <si>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</si>
  <si>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</si>
  <si>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</si>
  <si>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</si>
  <si>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</si>
  <si>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</si>
  <si>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</si>
  <si>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</si>
  <si>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</si>
  <si>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</si>
  <si>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</si>
  <si>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</si>
  <si>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</si>
  <si>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</si>
  <si>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</si>
  <si>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</si>
  <si>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</si>
  <si>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</si>
  <si>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</si>
  <si>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</si>
  <si>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</si>
  <si>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</si>
  <si>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</si>
  <si>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</si>
  <si>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</si>
  <si>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</si>
  <si>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</si>
  <si>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</si>
  <si>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</si>
  <si>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</si>
  <si>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</si>
  <si>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</si>
  <si>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</si>
  <si>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</si>
  <si>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</si>
  <si>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</si>
  <si>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</si>
  <si>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</si>
  <si>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</si>
  <si>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</si>
  <si>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</si>
  <si>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</si>
  <si>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</si>
  <si>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</si>
  <si>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</si>
  <si>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</si>
  <si>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</si>
  <si>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</si>
  <si>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</si>
  <si>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</si>
  <si>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</si>
  <si>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</si>
  <si>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</si>
  <si>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</si>
  <si>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</si>
  <si>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</si>
  <si>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</si>
  <si>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</si>
  <si>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</si>
  <si>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</si>
  <si>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</si>
  <si>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</si>
  <si>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</si>
  <si>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</si>
  <si>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</si>
  <si>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</si>
  <si>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</si>
  <si>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</si>
  <si>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</si>
  <si>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</si>
  <si>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</si>
  <si>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</si>
  <si>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Zeshan </t>
  </si>
  <si>
    <t>Allys Store</t>
  </si>
  <si>
    <t>Address:DHA</t>
  </si>
  <si>
    <t>Shahab Store</t>
  </si>
  <si>
    <t>MS Store</t>
  </si>
  <si>
    <t>Pakistan Store</t>
  </si>
  <si>
    <t xml:space="preserve">Bravo Mart </t>
  </si>
  <si>
    <t xml:space="preserve">Tariq Mart </t>
  </si>
  <si>
    <t>786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</si>
</sst>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8" workbookViewId="0">
      <selection activeCell="H40" sqref="H4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Allys Store</v>
      </c>
      <c r="T3" s="301">
        <f>+'1'!P35</f>
        <v>2918.4215845233057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Shahab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MS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Pakistan Store</v>
      </c>
      <c r="T6" s="301">
        <f>+'4'!P35</f>
        <v>1019.2732122775423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21</v>
      </c>
      <c r="I7" s="235">
        <f>(G7*D7)*F7+H7*F7</f>
        <v>1101.7124999999999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88.137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38.559937500000004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975.01556249999987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208.22033898305074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5.9161795074152543</v>
      </c>
      <c r="P7" s="310">
        <f>M7+N7+O7</f>
        <v>1189.1520809904659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Bravo Mart 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</v>
      </c>
      <c r="I8" s="236">
        <f t="shared" ref="I8:I14" si="0">(G8*D8)*F8+H8*F8</f>
        <v>839.4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67.152000000000001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29.379000000000001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742.86899999999991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158.6440677966101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4.507565338983051</v>
      </c>
      <c r="P8" s="311">
        <f t="shared" ref="P8:P15" si="2">M8+N8+O8</f>
        <v>906.02063313559302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Tariq Mart </v>
      </c>
      <c r="T8" s="301">
        <f>+'6'!P35</f>
        <v>5401.2631679237284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31</v>
      </c>
      <c r="I9" s="236">
        <f t="shared" si="0"/>
        <v>1626.3374999999999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130.107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56.921812500000001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1439.3086874999999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307.37288135593207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8.733407844279661</v>
      </c>
      <c r="P9" s="311">
        <f t="shared" si="2"/>
        <v>1755.4149767002116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786 Store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90</v>
      </c>
      <c r="I10" s="236">
        <f t="shared" si="0"/>
        <v>6537.6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523.00800000000004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228.816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5785.7759999999998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1235.5932203389832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35.10684610169492</v>
      </c>
      <c r="P10" s="311">
        <f t="shared" si="2"/>
        <v>7056.4760664406776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70</v>
      </c>
      <c r="I11" s="236">
        <f t="shared" si="0"/>
        <v>5084.8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406.78399999999999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177.96800000000002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4500.0480000000007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961.01694915254234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27.305324745762711</v>
      </c>
      <c r="P11" s="311">
        <f t="shared" si="2"/>
        <v>5488.3702738983056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70</v>
      </c>
      <c r="I12" s="236">
        <f t="shared" si="0"/>
        <v>5084.8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406.78399999999999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177.96799999999999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4500.0480000000007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961.01694915254245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27.305324745762714</v>
      </c>
      <c r="P12" s="311">
        <f t="shared" si="2"/>
        <v>5488.3702738983056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7.45</v>
      </c>
      <c r="H16" s="113">
        <f t="shared" ref="H16:M16" si="3">SUM(H7:H15)</f>
        <v>298</v>
      </c>
      <c r="I16" s="114">
        <f t="shared" si="3"/>
        <v>20274.649999999998</v>
      </c>
      <c r="J16" s="274">
        <f>SUM(J7:J15)</f>
        <v>1621.9720000000002</v>
      </c>
      <c r="K16" s="275">
        <f t="shared" si="3"/>
        <v>709.61275000000001</v>
      </c>
      <c r="L16" s="276">
        <f t="shared" si="3"/>
        <v>0</v>
      </c>
      <c r="M16" s="232">
        <f t="shared" si="3"/>
        <v>17943.06525</v>
      </c>
      <c r="N16" s="233">
        <f>SUM(N7:N15)</f>
        <v>3831.8644067796608</v>
      </c>
      <c r="O16" s="101">
        <f>SUM(O7:O15)</f>
        <v>108.87464828389831</v>
      </c>
      <c r="P16" s="113">
        <f>SUM(P7:P15)</f>
        <v>21883.804305063557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20274.649999999998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1621.9720000000002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709.61275000000001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17943.065249999996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3831.8644067796608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21774.929656779655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108.87464828389831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21883.804305063553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21883.804305063561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ref="I18:I21" si="7">(G18*D18)*F18+H18*F18</f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7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2703.8250000000003</v>
      </c>
      <c r="J25" s="274">
        <f>SUM(J16:J24)</f>
        <v>216.30599999999998</v>
      </c>
      <c r="K25" s="275">
        <f t="shared" si="10"/>
        <v>94.633875000000018</v>
      </c>
      <c r="L25" s="276">
        <f t="shared" si="10"/>
        <v>0</v>
      </c>
      <c r="M25" s="232">
        <f t="shared" si="10"/>
        <v>2392.8851250000002</v>
      </c>
      <c r="N25" s="233">
        <f>SUM(N16:N24)</f>
        <v>511.01694915254234</v>
      </c>
      <c r="O25" s="101">
        <f>SUM(O16:O24)</f>
        <v>14.519510370762713</v>
      </c>
      <c r="P25" s="234">
        <f>SUM(P16:P24)</f>
        <v>2918.4215845233052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2703.8250000000003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216.30599999999998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94.633875000000018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2392.8851250000002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511.01694915254234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2903.9020741525428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14.519510370762715</v>
      </c>
    </row>
    <row r="35" spans="2:16" ht="15.75" customHeight="1" thickBot="1" x14ac:dyDescent="0.4">
      <c r="N35" s="374" t="s">
        <v>88</v>
      </c>
      <c r="O35" s="375"/>
      <c r="P35" s="297">
        <f>+P33+P34</f>
        <v>2918.4215845233057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18</v>
      </c>
      <c r="I25" s="114">
        <f t="shared" si="7"/>
        <v>944.32499999999993</v>
      </c>
      <c r="J25" s="274">
        <f>SUM(J16:J24)</f>
        <v>75.545999999999992</v>
      </c>
      <c r="K25" s="275">
        <f t="shared" si="7"/>
        <v>33.051375</v>
      </c>
      <c r="L25" s="276">
        <f t="shared" si="7"/>
        <v>0</v>
      </c>
      <c r="M25" s="232">
        <f t="shared" si="7"/>
        <v>835.72762499999999</v>
      </c>
      <c r="N25" s="233">
        <f>SUM(N16:N24)</f>
        <v>178.47457627118638</v>
      </c>
      <c r="O25" s="101">
        <f>SUM(O16:O24)</f>
        <v>5.0710110063559313</v>
      </c>
      <c r="P25" s="234">
        <f>SUM(P16:P24)</f>
        <v>1019.2732122775424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944.32499999999993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75.545999999999992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33.051375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835.72762499999999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1014.2022012711864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74" t="s">
        <v>88</v>
      </c>
      <c r="O35" s="375"/>
      <c r="P35" s="297">
        <f>+P33+P34</f>
        <v>1019.2732122775423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5374.3912118644066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 xml:space="preserve">Zeshan 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46309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2026-10-14T11:03:33Z</dcterms:modified>
</cp:coreProperties>
</file>