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90C7EC8-1C98-4D25-A116-CD570851BA7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<sst xmlns="http://schemas.openxmlformats.org/spreadsheetml/2006/main" count="3947" uniqueCount="516">
  <si>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</si>
  <si>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</si>
  <si>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</si>
  <si>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</si>
  <si>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</si>
  <si>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</si>
  <si>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</si>
  <si>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</si>
  <si>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</si>
  <si>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</si>
  <si>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</si>
  <si>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</si>
  <si>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</si>
  <si>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</si>
  <si>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</si>
  <si>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</si>
  <si>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</si>
  <si>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</si>
  <si>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</si>
  <si>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</si>
  <si>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</si>
  <si>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</si>
  <si>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</si>
  <si>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</si>
  <si>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</si>
  <si>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</si>
  <si>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</si>
  <si>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</si>
  <si>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</si>
  <si>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</si>
  <si>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</si>
  <si>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</si>
  <si>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</si>
  <si>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</si>
  <si>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</si>
  <si>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</si>
  <si>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</si>
  <si>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</si>
  <si>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</si>
  <si>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</si>
  <si>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</si>
  <si>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</si>
  <si>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</si>
  <si>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</si>
  <si>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</si>
  <si>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</si>
  <si>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</si>
  <si>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</si>
  <si>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</si>
  <si>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</si>
  <si>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</si>
  <si>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</si>
  <si>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</si>
  <si>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</si>
  <si>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</si>
  <si>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</si>
  <si>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</si>
  <si>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</si>
  <si>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</si>
  <si>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</si>
  <si>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</si>
  <si>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</si>
  <si>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</si>
  <si>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</si>
  <si>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</si>
  <si>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</si>
  <si>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</si>
  <si>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</si>
  <si>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</si>
  <si>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</si>
  <si>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</si>
  <si>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</si>
  <si>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</si>
  <si>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</si>
  <si>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</si>
  <si>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</si>
  <si>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</si>
  <si>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</si>
  <si>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</si>
  <si>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</si>
  <si>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</si>
  <si>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</si>
  <si>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</si>
  <si>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</si>
  <si>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</si>
  <si>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</si>
  <si>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</si>
  <si>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</si>
  <si>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</si>
  <si>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</si>
  <si>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</si>
  <si>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</si>
  <si>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</si>
  <si>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</si>
  <si>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</si>
  <si>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</si>
  <si>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</si>
  <si>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</si>
  <si>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</si>
  <si>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</si>
  <si>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</si>
  <si>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</si>
  <si>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</si>
  <si>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</si>
  <si>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</si>
  <si>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</si>
  <si>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</si>
  <si>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</si>
  <si>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</si>
  <si>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</si>
  <si>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</si>
  <si>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</si>
  <si>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</si>
  <si>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</si>
  <si>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</si>
  <si>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</si>
  <si>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</si>
  <si>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</si>
  <si>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</si>
  <si>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</si>
  <si>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</si>
  <si>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</si>
  <si>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</si>
  <si>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</si>
  <si>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</si>
  <si>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</si>
  <si>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</si>
  <si>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</si>
  <si>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</si>
  <si>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</si>
  <si>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</si>
  <si>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</si>
  <si>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</si>
  <si>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</si>
  <si>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</si>
  <si>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</si>
  <si>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</si>
  <si>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</si>
  <si>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</si>
  <si>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</si>
  <si>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</si>
  <si>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</si>
  <si>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</si>
  <si>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</si>
  <si>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</si>
  <si>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</si>
  <si>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</si>
  <si>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</si>
  <si>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</si>
  <si>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</si>
  <si>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</si>
  <si>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</si>
  <si>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</si>
  <si>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</si>
  <si>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</si>
  <si>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</si>
  <si>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</si>
  <si>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</si>
  <si>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</si>
  <si>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</si>
  <si>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</si>
  <si>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</si>
  <si>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</si>
  <si>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</si>
  <si>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</si>
  <si>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</si>
  <si>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</si>
  <si>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</si>
  <si>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</si>
  <si>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</si>
  <si>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</si>
  <si>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</si>
  <si>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</si>
  <si>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</si>
  <si>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</si>
  <si>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</si>
  <si>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</si>
  <si>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</si>
  <si>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</si>
  <si>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</si>
  <si>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</si>
  <si>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</si>
  <si>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</si>
  <si>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</si>
  <si>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</si>
  <si>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</si>
  <si>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</si>
  <si>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</si>
  <si>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</si>
  <si>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</si>
  <si>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</si>
  <si>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</si>
  <si>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</si>
  <si>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</si>
  <si>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</si>
  <si>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</si>
  <si>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</si>
  <si>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</si>
  <si>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</si>
  <si>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</si>
  <si>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</si>
  <si>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</si>
  <si>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</si>
  <si>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</si>
  <si>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</si>
  <si>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</si>
  <si>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</si>
  <si>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</si>
  <si>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</si>
  <si>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</si>
  <si>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</si>
  <si>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</si>
  <si>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</si>
  <si>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</si>
  <si>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</si>
  <si>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</si>
  <si>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</si>
  <si>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</si>
  <si>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</si>
  <si>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</si>
  <si>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</si>
  <si>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</si>
  <si>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</si>
  <si>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</si>
  <si>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</si>
  <si>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</si>
  <si>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</si>
  <si>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</si>
  <si>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</si>
  <si>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</si>
  <si>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</si>
  <si>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</si>
  <si>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</si>
  <si>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</si>
  <si>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</si>
  <si>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</si>
  <si>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</si>
  <si>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</si>
  <si>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</si>
  <si>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</si>
  <si>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</si>
  <si>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</si>
  <si>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</si>
  <si>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</si>
  <si>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</si>
  <si>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</si>
  <si>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</si>
  <si>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</si>
  <si>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</si>
  <si>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</si>
  <si>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</si>
  <si>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</si>
  <si>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</si>
  <si>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</si>
  <si>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</si>
  <si>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</si>
  <si>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</si>
  <si>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</si>
  <si>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</si>
  <si>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</si>
  <si>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</si>
  <si>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</si>
  <si>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</si>
  <si>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</si>
  <si>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</si>
  <si>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</si>
  <si>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</si>
  <si>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</si>
  <si>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</si>
  <si>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</si>
  <si>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</si>
  <si>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</si>
  <si>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</si>
  <si>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</si>
  <si>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</si>
  <si>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</si>
  <si>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</si>
  <si>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</si>
  <si>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</si>
  <si>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</si>
  <si>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</si>
  <si>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</si>
  <si>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</si>
  <si>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</si>
  <si>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</si>
  <si>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</si>
  <si>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</si>
  <si>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</si>
  <si>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</si>
  <si>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</si>
  <si>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</si>
  <si>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</si>
  <si>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</si>
  <si>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</si>
  <si>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</si>
  <si>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</si>
  <si>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</si>
  <si>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</si>
  <si>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</si>
  <si>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</si>
  <si>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</si>
  <si>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</si>
  <si>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</si>
  <si>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</si>
  <si>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</si>
  <si>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</si>
  <si>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</si>
  <si>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</si>
  <si>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</si>
  <si>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</si>
  <si>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</si>
  <si>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</si>
  <si>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</si>
  <si>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</si>
  <si>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</si>
  <si>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</si>
  <si>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</si>
  <si>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</si>
  <si>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</si>
  <si>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</si>
  <si>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</si>
  <si>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</si>
  <si>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</si>
  <si>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</si>
  <si>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</si>
  <si>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</si>
  <si>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</si>
  <si>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</si>
  <si>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</si>
  <si>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</si>
  <si>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</si>
  <si>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</si>
  <si>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</si>
  <si>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</si>
  <si>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</si>
  <si>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</si>
  <si>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</si>
  <si>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</si>
  <si>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</si>
  <si>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</si>
  <si>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</si>
  <si>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</si>
  <si>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</si>
  <si>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</si>
  <si>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</si>
  <si>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</si>
  <si>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</si>
  <si>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</si>
  <si>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</si>
  <si>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</si>
  <si>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</si>
  <si>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</si>
  <si>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</si>
  <si>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</si>
  <si>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</si>
  <si>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</si>
  <si>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</si>
  <si>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</si>
  <si>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</si>
  <si>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</si>
  <si>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</si>
  <si>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</si>
  <si>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</si>
  <si>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</si>
  <si>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</si>
  <si>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</si>
  <si>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</si>
  <si>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</si>
  <si>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</si>
  <si>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</si>
  <si>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</si>
  <si>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</si>
  <si>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</si>
  <si>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</si>
  <si>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</si>
  <si>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</si>
  <si>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</si>
  <si>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</si>
  <si>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</si>
  <si>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</si>
  <si>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</si>
  <si>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</si>
  <si>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</si>
  <si>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</si>
  <si>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</si>
  <si>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</si>
  <si>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</si>
  <si>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</si>
  <si>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</si>
  <si>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</si>
  <si>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</si>
  <si>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</si>
  <si>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</si>
  <si>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</si>
  <si>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</si>
  <si>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</si>
  <si>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</si>
  <si>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</si>
  <si>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</si>
  <si>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</si>
  <si>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</si>
  <si>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</si>
  <si>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</si>
  <si>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</si>
  <si>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</si>
  <si>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</si>
  <si>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</si>
  <si>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</si>
  <si>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</si>
  <si>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</si>
  <si>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</si>
  <si>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</si>
  <si>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</si>
  <si>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</si>
  <si>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</si>
  <si>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</si>
  <si>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</si>
  <si>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</si>
  <si>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</si>
  <si>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</si>
  <si>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</si>
  <si>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</si>
  <si>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</si>
  <si>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</si>
  <si>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</si>
  <si>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</si>
  <si>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</si>
  <si>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</si>
  <si>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</si>
  <si>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</si>
  <si>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</si>
  <si>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</si>
  <si>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</si>
  <si>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</si>
  <si>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</si>
  <si>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</si>
  <si>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</si>
  <si>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</si>
  <si>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</si>
  <si>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</si>
  <si>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</si>
  <si>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</si>
  <si>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</si>
  <si>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</si>
  <si>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</si>
  <si>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</si>
  <si>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</si>
  <si>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</si>
  <si>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</si>
  <si>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</si>
  <si>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</si>
  <si>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</si>
  <si>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</si>
  <si>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</si>
  <si>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</si>
  <si>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</si>
  <si>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</si>
  <si>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</si>
  <si>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</si>
  <si>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</si>
  <si>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</si>
  <si>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</si>
  <si>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</si>
  <si>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</si>
  <si>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</si>
  <si>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</si>
  <si>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</si>
  <si>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</si>
  <si>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</si>
  <si>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</si>
  <si>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</si>
  <si>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</si>
  <si>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</si>
  <si>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</si>
  <si>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</si>
  <si>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</si>
  <si>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</si>
  <si>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</si>
  <si>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</si>
  <si>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</si>
  <si>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</si>
  <si>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</si>
  <si>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</si>
  <si>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</si>
  <si>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</si>
  <si>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</si>
  <si>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</si>
  <si>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</si>
  <si>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</si>
  <si>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</si>
  <si>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</si>
  <si>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</si>
  <si>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</si>
  <si>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</si>
  <si>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</si>
  <si>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</si>
  <si>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</si>
  <si>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</si>
  <si>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</si>
  <si>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</si>
  <si>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</si>
  <si>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</si>
  <si>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</si>
  <si>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</si>
  <si>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</si>
  <si>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</si>
  <si>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</si>
  <si>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</si>
  <si>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</si>
  <si>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</si>
  <si>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</si>
  <si>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</si>
  <si>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 Ranger Head Quarter</t>
  </si>
  <si>
    <t xml:space="preserve">LUTF Mega  Mart </t>
  </si>
  <si>
    <t>NTN #: 2388169-7</t>
  </si>
  <si>
    <t>Invoice No # :0004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</si>
</sst>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46312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LUTF Mega  Mart </v>
      </c>
      <c r="T3" s="301">
        <f>+'1'!P35</f>
        <v>30555.803077563563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LUTF Mega 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LUTF Mega 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LUTF Mega 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-2</v>
      </c>
      <c r="I7" s="235">
        <f>(G7*D7)*F7+H7*F7</f>
        <v>-104.925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-10.4925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-3.6723750000000002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-90.760125000000002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-19.830508474576263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-0.55295316737288136</v>
      </c>
      <c r="P7" s="310">
        <f>M7+N7+O7</f>
        <v>-111.14358664194914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LUTF Mega 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-2</v>
      </c>
      <c r="I8" s="236">
        <f t="shared" ref="I8:I14" si="0">(G8*D8)*F8+H8*F8</f>
        <v>-104.925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-10.4925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-3.6723750000000002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-90.760125000000002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-19.830508474576263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-0.55295316737288136</v>
      </c>
      <c r="P8" s="311">
        <f t="shared" ref="P8:P15" si="2">M8+N8+O8</f>
        <v>-111.14358664194914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LUTF Mega 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LUTF Mega 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1452.8000000000002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12566.72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76.562413559322039</v>
      </c>
      <c r="P10" s="311">
        <f t="shared" si="2"/>
        <v>15389.045125423729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LUTF Mega 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12566.72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76.562413559322039</v>
      </c>
      <c r="P11" s="311">
        <f t="shared" si="2"/>
        <v>15389.045125423729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LUTF Mega 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LUTF Mega 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LUTF Mega 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LUTF Mega 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LUTF Mega  Mart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9.9</v>
      </c>
      <c r="H16" s="113">
        <f t="shared" ref="H16:M16" si="3">SUM(H7:H15)</f>
        <v>396</v>
      </c>
      <c r="I16" s="114">
        <f t="shared" si="3"/>
        <v>28846.15</v>
      </c>
      <c r="J16" s="274">
        <f>SUM(J7:J15)</f>
        <v>2884.6150000000007</v>
      </c>
      <c r="K16" s="275">
        <f t="shared" si="3"/>
        <v>1009.6152500000002</v>
      </c>
      <c r="L16" s="276">
        <f t="shared" si="3"/>
        <v>0</v>
      </c>
      <c r="M16" s="232">
        <f t="shared" si="3"/>
        <v>24951.919750000001</v>
      </c>
      <c r="N16" s="233">
        <f>SUM(N7:N15)</f>
        <v>5451.8644067796613</v>
      </c>
      <c r="O16" s="101">
        <f>SUM(O7:O15)</f>
        <v>152.0189207838983</v>
      </c>
      <c r="P16" s="113">
        <f>SUM(P7:P15)</f>
        <v>30555.80307756356</v>
      </c>
      <c r="Q16" s="128">
        <f>SUM(Q7:Q15)</f>
        <v>0</v>
      </c>
      <c r="R16" s="314">
        <v>14</v>
      </c>
      <c r="S16" s="300" t="str">
        <f>+'14'!A6:A6</f>
        <v xml:space="preserve">LUTF Mega 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LUTF Mega 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LUTF Mega  Mart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28846.15</v>
      </c>
      <c r="R19" s="299">
        <v>17</v>
      </c>
      <c r="S19" s="300" t="str">
        <f>+'17'!A6:A6</f>
        <v xml:space="preserve">LUTF Mega  Mart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2884.6150000000007</v>
      </c>
      <c r="R20" s="299">
        <v>18</v>
      </c>
      <c r="S20" s="300" t="str">
        <f>+'18'!A6:A6</f>
        <v xml:space="preserve">LUTF Mega  Mart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1009.6152500000002</v>
      </c>
      <c r="R21" s="299">
        <v>19</v>
      </c>
      <c r="S21" s="300" t="str">
        <f>+'19'!A6:A6</f>
        <v xml:space="preserve">LUTF Mega  Mart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24951.919750000001</v>
      </c>
      <c r="R22" s="299">
        <v>20</v>
      </c>
      <c r="S22" s="300" t="str">
        <f>+'20'!A6:A6</f>
        <v xml:space="preserve">LUTF Mega  Mart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5451.8644067796613</v>
      </c>
      <c r="R23" s="299">
        <v>21</v>
      </c>
      <c r="S23" s="300" t="str">
        <f>+'21'!A6:A6</f>
        <v xml:space="preserve">LUTF Mega  Mart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30403.784156779664</v>
      </c>
      <c r="R24" s="299">
        <v>22</v>
      </c>
      <c r="S24" s="300" t="str">
        <f>+'22'!A6:A6</f>
        <v xml:space="preserve">LUTF Mega  Mart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152.0189207838983</v>
      </c>
      <c r="R25" s="299">
        <v>23</v>
      </c>
      <c r="S25" s="300" t="str">
        <f>+'23'!A6:A6</f>
        <v xml:space="preserve">LUTF Mega  Mart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30555.803077563563</v>
      </c>
      <c r="R26" s="299">
        <v>24</v>
      </c>
      <c r="S26" s="300" t="str">
        <f>+'24'!A6:A6</f>
        <v xml:space="preserve">LUTF Mega 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LUTF Mega 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LUTF Mega 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LUTF Mega 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LUTF Mega 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LUTF Mega 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LUTF Mega 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30555.803077563563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8" workbookViewId="0">
      <selection activeCell="H25" sqref="H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515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-2</v>
      </c>
      <c r="I16" s="235">
        <f>(G16*D16)*F16+H16*F16</f>
        <v>-104.925</v>
      </c>
      <c r="J16" s="271">
        <f>$I16*S16</f>
        <v>-10.4925</v>
      </c>
      <c r="K16" s="127">
        <f>$I16*T16</f>
        <v>-3.6723750000000002</v>
      </c>
      <c r="L16" s="118">
        <f>$I16*U16</f>
        <v>0</v>
      </c>
      <c r="M16" s="229">
        <f>I16-SUM(J16:L16)</f>
        <v>-90.760125000000002</v>
      </c>
      <c r="N16" s="248">
        <f>+(G16*D16+H16)*V16</f>
        <v>-19.830508474576263</v>
      </c>
      <c r="O16" s="238">
        <f>(N16+M16)*$O$15</f>
        <v>-0.55295316737288136</v>
      </c>
      <c r="P16" s="310">
        <f>M16+N16+O16</f>
        <v>-111.14358664194914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-2</v>
      </c>
      <c r="I17" s="236">
        <f t="shared" ref="I17:I23" si="0">(G17*D17)*F17+H17*F17</f>
        <v>-104.925</v>
      </c>
      <c r="J17" s="272">
        <f t="shared" ref="J17:L24" si="1">$I17*S17</f>
        <v>-10.4925</v>
      </c>
      <c r="K17" s="128">
        <f>$I17*T17</f>
        <v>-3.6723750000000002</v>
      </c>
      <c r="L17" s="119">
        <f>$I17*U17</f>
        <v>0</v>
      </c>
      <c r="M17" s="230">
        <f t="shared" ref="M17:M24" si="2">I17-SUM(J17:L17)</f>
        <v>-90.760125000000002</v>
      </c>
      <c r="N17" s="277">
        <f t="shared" ref="N17:N24" si="3">+(G17*D17+H17)*V17</f>
        <v>-19.830508474576263</v>
      </c>
      <c r="O17" s="239">
        <f t="shared" ref="O17:O24" si="4">(N17+M17)*$O$15</f>
        <v>-0.55295316737288136</v>
      </c>
      <c r="P17" s="311">
        <f t="shared" ref="P17:P24" si="5">M17+N17+O17</f>
        <v>-111.14358664194914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1452.8000000000002</v>
      </c>
      <c r="K19" s="128">
        <f t="shared" si="1"/>
        <v>508.48000000000008</v>
      </c>
      <c r="L19" s="119">
        <f t="shared" si="1"/>
        <v>0</v>
      </c>
      <c r="M19" s="230">
        <f t="shared" si="2"/>
        <v>12566.72</v>
      </c>
      <c r="N19" s="277">
        <f t="shared" si="3"/>
        <v>2745.7627118644068</v>
      </c>
      <c r="O19" s="239">
        <f t="shared" si="4"/>
        <v>76.562413559322039</v>
      </c>
      <c r="P19" s="311">
        <f t="shared" si="5"/>
        <v>15389.045125423729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1452.8000000000002</v>
      </c>
      <c r="K20" s="128">
        <f t="shared" si="1"/>
        <v>508.48000000000008</v>
      </c>
      <c r="L20" s="119">
        <f t="shared" si="1"/>
        <v>0</v>
      </c>
      <c r="M20" s="230">
        <f t="shared" si="2"/>
        <v>12566.72</v>
      </c>
      <c r="N20" s="277">
        <f t="shared" si="3"/>
        <v>2745.7627118644068</v>
      </c>
      <c r="O20" s="239">
        <f t="shared" si="4"/>
        <v>76.562413559322039</v>
      </c>
      <c r="P20" s="311">
        <f t="shared" si="5"/>
        <v>15389.045125423729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396</v>
      </c>
      <c r="I25" s="114">
        <f t="shared" ref="I25:M25" si="10">SUM(I16:I24)</f>
        <v>28846.15</v>
      </c>
      <c r="J25" s="274">
        <f>SUM(J16:J24)</f>
        <v>2884.6150000000007</v>
      </c>
      <c r="K25" s="275">
        <f t="shared" si="10"/>
        <v>1009.6152500000002</v>
      </c>
      <c r="L25" s="276">
        <f t="shared" si="10"/>
        <v>0</v>
      </c>
      <c r="M25" s="232">
        <f t="shared" si="10"/>
        <v>24951.919750000001</v>
      </c>
      <c r="N25" s="233">
        <f>SUM(N16:N24)</f>
        <v>5451.8644067796613</v>
      </c>
      <c r="O25" s="101">
        <f>SUM(O16:O24)</f>
        <v>152.0189207838983</v>
      </c>
      <c r="P25" s="113">
        <f>SUM(P16:P24)</f>
        <v>30555.80307756356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28846.15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2884.6150000000007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1009.6152500000002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24951.919750000001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5451.8644067796613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30403.784156779664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152.01892078389832</v>
      </c>
    </row>
    <row r="35" spans="2:16" ht="15.75" customHeight="1" thickBot="1" x14ac:dyDescent="0.4">
      <c r="N35" s="343" t="s">
        <v>88</v>
      </c>
      <c r="O35" s="344"/>
      <c r="P35" s="297">
        <f>+P33+P34</f>
        <v>30555.803077563563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  <c r="P36" s="22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46312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2026-10-17T05:01:43Z</dcterms:modified>
</cp:coreProperties>
</file>