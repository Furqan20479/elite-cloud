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281E81-D790-4250-9ACE-6E661D3D47BB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3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 s="1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44"/>
  <c r="O21" i="44" s="1"/>
  <c r="P21" i="44" s="1"/>
  <c r="M17" i="44"/>
  <c r="O17" i="44" s="1"/>
  <c r="P17" i="44" s="1"/>
  <c r="M16" i="44"/>
  <c r="O16" i="44" s="1"/>
  <c r="K12" i="62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<sst xmlns="http://schemas.openxmlformats.org/spreadsheetml/2006/main" count="3976" uniqueCount="529">
  <si>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</si>
  <si>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</si>
  <si>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</si>
  <si>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</si>
  <si>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</si>
  <si>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</si>
  <si>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</si>
  <si>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</si>
  <si>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</si>
  <si>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</si>
  <si>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</si>
  <si>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</si>
  <si>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</si>
  <si>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</si>
  <si>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</si>
  <si>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</si>
  <si>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</si>
  <si>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</si>
  <si>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</si>
  <si>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</si>
  <si>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</si>
  <si>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</si>
  <si>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</si>
  <si>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</si>
  <si>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</si>
  <si>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</si>
  <si>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</si>
  <si>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</si>
  <si>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</si>
  <si>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</si>
  <si>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</si>
  <si>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</si>
  <si>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</si>
  <si>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</si>
  <si>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</si>
  <si>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</si>
  <si>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</si>
  <si>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</si>
  <si>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</si>
  <si>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</si>
  <si>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</si>
  <si>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</si>
  <si>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</si>
  <si>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</si>
  <si>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</si>
  <si>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</si>
  <si>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</si>
  <si>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</si>
  <si>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</si>
  <si>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</si>
  <si>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</si>
  <si>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</si>
  <si>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</si>
  <si>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</si>
  <si>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</si>
  <si>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</si>
  <si>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</si>
  <si>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</si>
  <si>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</si>
  <si>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</si>
  <si>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</si>
  <si>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</si>
  <si>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</si>
  <si>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</si>
  <si>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</si>
  <si>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</si>
  <si>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</si>
  <si>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</si>
  <si>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</si>
  <si>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</si>
  <si>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</si>
  <si>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</si>
  <si>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</si>
  <si>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</si>
  <si>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</si>
  <si>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</si>
  <si>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</si>
  <si>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</si>
  <si>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</si>
  <si>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</si>
  <si>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</si>
  <si>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</si>
  <si>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</si>
  <si>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</si>
  <si>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</si>
  <si>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</si>
  <si>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</si>
  <si>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</si>
  <si>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</si>
  <si>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</si>
  <si>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</si>
  <si>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</si>
  <si>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</si>
  <si>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</si>
  <si>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</si>
  <si>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</si>
  <si>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</si>
  <si>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</si>
  <si>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</si>
  <si>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</si>
  <si>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</si>
  <si>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</si>
  <si>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</si>
  <si>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</si>
  <si>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</si>
  <si>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</si>
  <si>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</si>
  <si>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</si>
  <si>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</si>
  <si>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</si>
  <si>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</si>
  <si>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</si>
  <si>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</si>
  <si>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</si>
  <si>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</si>
  <si>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</si>
  <si>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</si>
  <si>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</si>
  <si>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</si>
  <si>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</si>
  <si>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</si>
  <si>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</si>
  <si>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</si>
  <si>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</si>
  <si>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</si>
  <si>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</si>
  <si>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</si>
  <si>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</si>
  <si>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</si>
  <si>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</si>
  <si>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</si>
  <si>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</si>
  <si>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</si>
  <si>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</si>
  <si>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</si>
  <si>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</si>
  <si>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</si>
  <si>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</si>
  <si>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</si>
  <si>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</si>
  <si>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</si>
  <si>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</si>
  <si>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</si>
  <si>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</si>
  <si>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</si>
  <si>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</si>
  <si>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</si>
  <si>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</si>
  <si>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</si>
  <si>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</si>
  <si>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</si>
  <si>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</si>
  <si>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</si>
  <si>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</si>
  <si>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</si>
  <si>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</si>
  <si>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</si>
  <si>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</si>
  <si>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</si>
  <si>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</si>
  <si>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</si>
  <si>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</si>
  <si>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</si>
  <si>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</si>
  <si>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</si>
  <si>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</si>
  <si>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</si>
  <si>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</si>
  <si>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</si>
  <si>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</si>
  <si>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</si>
  <si>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</si>
  <si>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</si>
  <si>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</si>
  <si>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</si>
  <si>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</si>
  <si>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</si>
  <si>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</si>
  <si>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</si>
  <si>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</si>
  <si>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</si>
  <si>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</si>
  <si>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</si>
  <si>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</si>
  <si>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</si>
  <si>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</si>
  <si>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</si>
  <si>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</si>
  <si>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</si>
  <si>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</si>
  <si>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</si>
  <si>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</si>
  <si>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</si>
  <si>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</si>
  <si>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</si>
  <si>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</si>
  <si>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</si>
  <si>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</si>
  <si>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</si>
  <si>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</si>
  <si>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</si>
  <si>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</si>
  <si>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</si>
  <si>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</si>
  <si>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</si>
  <si>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</si>
  <si>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</si>
  <si>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</si>
  <si>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</si>
  <si>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</si>
  <si>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</si>
  <si>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</si>
  <si>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</si>
  <si>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</si>
  <si>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</si>
  <si>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</si>
  <si>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</si>
  <si>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</si>
  <si>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</si>
  <si>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</si>
  <si>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</si>
  <si>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</si>
  <si>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</si>
  <si>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</si>
  <si>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</si>
  <si>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</si>
  <si>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</si>
  <si>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</si>
  <si>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</si>
  <si>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</si>
  <si>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</si>
  <si>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</si>
  <si>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</si>
  <si>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</si>
  <si>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</si>
  <si>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</si>
  <si>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</si>
  <si>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</si>
  <si>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</si>
  <si>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</si>
  <si>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</si>
  <si>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</si>
  <si>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</si>
  <si>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</si>
  <si>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</si>
  <si>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</si>
  <si>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</si>
  <si>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</si>
  <si>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</si>
  <si>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</si>
  <si>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</si>
  <si>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</si>
  <si>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</si>
  <si>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</si>
  <si>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</si>
  <si>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</si>
  <si>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</si>
  <si>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</si>
  <si>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</si>
  <si>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</si>
  <si>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</si>
  <si>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</si>
  <si>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</si>
  <si>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</si>
  <si>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</si>
  <si>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</si>
  <si>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</si>
  <si>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</si>
  <si>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</si>
  <si>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</si>
  <si>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</si>
  <si>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</si>
  <si>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</si>
  <si>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</si>
  <si>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</si>
  <si>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</si>
  <si>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</si>
  <si>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</si>
  <si>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</si>
  <si>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</si>
  <si>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</si>
  <si>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</si>
  <si>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</si>
  <si>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</si>
  <si>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</si>
  <si>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</si>
  <si>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</si>
  <si>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</si>
  <si>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</si>
  <si>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</si>
  <si>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</si>
  <si>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</si>
  <si>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</si>
  <si>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</si>
  <si>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</si>
  <si>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</si>
  <si>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</si>
  <si>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</si>
  <si>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</si>
  <si>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</si>
  <si>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</si>
  <si>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</si>
  <si>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</si>
  <si>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</si>
  <si>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</si>
  <si>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</si>
  <si>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</si>
  <si>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</si>
  <si>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</si>
  <si>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</si>
  <si>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</si>
  <si>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</si>
  <si>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</si>
  <si>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</si>
  <si>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</si>
  <si>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</si>
  <si>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</si>
  <si>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</si>
  <si>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</si>
  <si>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</si>
  <si>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</si>
  <si>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</si>
  <si>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</si>
  <si>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</si>
  <si>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</si>
  <si>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</si>
  <si>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</si>
  <si>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</si>
  <si>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</si>
  <si>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</si>
  <si>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</si>
  <si>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</si>
  <si>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</si>
  <si>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</si>
  <si>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</si>
  <si>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</si>
  <si>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</si>
  <si>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</si>
  <si>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</si>
  <si>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</si>
  <si>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</si>
  <si>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</si>
  <si>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</si>
  <si>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</si>
  <si>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</si>
  <si>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</si>
  <si>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</si>
  <si>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</si>
  <si>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</si>
  <si>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</si>
  <si>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</si>
  <si>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</si>
  <si>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</si>
  <si>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</si>
  <si>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</si>
  <si>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</si>
  <si>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</si>
  <si>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</si>
  <si>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</si>
  <si>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</si>
  <si>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</si>
  <si>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</si>
  <si>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</si>
  <si>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</si>
  <si>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</si>
  <si>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</si>
  <si>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</si>
  <si>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</si>
  <si>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</si>
  <si>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</si>
  <si>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</si>
  <si>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</si>
  <si>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</si>
  <si>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</si>
  <si>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</si>
  <si>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</si>
  <si>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</si>
  <si>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</si>
  <si>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</si>
  <si>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</si>
  <si>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</si>
  <si>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</si>
  <si>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</si>
  <si>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</si>
  <si>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</si>
  <si>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</si>
  <si>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</si>
  <si>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</si>
  <si>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</si>
  <si>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</si>
  <si>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</si>
  <si>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</si>
  <si>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</si>
  <si>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</si>
  <si>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</si>
  <si>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</si>
  <si>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</si>
  <si>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</si>
  <si>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</si>
  <si>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</si>
  <si>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</si>
  <si>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</si>
  <si>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</si>
  <si>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</si>
  <si>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</si>
  <si>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</si>
  <si>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</si>
  <si>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</si>
  <si>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</si>
  <si>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</si>
  <si>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</si>
  <si>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</si>
  <si>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</si>
  <si>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</si>
  <si>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</si>
  <si>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</si>
  <si>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</si>
  <si>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</si>
  <si>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</si>
  <si>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</si>
  <si>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</si>
  <si>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</si>
  <si>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</si>
  <si>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</si>
  <si>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</si>
  <si>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</si>
  <si>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</si>
  <si>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</si>
  <si>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</si>
  <si>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</si>
  <si>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</si>
  <si>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</si>
  <si>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</si>
  <si>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</si>
  <si>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</si>
  <si>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</si>
  <si>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</si>
  <si>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</si>
  <si>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</si>
  <si>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</si>
  <si>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</si>
  <si>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</si>
  <si>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</si>
  <si>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</si>
  <si>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</si>
  <si>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</si>
  <si>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</si>
  <si>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</si>
  <si>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</si>
  <si>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</si>
  <si>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</si>
  <si>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</si>
  <si>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</si>
  <si>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</si>
  <si>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</si>
  <si>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</si>
  <si>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</si>
  <si>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</si>
  <si>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</si>
  <si>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</si>
  <si>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</si>
  <si>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</si>
  <si>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</si>
  <si>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</si>
  <si>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</si>
  <si>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</si>
  <si>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</si>
  <si>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</si>
  <si>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</si>
  <si>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</si>
  <si>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</si>
  <si>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</si>
  <si>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</si>
  <si>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</si>
  <si>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</si>
  <si>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</si>
  <si>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</si>
  <si>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</si>
  <si>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</si>
  <si>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</si>
  <si>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</si>
  <si>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</si>
  <si>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</si>
  <si>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</si>
  <si>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</si>
  <si>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</si>
  <si>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</si>
  <si>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</si>
  <si>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</si>
  <si>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</si>
  <si>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</si>
  <si>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</si>
  <si>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</si>
  <si>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</si>
  <si>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</si>
  <si>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</si>
  <si>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</si>
  <si>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</si>
  <si>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</si>
  <si>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</si>
  <si>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</si>
  <si>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</si>
  <si>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</si>
  <si>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</si>
  <si>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</si>
  <si>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</si>
  <si>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</si>
  <si>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</si>
  <si>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</si>
  <si>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</si>
  <si>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</si>
  <si>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</si>
  <si>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</si>
  <si>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</si>
  <si>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</si>
  <si>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</si>
  <si>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</si>
  <si>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</si>
  <si>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</si>
  <si>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Airport </t>
  </si>
  <si>
    <t>Euro Store</t>
  </si>
  <si>
    <t xml:space="preserve">Address:Rangers </t>
  </si>
  <si>
    <t>Address:GT Road</t>
  </si>
  <si>
    <t>NTN #:1218925-1</t>
  </si>
  <si>
    <t>NTN #: 5420873-2</t>
  </si>
  <si>
    <t>NTN #: 6273197-8</t>
  </si>
  <si>
    <t>NTN #: 2157875-3</t>
  </si>
  <si>
    <t>Invoice No # :00000</t>
  </si>
  <si>
    <t>Address:Fateh 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</si>
</sst>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517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513</v>
      </c>
      <c r="F3" s="388"/>
      <c r="G3" s="388"/>
      <c r="H3" s="385">
        <f ca="1">TODAY()</f>
        <v>46312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15298.547813771187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Euro Store</v>
      </c>
      <c r="T5" s="301">
        <f>+'3'!P35</f>
        <v>45895.643441313558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Euro Store</v>
      </c>
      <c r="T6" s="301">
        <f>+'4'!P35</f>
        <v>45895.643441313558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280</v>
      </c>
      <c r="I7" s="235">
        <f>(G7*D7)*F7+H7*F7</f>
        <v>14689.5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2056.5300000000002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514.13250000000005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12118.8375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2776.2711864406765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74.475543432203381</v>
      </c>
      <c r="P7" s="310">
        <f>M7+N7+O7</f>
        <v>14969.584229872878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280</v>
      </c>
      <c r="I8" s="236">
        <f t="shared" ref="I8:I14" si="0">(G8*D8)*F8+H8*F8</f>
        <v>14689.5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2056.5300000000002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514.13250000000005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12118.8375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2776.2711864406765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74.475543432203381</v>
      </c>
      <c r="P8" s="311">
        <f t="shared" ref="P8:P15" si="2">M8+N8+O8</f>
        <v>14969.584229872878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</v>
      </c>
      <c r="I9" s="236">
        <f t="shared" si="0"/>
        <v>14689.5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2056.5300000000002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514.13250000000005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12118.8375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2776.2711864406765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74.475543432203381</v>
      </c>
      <c r="P9" s="311">
        <f t="shared" si="2"/>
        <v>14969.584229872878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280</v>
      </c>
      <c r="I10" s="236">
        <f t="shared" si="0"/>
        <v>20339.2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2847.4880000000003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711.87200000000007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16779.84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3844.0677966101698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103.11953898305083</v>
      </c>
      <c r="P10" s="311">
        <f t="shared" si="2"/>
        <v>20727.027335593219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280</v>
      </c>
      <c r="I11" s="236">
        <f t="shared" si="0"/>
        <v>20339.2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2847.4880000000003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711.87200000000007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16779.84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3844.0677966101698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103.11953898305083</v>
      </c>
      <c r="P11" s="311">
        <f t="shared" si="2"/>
        <v>20727.027335593219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2847.4880000000003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711.87200000000007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16779.84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3844.0677966101698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103.11953898305083</v>
      </c>
      <c r="P12" s="311">
        <f t="shared" si="2"/>
        <v>20727.027335593219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42</v>
      </c>
      <c r="H16" s="113">
        <f t="shared" ref="H16:M16" si="3">SUM(H7:H15)</f>
        <v>1680</v>
      </c>
      <c r="I16" s="114">
        <f t="shared" si="3"/>
        <v>105086.09999999999</v>
      </c>
      <c r="J16" s="274">
        <f>SUM(J7:J15)</f>
        <v>14712.054000000004</v>
      </c>
      <c r="K16" s="275">
        <f t="shared" si="3"/>
        <v>3678.0135000000009</v>
      </c>
      <c r="L16" s="276">
        <f t="shared" si="3"/>
        <v>0</v>
      </c>
      <c r="M16" s="232">
        <f t="shared" si="3"/>
        <v>86696.032499999987</v>
      </c>
      <c r="N16" s="233">
        <f>SUM(N7:N15)</f>
        <v>19861.016949152538</v>
      </c>
      <c r="O16" s="101">
        <f>SUM(O7:O15)</f>
        <v>532.78524724576255</v>
      </c>
      <c r="P16" s="113">
        <f>SUM(P7:P15)</f>
        <v>107089.83469639828</v>
      </c>
      <c r="Q16" s="128">
        <f>SUM(Q7:Q15)</f>
        <v>240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105086.09999999999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14712.054000000004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3678.0135000000009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86696.032499999987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19861.016949152538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106557.04944915252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532.78524724576255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107089.83469639828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107089.83469639831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516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7.25" customHeight="1" x14ac:dyDescent="0.4">
      <c r="A6" s="398" t="s">
        <v>517</v>
      </c>
      <c r="B6" s="398"/>
      <c r="C6" s="398"/>
      <c r="F6" s="85"/>
      <c r="G6" s="86"/>
      <c r="K6" s="393" t="s">
        <v>69</v>
      </c>
      <c r="L6" s="393"/>
      <c r="M6" s="393"/>
      <c r="N6" s="395" t="s">
        <v>505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523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519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40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12">
        <v>40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12">
        <v>40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12">
        <v>40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12">
        <v>40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12">
        <v>40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7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507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524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521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2101.7220000000002</v>
      </c>
      <c r="K25" s="275">
        <f t="shared" si="7"/>
        <v>525.43050000000005</v>
      </c>
      <c r="L25" s="276">
        <f t="shared" si="7"/>
        <v>0</v>
      </c>
      <c r="M25" s="232">
        <f t="shared" si="7"/>
        <v>12385.147499999999</v>
      </c>
      <c r="N25" s="233">
        <f>SUM(N16:N24)</f>
        <v>2837.2881355932195</v>
      </c>
      <c r="O25" s="101">
        <f>SUM(O16:O24)</f>
        <v>76.112178177966101</v>
      </c>
      <c r="P25" s="113">
        <f>SUM(P16:P24)</f>
        <v>15298.547813771183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2101.7220000000002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525.43050000000005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12385.147500000001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15222.435635593221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72" t="s">
        <v>88</v>
      </c>
      <c r="O35" s="373"/>
      <c r="P35" s="297">
        <f>+P33+P34</f>
        <v>15298.547813771187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8.7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525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522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310">
        <f>M16+N16+O16</f>
        <v>6415.5360985169482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1">
        <f t="shared" ref="P17:P24" si="5">M17+N17+O17</f>
        <v>6415.5360985169482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311">
        <f t="shared" si="5"/>
        <v>6415.5360985169482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720</v>
      </c>
      <c r="I25" s="114">
        <f t="shared" si="7"/>
        <v>45036.899999999994</v>
      </c>
      <c r="J25" s="274">
        <f>SUM(J16:J24)</f>
        <v>6305.1660000000002</v>
      </c>
      <c r="K25" s="275">
        <f t="shared" si="7"/>
        <v>1576.2915</v>
      </c>
      <c r="L25" s="276">
        <f t="shared" si="7"/>
        <v>0</v>
      </c>
      <c r="M25" s="232">
        <f t="shared" si="7"/>
        <v>37155.442499999997</v>
      </c>
      <c r="N25" s="233">
        <f>SUM(N16:N24)</f>
        <v>8511.8644067796595</v>
      </c>
      <c r="O25" s="101">
        <f>SUM(O16:O24)</f>
        <v>228.33653453389826</v>
      </c>
      <c r="P25" s="113">
        <f>SUM(P16:P24)</f>
        <v>45895.643441313558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45036.899999999994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6305.1660000000002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1576.2915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37155.442499999997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45667.30690677966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228.33653453389832</v>
      </c>
    </row>
    <row r="35" spans="2:16" ht="15.75" customHeight="1" thickBot="1" x14ac:dyDescent="0.4">
      <c r="N35" s="372" t="s">
        <v>88</v>
      </c>
      <c r="O35" s="373"/>
      <c r="P35" s="297">
        <f>+P33+P34</f>
        <v>45895.643441313558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4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526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528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310">
        <f>M16+N16+O16</f>
        <v>6415.5360985169482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1">
        <f t="shared" ref="P17:P24" si="5">M17+N17+O17</f>
        <v>6415.5360985169482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311">
        <f t="shared" si="5"/>
        <v>6415.5360985169482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720</v>
      </c>
      <c r="I25" s="114">
        <f t="shared" si="7"/>
        <v>45036.899999999994</v>
      </c>
      <c r="J25" s="274">
        <f>SUM(J16:J24)</f>
        <v>6305.1660000000002</v>
      </c>
      <c r="K25" s="275">
        <f t="shared" si="7"/>
        <v>1576.2915</v>
      </c>
      <c r="L25" s="276">
        <f t="shared" si="7"/>
        <v>0</v>
      </c>
      <c r="M25" s="232">
        <f t="shared" si="7"/>
        <v>37155.442499999997</v>
      </c>
      <c r="N25" s="233">
        <f>SUM(N16:N24)</f>
        <v>8511.8644067796595</v>
      </c>
      <c r="O25" s="101">
        <f>SUM(O16:O24)</f>
        <v>228.33653453389826</v>
      </c>
      <c r="P25" s="113">
        <f>SUM(P16:P24)</f>
        <v>45895.643441313558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45036.899999999994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6305.1660000000002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1576.2915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37155.442499999997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45667.30690677966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228.33653453389832</v>
      </c>
    </row>
    <row r="35" spans="2:16" ht="15.75" customHeight="1" thickBot="1" x14ac:dyDescent="0.4">
      <c r="N35" s="372" t="s">
        <v>88</v>
      </c>
      <c r="O35" s="373"/>
      <c r="P35" s="297">
        <f>+P33+P34</f>
        <v>45895.643441313558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503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504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518</v>
      </c>
      <c r="B7" s="393"/>
      <c r="C7" s="393"/>
      <c r="F7" s="85"/>
      <c r="G7" s="86"/>
      <c r="K7" s="393" t="s">
        <v>66</v>
      </c>
      <c r="L7" s="393"/>
      <c r="M7" s="393"/>
      <c r="N7" s="395" t="s">
        <v>510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510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46313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46312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2026-10-17T05:06:07Z</dcterms:modified>
</cp:coreProperties>
</file>