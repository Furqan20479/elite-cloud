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F5BA319-FF96-45CF-905B-7FCD811A27A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<sst xmlns="http://schemas.openxmlformats.org/spreadsheetml/2006/main" count="3977" uniqueCount="517">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</sst>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515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46310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Zubaida Associate</v>
      </c>
      <c r="T3" s="301">
        <f>+'1'!P35</f>
        <v>379759.0093220339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3777.2999999999997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17207.7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105.86900847457626</v>
      </c>
      <c r="P7" s="310">
        <f>M7+N7+O7</f>
        <v>21279.670703389827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3777.2999999999997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17207.7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105.86900847457626</v>
      </c>
      <c r="P8" s="311">
        <f t="shared" ref="P8:P15" si="2">M8+N8+O8</f>
        <v>21279.670703389827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800</v>
      </c>
      <c r="I9" s="236">
        <f t="shared" si="0"/>
        <v>41970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7554.5999999999995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34415.4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7932.2033898305053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211.73801694915252</v>
      </c>
      <c r="P9" s="311">
        <f t="shared" si="2"/>
        <v>42559.341406779655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1200</v>
      </c>
      <c r="I10" s="236">
        <f t="shared" si="0"/>
        <v>87168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15690.24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71477.759999999995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16474.576271186441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439.76168135593218</v>
      </c>
      <c r="P10" s="311">
        <f t="shared" si="2"/>
        <v>88392.097952542361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10460.16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47651.839999999997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293.1744542372881</v>
      </c>
      <c r="P11" s="311">
        <f t="shared" si="2"/>
        <v>58928.065301694915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119129.60000000001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732.93613559322046</v>
      </c>
      <c r="P12" s="311">
        <f t="shared" si="2"/>
        <v>147320.1632542373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140</v>
      </c>
      <c r="H16" s="113">
        <f t="shared" ref="H16:M16" si="3">SUM(H7:H15)</f>
        <v>5600</v>
      </c>
      <c r="I16" s="114">
        <f t="shared" si="3"/>
        <v>374500</v>
      </c>
      <c r="J16" s="274">
        <f>SUM(J7:J15)</f>
        <v>67410</v>
      </c>
      <c r="K16" s="275">
        <f t="shared" si="3"/>
        <v>0</v>
      </c>
      <c r="L16" s="276">
        <f t="shared" si="3"/>
        <v>0</v>
      </c>
      <c r="M16" s="232">
        <f t="shared" si="3"/>
        <v>307090</v>
      </c>
      <c r="N16" s="233">
        <f>SUM(N7:N15)</f>
        <v>70779.661016949147</v>
      </c>
      <c r="O16" s="101">
        <f>SUM(O7:O15)</f>
        <v>1889.3483050847458</v>
      </c>
      <c r="P16" s="113">
        <f>SUM(P7:P15)</f>
        <v>379759.00932203385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374500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67410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307090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70779.661016949147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377869.66101694916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1889.3483050847458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379759.0093220339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379759.0093220339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T31" sqref="T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9.26953125" customWidth="1"/>
    <col min="16" max="16" width="10.54296875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7.2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3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0.18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3777.2999999999997</v>
      </c>
      <c r="K16" s="127">
        <f>$I16*T16</f>
        <v>0</v>
      </c>
      <c r="L16" s="118">
        <f>$I16*U16</f>
        <v>0</v>
      </c>
      <c r="M16" s="229">
        <f>I16-SUM(J16:L16)</f>
        <v>17207.7</v>
      </c>
      <c r="N16" s="248">
        <f>+(G16*D16+H16)*V16</f>
        <v>3966.1016949152527</v>
      </c>
      <c r="O16" s="238">
        <f>(N16+M16)*$O$15</f>
        <v>105.86900847457626</v>
      </c>
      <c r="P16" s="118">
        <f>M16+N16+O16</f>
        <v>21279.670703389827</v>
      </c>
      <c r="Q16" s="320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400</v>
      </c>
      <c r="I17" s="236">
        <f t="shared" ref="I17:I23" si="0">(G17*D17)*F17+H17*F17</f>
        <v>20985</v>
      </c>
      <c r="J17" s="272">
        <f t="shared" ref="J17:L24" si="1">$I17*S17</f>
        <v>3777.2999999999997</v>
      </c>
      <c r="K17" s="128">
        <f>$I17*T17</f>
        <v>0</v>
      </c>
      <c r="L17" s="119">
        <f>$I17*U17</f>
        <v>0</v>
      </c>
      <c r="M17" s="230">
        <f t="shared" ref="M17:M24" si="2">I17-SUM(J17:L17)</f>
        <v>17207.7</v>
      </c>
      <c r="N17" s="277">
        <f t="shared" ref="N17:N24" si="3">+(G17*D17+H17)*V17</f>
        <v>3966.1016949152527</v>
      </c>
      <c r="O17" s="239">
        <f t="shared" ref="O17:O24" si="4">(N17+M17)*$O$15</f>
        <v>105.86900847457626</v>
      </c>
      <c r="P17" s="119">
        <f t="shared" ref="P17:P24" si="5">M17+N17+O17</f>
        <v>21279.670703389827</v>
      </c>
      <c r="Q17" s="321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800</v>
      </c>
      <c r="I18" s="236">
        <f t="shared" ref="I18:I21" si="7">(G18*D18)*F18+H18*F18</f>
        <v>41970</v>
      </c>
      <c r="J18" s="272">
        <f t="shared" si="1"/>
        <v>7554.5999999999995</v>
      </c>
      <c r="K18" s="128">
        <f t="shared" si="1"/>
        <v>0</v>
      </c>
      <c r="L18" s="119">
        <f t="shared" si="1"/>
        <v>0</v>
      </c>
      <c r="M18" s="230">
        <f t="shared" si="2"/>
        <v>34415.4</v>
      </c>
      <c r="N18" s="277">
        <f t="shared" si="3"/>
        <v>7932.2033898305053</v>
      </c>
      <c r="O18" s="239">
        <f t="shared" si="4"/>
        <v>211.73801694915252</v>
      </c>
      <c r="P18" s="119">
        <f t="shared" si="5"/>
        <v>42559.341406779655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1200</v>
      </c>
      <c r="I19" s="236">
        <f t="shared" si="7"/>
        <v>87168</v>
      </c>
      <c r="J19" s="272">
        <f t="shared" si="1"/>
        <v>15690.24</v>
      </c>
      <c r="K19" s="128">
        <f t="shared" si="1"/>
        <v>0</v>
      </c>
      <c r="L19" s="119">
        <f t="shared" si="1"/>
        <v>0</v>
      </c>
      <c r="M19" s="230">
        <f t="shared" si="2"/>
        <v>71477.759999999995</v>
      </c>
      <c r="N19" s="277">
        <f t="shared" si="3"/>
        <v>16474.576271186441</v>
      </c>
      <c r="O19" s="239">
        <f t="shared" si="4"/>
        <v>439.76168135593218</v>
      </c>
      <c r="P19" s="119">
        <f t="shared" si="5"/>
        <v>88392.097952542361</v>
      </c>
      <c r="Q19" s="321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10460.16</v>
      </c>
      <c r="K20" s="128">
        <f t="shared" si="1"/>
        <v>0</v>
      </c>
      <c r="L20" s="119">
        <f t="shared" si="1"/>
        <v>0</v>
      </c>
      <c r="M20" s="230">
        <f t="shared" si="2"/>
        <v>47651.839999999997</v>
      </c>
      <c r="N20" s="277">
        <f t="shared" si="3"/>
        <v>10983.050847457627</v>
      </c>
      <c r="O20" s="239">
        <f t="shared" si="4"/>
        <v>293.1744542372881</v>
      </c>
      <c r="P20" s="119">
        <f t="shared" si="5"/>
        <v>58928.065301694915</v>
      </c>
      <c r="Q20" s="321"/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0</v>
      </c>
      <c r="L21" s="119">
        <f t="shared" si="1"/>
        <v>0</v>
      </c>
      <c r="M21" s="230">
        <f t="shared" si="2"/>
        <v>119129.60000000001</v>
      </c>
      <c r="N21" s="277">
        <f t="shared" si="3"/>
        <v>27457.627118644068</v>
      </c>
      <c r="O21" s="239">
        <f t="shared" si="4"/>
        <v>732.93613559322046</v>
      </c>
      <c r="P21" s="119">
        <f t="shared" si="5"/>
        <v>147320.1632542373</v>
      </c>
      <c r="Q21" s="321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5600</v>
      </c>
      <c r="I25" s="114">
        <f t="shared" ref="I25:M25" si="10">SUM(I16:I24)</f>
        <v>374500</v>
      </c>
      <c r="J25" s="274">
        <f>SUM(J16:J24)</f>
        <v>67410</v>
      </c>
      <c r="K25" s="275">
        <f t="shared" si="10"/>
        <v>0</v>
      </c>
      <c r="L25" s="276">
        <f t="shared" si="10"/>
        <v>0</v>
      </c>
      <c r="M25" s="232">
        <f t="shared" si="10"/>
        <v>307090</v>
      </c>
      <c r="N25" s="233">
        <f>SUM(N16:N24)</f>
        <v>70779.661016949147</v>
      </c>
      <c r="O25" s="101">
        <f>SUM(O16:O24)</f>
        <v>1889.3483050847458</v>
      </c>
      <c r="P25" s="234">
        <f>SUM(P16:P24)</f>
        <v>379759.00932203385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374500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67410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307090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70779.661016949147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377869.66101694916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1889.3483050847458</v>
      </c>
    </row>
    <row r="35" spans="2:16" ht="15.75" customHeight="1" thickBot="1" x14ac:dyDescent="0.4">
      <c r="N35" s="375" t="s">
        <v>88</v>
      </c>
      <c r="O35" s="376"/>
      <c r="P35" s="297">
        <f>+P33+P34</f>
        <v>379759.0093220339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46310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2026-10-15T08:52:47Z</dcterms:modified>
</cp:coreProperties>
</file>