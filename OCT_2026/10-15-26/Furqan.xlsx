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D431811-8483-47F6-BE64-019BDFE3E777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3" l="1"/>
  <c r="N4" i="70"/>
  <c r="N5" i="70" s="1"/>
  <c r="N4" i="58"/>
  <c r="N4" i="61"/>
  <c r="N5" i="61" s="1"/>
  <c r="N5" i="11"/>
  <c r="N4" i="51"/>
  <c r="N4" i="57"/>
  <c r="N4" i="55"/>
  <c r="N5" i="55" s="1"/>
  <c r="N4" i="64"/>
  <c r="N5" i="64" s="1"/>
  <c r="N4" i="45"/>
  <c r="N4" i="59"/>
  <c r="N4" i="68"/>
  <c r="N5" i="68" s="1"/>
  <c r="N4" i="50"/>
  <c r="N4" i="67"/>
  <c r="N5" i="67" s="1"/>
  <c r="N4" i="46"/>
  <c r="N4" i="53"/>
  <c r="N5" i="53" s="1"/>
  <c r="N4" i="69"/>
  <c r="N5" i="69" s="1"/>
  <c r="N4" i="65"/>
  <c r="N5" i="65" s="1"/>
  <c r="N4" i="60"/>
  <c r="N4" i="52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<sst xmlns="http://schemas.openxmlformats.org/spreadsheetml/2006/main" count="3948" uniqueCount="530">
  <si>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</si>
  <si>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</si>
  <si>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</si>
  <si>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</si>
  <si>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</si>
  <si>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</si>
  <si>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</si>
  <si>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</si>
  <si>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</si>
  <si>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</si>
  <si>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</si>
  <si>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</si>
  <si>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</si>
  <si>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</si>
  <si>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</si>
  <si>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</si>
  <si>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</si>
  <si>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</si>
  <si>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</si>
  <si>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</si>
  <si>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</si>
  <si>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</si>
  <si>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</si>
  <si>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</si>
  <si>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</si>
  <si>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</si>
  <si>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</si>
  <si>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</si>
  <si>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</si>
  <si>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</si>
  <si>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</si>
  <si>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</si>
  <si>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</si>
  <si>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</si>
  <si>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</si>
  <si>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</si>
  <si>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</si>
  <si>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</si>
  <si>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</si>
  <si>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</si>
  <si>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</si>
  <si>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</si>
  <si>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</si>
  <si>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</si>
  <si>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</si>
  <si>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</si>
  <si>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</si>
  <si>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</si>
  <si>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</si>
  <si>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</si>
  <si>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</si>
  <si>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</si>
  <si>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</si>
  <si>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</si>
  <si>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</si>
  <si>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</si>
  <si>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</si>
  <si>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</si>
  <si>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</si>
  <si>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</si>
  <si>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</si>
  <si>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</si>
  <si>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</si>
  <si>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</si>
  <si>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</si>
  <si>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</si>
  <si>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</si>
  <si>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</si>
  <si>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</si>
  <si>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</si>
  <si>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</si>
  <si>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</si>
  <si>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</si>
  <si>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</si>
  <si>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</si>
  <si>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</si>
  <si>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</si>
  <si>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</si>
  <si>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</si>
  <si>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</si>
  <si>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</si>
  <si>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</si>
  <si>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</si>
  <si>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</si>
  <si>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</si>
  <si>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</si>
  <si>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</si>
  <si>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</si>
  <si>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</si>
  <si>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</si>
  <si>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</si>
  <si>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</si>
  <si>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</si>
  <si>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</si>
  <si>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</si>
  <si>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</si>
  <si>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</si>
  <si>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</si>
  <si>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</si>
  <si>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</si>
  <si>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</si>
  <si>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</si>
  <si>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</si>
  <si>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</si>
  <si>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</si>
  <si>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</si>
  <si>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</si>
  <si>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</si>
  <si>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</si>
  <si>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</si>
  <si>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</si>
  <si>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</si>
  <si>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</si>
  <si>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</si>
  <si>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</si>
  <si>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</si>
  <si>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</si>
  <si>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</si>
  <si>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</si>
  <si>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</si>
  <si>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</si>
  <si>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</si>
  <si>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</si>
  <si>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</si>
  <si>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</si>
  <si>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</si>
  <si>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</si>
  <si>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</si>
  <si>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</si>
  <si>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</si>
  <si>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</si>
  <si>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</si>
  <si>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</si>
  <si>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</si>
  <si>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</si>
  <si>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</si>
  <si>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</si>
  <si>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</si>
  <si>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</si>
  <si>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</si>
  <si>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</si>
  <si>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</si>
  <si>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</si>
  <si>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</si>
  <si>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</si>
  <si>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</si>
  <si>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</si>
  <si>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</si>
  <si>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</si>
  <si>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</si>
  <si>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</si>
  <si>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</si>
  <si>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</si>
  <si>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</si>
  <si>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</si>
  <si>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</si>
  <si>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</si>
  <si>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</si>
  <si>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</si>
  <si>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</si>
  <si>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</si>
  <si>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</si>
  <si>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</si>
  <si>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</si>
  <si>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</si>
  <si>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</si>
  <si>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</si>
  <si>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</si>
  <si>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</si>
  <si>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</si>
  <si>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</si>
  <si>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</si>
  <si>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</si>
  <si>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</si>
  <si>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</si>
  <si>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</si>
  <si>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</si>
  <si>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</si>
  <si>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</si>
  <si>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</si>
  <si>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</si>
  <si>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</si>
  <si>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</si>
  <si>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</si>
  <si>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</si>
  <si>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</si>
  <si>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</si>
  <si>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</si>
  <si>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</si>
  <si>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</si>
  <si>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</si>
  <si>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</si>
  <si>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</si>
  <si>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</si>
  <si>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</si>
  <si>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</si>
  <si>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</si>
  <si>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</si>
  <si>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</si>
  <si>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</si>
  <si>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</si>
  <si>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</si>
  <si>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</si>
  <si>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</si>
  <si>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</si>
  <si>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</si>
  <si>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</si>
  <si>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</si>
  <si>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</si>
  <si>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</si>
  <si>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</si>
  <si>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</si>
  <si>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</si>
  <si>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</si>
  <si>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</si>
  <si>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</si>
  <si>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</si>
  <si>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</si>
  <si>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</si>
  <si>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</si>
  <si>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</si>
  <si>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</si>
  <si>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</si>
  <si>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</si>
  <si>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</si>
  <si>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</si>
  <si>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</si>
  <si>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</si>
  <si>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</si>
  <si>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</si>
  <si>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</si>
  <si>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</si>
  <si>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</si>
  <si>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</si>
  <si>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</si>
  <si>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</si>
  <si>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</si>
  <si>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</si>
  <si>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</si>
  <si>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</si>
  <si>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</si>
  <si>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</si>
  <si>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</si>
  <si>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</si>
  <si>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</si>
  <si>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</si>
  <si>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</si>
  <si>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</si>
  <si>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</si>
  <si>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</si>
  <si>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</si>
  <si>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</si>
  <si>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</si>
  <si>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</si>
  <si>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</si>
  <si>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</si>
  <si>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</si>
  <si>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</si>
  <si>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</si>
  <si>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</si>
  <si>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</si>
  <si>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</si>
  <si>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</si>
  <si>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</si>
  <si>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</si>
  <si>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</si>
  <si>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</si>
  <si>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</si>
  <si>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</si>
  <si>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</si>
  <si>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</si>
  <si>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</si>
  <si>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</si>
  <si>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</si>
  <si>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</si>
  <si>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</si>
  <si>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</si>
  <si>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</si>
  <si>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</si>
  <si>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</si>
  <si>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</si>
  <si>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</si>
  <si>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</si>
  <si>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</si>
  <si>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</si>
  <si>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</si>
  <si>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</si>
  <si>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</si>
  <si>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</si>
  <si>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</si>
  <si>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</si>
  <si>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</si>
  <si>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</si>
  <si>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</si>
  <si>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</si>
  <si>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</si>
  <si>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</si>
  <si>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</si>
  <si>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</si>
  <si>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</si>
  <si>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</si>
  <si>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</si>
  <si>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</si>
  <si>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</si>
  <si>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</si>
  <si>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</si>
  <si>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</si>
  <si>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</si>
  <si>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</si>
  <si>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</si>
  <si>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</si>
  <si>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</si>
  <si>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</si>
  <si>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</si>
  <si>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</si>
  <si>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</si>
  <si>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</si>
  <si>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</si>
  <si>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</si>
  <si>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</si>
  <si>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</si>
  <si>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</si>
  <si>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</si>
  <si>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</si>
  <si>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</si>
  <si>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</si>
  <si>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</si>
  <si>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</si>
  <si>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</si>
  <si>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</si>
  <si>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</si>
  <si>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</si>
  <si>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</si>
  <si>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</si>
  <si>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</si>
  <si>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</si>
  <si>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</si>
  <si>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</si>
  <si>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</si>
  <si>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</si>
  <si>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</si>
  <si>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</si>
  <si>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</si>
  <si>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</si>
  <si>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</si>
  <si>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</si>
  <si>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</si>
  <si>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</si>
  <si>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</si>
  <si>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</si>
  <si>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</si>
  <si>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</si>
  <si>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</si>
  <si>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</si>
  <si>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</si>
  <si>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</si>
  <si>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</si>
  <si>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</si>
  <si>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</si>
  <si>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</si>
  <si>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</si>
  <si>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</si>
  <si>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</si>
  <si>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</si>
  <si>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</si>
  <si>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</si>
  <si>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</si>
  <si>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</si>
  <si>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</si>
  <si>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</si>
  <si>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</si>
  <si>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</si>
  <si>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</si>
  <si>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</si>
  <si>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</si>
  <si>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</si>
  <si>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</si>
  <si>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</si>
  <si>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</si>
  <si>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</si>
  <si>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</si>
  <si>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</si>
  <si>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</si>
  <si>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</si>
  <si>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</si>
  <si>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</si>
  <si>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</si>
  <si>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</si>
  <si>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</si>
  <si>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</si>
  <si>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</si>
  <si>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</si>
  <si>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</si>
  <si>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</si>
  <si>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</si>
  <si>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</si>
  <si>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</si>
  <si>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</si>
  <si>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</si>
  <si>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</si>
  <si>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</si>
  <si>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</si>
  <si>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</si>
  <si>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</si>
  <si>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</si>
  <si>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</si>
  <si>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</si>
  <si>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</si>
  <si>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</si>
  <si>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</si>
  <si>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</si>
  <si>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</si>
  <si>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</si>
  <si>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</si>
  <si>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</si>
  <si>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</si>
  <si>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</si>
  <si>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</si>
  <si>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</si>
  <si>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</si>
  <si>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</si>
  <si>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</si>
  <si>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</si>
  <si>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</si>
  <si>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</si>
  <si>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</si>
  <si>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</si>
  <si>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</si>
  <si>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</si>
  <si>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</si>
  <si>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</si>
  <si>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</si>
  <si>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</si>
  <si>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</si>
  <si>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</si>
  <si>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</si>
  <si>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</si>
  <si>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</si>
  <si>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</si>
  <si>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</si>
  <si>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</si>
  <si>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</si>
  <si>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</si>
  <si>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</si>
  <si>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</si>
  <si>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</si>
  <si>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</si>
  <si>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</si>
  <si>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</si>
  <si>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</si>
  <si>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</si>
  <si>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</si>
  <si>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</si>
  <si>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</si>
  <si>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</si>
  <si>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</si>
  <si>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</si>
  <si>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</si>
  <si>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</si>
  <si>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</si>
  <si>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</si>
  <si>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</si>
  <si>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</si>
  <si>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</si>
  <si>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</si>
  <si>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</si>
  <si>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</si>
  <si>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</si>
  <si>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</si>
  <si>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</si>
  <si>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</si>
  <si>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</si>
  <si>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</si>
  <si>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</si>
  <si>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</si>
  <si>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</si>
  <si>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</si>
  <si>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</si>
  <si>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</si>
  <si>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</si>
  <si>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</si>
  <si>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</si>
  <si>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</si>
  <si>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</si>
  <si>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</si>
  <si>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</si>
  <si>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</si>
  <si>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</si>
  <si>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</si>
  <si>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</si>
  <si>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</si>
  <si>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</si>
  <si>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</si>
  <si>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</si>
  <si>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</si>
  <si>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</si>
  <si>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</si>
  <si>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</si>
  <si>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</si>
  <si>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</si>
  <si>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</si>
  <si>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</si>
  <si>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</si>
  <si>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</si>
  <si>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</si>
  <si>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</si>
  <si>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</si>
  <si>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</si>
  <si>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</si>
  <si>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</si>
  <si>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</si>
  <si>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</si>
  <si>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</si>
  <si>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</si>
  <si>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Furqan</t>
  </si>
  <si>
    <t xml:space="preserve">Ajwa Sweets &amp; Bakers </t>
  </si>
  <si>
    <t>Address: Makkah colony</t>
  </si>
  <si>
    <t>Aqeel Qadri Store</t>
  </si>
  <si>
    <t>Ghose GS</t>
  </si>
  <si>
    <t>Address: Firdos Market</t>
  </si>
  <si>
    <t>Yahya Gs</t>
  </si>
  <si>
    <t>Saleem Store</t>
  </si>
  <si>
    <t>Shakeel GS</t>
  </si>
  <si>
    <t>Address: Sheer paa Bazar</t>
  </si>
  <si>
    <t>Lasani Sweets</t>
  </si>
  <si>
    <t>Address: Sher Pa Bazar</t>
  </si>
  <si>
    <t>New Prince Store</t>
  </si>
  <si>
    <t>Address: Sher Pa</t>
  </si>
  <si>
    <t>Saeed Khan Store</t>
  </si>
  <si>
    <t>Address: Pepsi Gate no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</si>
</sst>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R36" sqref="R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46310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Ajwa Sweets &amp; Bakers </v>
      </c>
      <c r="T3" s="301">
        <f>+'1'!P35</f>
        <v>1568.1057925423729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Aqeel Qadri Store</v>
      </c>
      <c r="T4" s="301">
        <f>+'2'!P35</f>
        <v>339.75773742584738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Ghose GS</v>
      </c>
      <c r="T5" s="301">
        <f>+'3'!P35</f>
        <v>470.43173776271186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Yahya Gs</v>
      </c>
      <c r="T6" s="301">
        <f>+'4'!P35</f>
        <v>339.75773742584738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</v>
      </c>
      <c r="I7" s="235">
        <f>(G7*D7)*F7+H7*F7</f>
        <v>629.54999999999995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50.363999999999997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22.03425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557.15174999999999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118.98305084745758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3.3806740042372878</v>
      </c>
      <c r="P7" s="310">
        <f>M7+N7+O7</f>
        <v>679.51547485169488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Saleem Store</v>
      </c>
      <c r="T7" s="301">
        <f>+'5'!P35</f>
        <v>2927.136742245762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</v>
      </c>
      <c r="I8" s="236">
        <f t="shared" ref="I8:I14" si="0">(G8*D8)*F8+H8*F8</f>
        <v>629.54999999999995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50.363999999999997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22.03425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557.15174999999999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118.98305084745758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3.3806740042372878</v>
      </c>
      <c r="P8" s="311">
        <f t="shared" ref="P8:P15" si="2">M8+N8+O8</f>
        <v>679.51547485169488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Shakeel GS</v>
      </c>
      <c r="T8" s="301">
        <f>+'6'!P35</f>
        <v>1568.1057925423729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24</v>
      </c>
      <c r="I9" s="236">
        <f t="shared" si="0"/>
        <v>1259.0999999999999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100.72799999999999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44.0685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1114.3035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237.96610169491515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6.7613480084745756</v>
      </c>
      <c r="P9" s="311">
        <f t="shared" si="2"/>
        <v>1359.0309497033898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Lasani Sweets</v>
      </c>
      <c r="T9" s="301">
        <f>+'7'!P35</f>
        <v>3136.2115850847463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70</v>
      </c>
      <c r="I10" s="236">
        <f t="shared" si="0"/>
        <v>5084.8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406.78400000000005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177.96800000000002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4500.0479999999998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961.01694915254257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27.305324745762718</v>
      </c>
      <c r="P10" s="311">
        <f t="shared" si="2"/>
        <v>5488.3702738983047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New Prince Store</v>
      </c>
      <c r="T10" s="301">
        <f>+'8'!P35</f>
        <v>940.86347552542372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19</v>
      </c>
      <c r="I11" s="236">
        <f t="shared" si="0"/>
        <v>1380.16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110.4128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48.305600000000013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1221.4416000000001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260.84745762711862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7.4114452881355941</v>
      </c>
      <c r="P11" s="311">
        <f t="shared" si="2"/>
        <v>1489.7005029152544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Saeed Khan Store</v>
      </c>
      <c r="T11" s="301">
        <f>+'9'!P35</f>
        <v>679.51547485169476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29</v>
      </c>
      <c r="I12" s="236">
        <f t="shared" si="0"/>
        <v>2106.56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168.52480000000003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73.729600000000019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1864.3055999999999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398.13559322033899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11.312205966101697</v>
      </c>
      <c r="P12" s="311">
        <f t="shared" si="2"/>
        <v>2273.7533991864407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4.1500000000000004</v>
      </c>
      <c r="H16" s="113">
        <f t="shared" ref="H16:M16" si="3">SUM(H7:H15)</f>
        <v>166</v>
      </c>
      <c r="I16" s="114">
        <f t="shared" si="3"/>
        <v>11089.72</v>
      </c>
      <c r="J16" s="274">
        <f>SUM(J7:J15)</f>
        <v>887.1776000000001</v>
      </c>
      <c r="K16" s="275">
        <f t="shared" si="3"/>
        <v>388.14020000000005</v>
      </c>
      <c r="L16" s="276">
        <f t="shared" si="3"/>
        <v>0</v>
      </c>
      <c r="M16" s="232">
        <f t="shared" si="3"/>
        <v>9814.4022000000004</v>
      </c>
      <c r="N16" s="233">
        <f>SUM(N7:N15)</f>
        <v>2095.9322033898306</v>
      </c>
      <c r="O16" s="101">
        <f>SUM(O7:O15)</f>
        <v>59.551672016949169</v>
      </c>
      <c r="P16" s="113">
        <f>SUM(P7:P15)</f>
        <v>11969.886075406779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11089.72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887.1776000000001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388.14020000000005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9814.4021999999986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2095.9322033898306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11910.334403389828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59.551672016949169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11969.886075406777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11969.886075406779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20</v>
      </c>
      <c r="I25" s="114">
        <f t="shared" ref="I25:M25" si="10">SUM(I16:I24)</f>
        <v>1452.8</v>
      </c>
      <c r="J25" s="274">
        <f>SUM(J16:J24)</f>
        <v>116.224</v>
      </c>
      <c r="K25" s="275">
        <f t="shared" si="10"/>
        <v>50.848000000000006</v>
      </c>
      <c r="L25" s="276">
        <f t="shared" si="10"/>
        <v>0</v>
      </c>
      <c r="M25" s="232">
        <f t="shared" si="10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disablePrompts="1"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25.181999999999999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314.77499999999998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25.181999999999999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11.017125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278.57587499999994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338.06740042372871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74" t="s">
        <v>88</v>
      </c>
      <c r="O35" s="375"/>
      <c r="P35" s="297">
        <f>+P33+P34</f>
        <v>339.75773742584738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519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</v>
      </c>
      <c r="I20" s="236">
        <f t="shared" si="0"/>
        <v>145.28</v>
      </c>
      <c r="J20" s="272">
        <f t="shared" si="1"/>
        <v>11.622400000000001</v>
      </c>
      <c r="K20" s="128">
        <f t="shared" si="1"/>
        <v>5.0848000000000004</v>
      </c>
      <c r="L20" s="119">
        <f t="shared" si="1"/>
        <v>0</v>
      </c>
      <c r="M20" s="230">
        <f t="shared" si="2"/>
        <v>128.5728</v>
      </c>
      <c r="N20" s="277">
        <f t="shared" si="3"/>
        <v>27.457627118644069</v>
      </c>
      <c r="O20" s="239">
        <f t="shared" si="4"/>
        <v>0.78015213559322039</v>
      </c>
      <c r="P20" s="119">
        <f t="shared" si="5"/>
        <v>156.8105792542373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</v>
      </c>
      <c r="L25" s="276">
        <f t="shared" si="7"/>
        <v>0</v>
      </c>
      <c r="M25" s="232">
        <f t="shared" si="7"/>
        <v>385.71839999999997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470.43173776271192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314.77499999999998</v>
      </c>
      <c r="J25" s="274">
        <f>SUM(J16:J24)</f>
        <v>25.181999999999999</v>
      </c>
      <c r="K25" s="275">
        <f t="shared" si="7"/>
        <v>11.017125</v>
      </c>
      <c r="L25" s="276">
        <f t="shared" si="7"/>
        <v>0</v>
      </c>
      <c r="M25" s="232">
        <f t="shared" si="7"/>
        <v>278.575875</v>
      </c>
      <c r="N25" s="233">
        <f>SUM(N16:N24)</f>
        <v>59.491525423728788</v>
      </c>
      <c r="O25" s="101">
        <f>SUM(O16:O24)</f>
        <v>1.6903370021186439</v>
      </c>
      <c r="P25" s="234">
        <f>SUM(P16:P24)</f>
        <v>339.75773742584744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314.77499999999998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25.181999999999999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11.017125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278.57587499999994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59.491525423728788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338.06740042372871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1.6903370021186437</v>
      </c>
    </row>
    <row r="35" spans="2:16" ht="15.75" customHeight="1" thickBot="1" x14ac:dyDescent="0.4">
      <c r="N35" s="374" t="s">
        <v>88</v>
      </c>
      <c r="O35" s="375"/>
      <c r="P35" s="297">
        <f>+P33+P34</f>
        <v>339.75773742584738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519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44</v>
      </c>
      <c r="I25" s="114">
        <f t="shared" si="7"/>
        <v>2711.8999999999996</v>
      </c>
      <c r="J25" s="274">
        <f>SUM(J16:J24)</f>
        <v>216.952</v>
      </c>
      <c r="K25" s="275">
        <f t="shared" si="7"/>
        <v>94.916500000000013</v>
      </c>
      <c r="L25" s="276">
        <f t="shared" si="7"/>
        <v>0</v>
      </c>
      <c r="M25" s="232">
        <f t="shared" si="7"/>
        <v>2400.0315000000001</v>
      </c>
      <c r="N25" s="233">
        <f>SUM(N16:N24)</f>
        <v>512.54237288135585</v>
      </c>
      <c r="O25" s="101">
        <f>SUM(O16:O24)</f>
        <v>14.562869364406779</v>
      </c>
      <c r="P25" s="234">
        <f>SUM(P16:P24)</f>
        <v>2927.1367422457624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2711.8999999999996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216.952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94.916500000000013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2400.0314999999996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512.54237288135585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2912.5738728813553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14.562869364406778</v>
      </c>
    </row>
    <row r="35" spans="2:16" ht="15.75" customHeight="1" thickBot="1" x14ac:dyDescent="0.4">
      <c r="N35" s="374" t="s">
        <v>88</v>
      </c>
      <c r="O35" s="375"/>
      <c r="P35" s="297">
        <f>+P33+P34</f>
        <v>2927.136742245762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116.224</v>
      </c>
      <c r="K25" s="275">
        <f t="shared" si="7"/>
        <v>50.848000000000006</v>
      </c>
      <c r="L25" s="276">
        <f t="shared" si="7"/>
        <v>0</v>
      </c>
      <c r="M25" s="232">
        <f t="shared" si="7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525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17</v>
      </c>
      <c r="I20" s="236">
        <f t="shared" si="0"/>
        <v>1234.8800000000001</v>
      </c>
      <c r="J20" s="272">
        <f t="shared" si="1"/>
        <v>98.790400000000005</v>
      </c>
      <c r="K20" s="128">
        <f t="shared" si="1"/>
        <v>43.220800000000011</v>
      </c>
      <c r="L20" s="119">
        <f t="shared" si="1"/>
        <v>0</v>
      </c>
      <c r="M20" s="230">
        <f t="shared" si="2"/>
        <v>1092.8688000000002</v>
      </c>
      <c r="N20" s="277">
        <f t="shared" si="3"/>
        <v>233.38983050847457</v>
      </c>
      <c r="O20" s="239">
        <f t="shared" si="4"/>
        <v>6.6312931525423737</v>
      </c>
      <c r="P20" s="119">
        <f t="shared" si="5"/>
        <v>1332.8899236610171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17</v>
      </c>
      <c r="I21" s="236">
        <f t="shared" si="0"/>
        <v>1234.8800000000001</v>
      </c>
      <c r="J21" s="272">
        <f t="shared" si="1"/>
        <v>98.790400000000005</v>
      </c>
      <c r="K21" s="128">
        <f t="shared" si="1"/>
        <v>43.220800000000011</v>
      </c>
      <c r="L21" s="119">
        <f t="shared" si="1"/>
        <v>0</v>
      </c>
      <c r="M21" s="230">
        <f t="shared" si="2"/>
        <v>1092.8688000000002</v>
      </c>
      <c r="N21" s="277">
        <f t="shared" si="3"/>
        <v>233.38983050847457</v>
      </c>
      <c r="O21" s="239">
        <f t="shared" si="4"/>
        <v>6.6312931525423737</v>
      </c>
      <c r="P21" s="119">
        <f t="shared" si="5"/>
        <v>1332.8899236610171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232.44800000000001</v>
      </c>
      <c r="K25" s="275">
        <f t="shared" si="7"/>
        <v>101.69600000000003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3136.2115850847463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527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871.68000000000006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69.734400000000008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30.508800000000004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771.43680000000006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936.18256271186442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74" t="s">
        <v>88</v>
      </c>
      <c r="O35" s="375"/>
      <c r="P35" s="297">
        <f>+P33+P34</f>
        <v>940.86347552542372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529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</v>
      </c>
      <c r="I25" s="114">
        <f t="shared" si="7"/>
        <v>629.54999999999995</v>
      </c>
      <c r="J25" s="274">
        <f>SUM(J16:J24)</f>
        <v>50.363999999999997</v>
      </c>
      <c r="K25" s="275">
        <f t="shared" si="7"/>
        <v>22.03425</v>
      </c>
      <c r="L25" s="276">
        <f t="shared" si="7"/>
        <v>0</v>
      </c>
      <c r="M25" s="232">
        <f t="shared" si="7"/>
        <v>557.15174999999999</v>
      </c>
      <c r="N25" s="233">
        <f>SUM(N16:N24)</f>
        <v>118.98305084745758</v>
      </c>
      <c r="O25" s="101">
        <f>SUM(O16:O24)</f>
        <v>3.3806740042372878</v>
      </c>
      <c r="P25" s="234">
        <f>SUM(P16:P24)</f>
        <v>679.51547485169488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629.54999999999995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50.363999999999997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22.03425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557.15174999999988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118.98305084745758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676.13480084745743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3.3806740042372874</v>
      </c>
    </row>
    <row r="35" spans="2:16" ht="15.75" customHeight="1" thickBot="1" x14ac:dyDescent="0.4">
      <c r="N35" s="374" t="s">
        <v>88</v>
      </c>
      <c r="O35" s="375"/>
      <c r="P35" s="297">
        <f>+P33+P34</f>
        <v>679.51547485169476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46310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46309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Furqan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46311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46310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2026-10-15T06:02:20Z</dcterms:modified>
</cp:coreProperties>
</file>