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8CE1844-D9E0-4B42-A3DF-9E9DF5869AA8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<sst xmlns="http://schemas.openxmlformats.org/spreadsheetml/2006/main" count="3918" uniqueCount="517">
  <si>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</si>
  <si>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</si>
  <si>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</si>
  <si>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</si>
  <si>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</si>
  <si>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</si>
  <si>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</si>
  <si>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</si>
  <si>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</si>
  <si>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</si>
  <si>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</si>
  <si>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</si>
  <si>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</si>
  <si>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</si>
  <si>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</si>
  <si>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</si>
  <si>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</si>
  <si>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</si>
  <si>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</si>
  <si>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</si>
  <si>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</si>
  <si>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</si>
  <si>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</si>
  <si>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</si>
  <si>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</si>
  <si>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</si>
  <si>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</si>
  <si>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</si>
  <si>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</si>
  <si>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</si>
  <si>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</si>
  <si>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</si>
  <si>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</si>
  <si>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</si>
  <si>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</si>
  <si>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</si>
  <si>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</si>
  <si>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</si>
  <si>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</si>
  <si>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</si>
  <si>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</si>
  <si>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</si>
  <si>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</si>
  <si>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</si>
  <si>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</si>
  <si>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</si>
  <si>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</si>
  <si>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</si>
  <si>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</si>
  <si>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</si>
  <si>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</si>
  <si>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</si>
  <si>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</si>
  <si>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</si>
  <si>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</si>
  <si>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</si>
  <si>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</si>
  <si>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</si>
  <si>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</si>
  <si>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</si>
  <si>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</si>
  <si>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</si>
  <si>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</si>
  <si>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</si>
  <si>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</si>
  <si>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</si>
  <si>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</si>
  <si>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</si>
  <si>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</si>
  <si>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</si>
  <si>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</si>
  <si>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</si>
  <si>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</si>
  <si>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</si>
  <si>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</si>
  <si>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</si>
  <si>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</si>
  <si>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</si>
  <si>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</si>
  <si>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</si>
  <si>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</si>
  <si>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</si>
  <si>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</si>
  <si>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</si>
  <si>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</si>
  <si>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</si>
  <si>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</si>
  <si>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</si>
  <si>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</si>
  <si>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</si>
  <si>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</si>
  <si>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</si>
  <si>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</si>
  <si>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</si>
  <si>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</si>
  <si>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</si>
  <si>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</si>
  <si>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</si>
  <si>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</si>
  <si>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</si>
  <si>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</si>
  <si>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</si>
  <si>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</si>
  <si>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</si>
  <si>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</si>
  <si>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</si>
  <si>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</si>
  <si>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</si>
  <si>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</si>
  <si>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</si>
  <si>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</si>
  <si>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</si>
  <si>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</si>
  <si>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</si>
  <si>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</si>
  <si>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</si>
  <si>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</si>
  <si>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</si>
  <si>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</si>
  <si>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</si>
  <si>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</si>
  <si>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</si>
  <si>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</si>
  <si>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</si>
  <si>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</si>
  <si>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</si>
  <si>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</si>
  <si>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</si>
  <si>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</si>
  <si>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</si>
  <si>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</si>
  <si>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</si>
  <si>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</si>
  <si>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</si>
  <si>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</si>
  <si>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</si>
  <si>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</si>
  <si>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</si>
  <si>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</si>
  <si>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</si>
  <si>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</si>
  <si>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</si>
  <si>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</si>
  <si>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</si>
  <si>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</si>
  <si>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</si>
  <si>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</si>
  <si>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</si>
  <si>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</si>
  <si>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</si>
  <si>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</si>
  <si>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</si>
  <si>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</si>
  <si>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</si>
  <si>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</si>
  <si>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</si>
  <si>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</si>
  <si>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</si>
  <si>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</si>
  <si>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</si>
  <si>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</si>
  <si>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</si>
  <si>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</si>
  <si>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</si>
  <si>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</si>
  <si>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</si>
  <si>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</si>
  <si>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</si>
  <si>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</si>
  <si>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</si>
  <si>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</si>
  <si>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</si>
  <si>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</si>
  <si>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</si>
  <si>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</si>
  <si>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</si>
  <si>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</si>
  <si>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</si>
  <si>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</si>
  <si>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</si>
  <si>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</si>
  <si>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</si>
  <si>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</si>
  <si>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</si>
  <si>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</si>
  <si>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</si>
  <si>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</si>
  <si>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</si>
  <si>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</si>
  <si>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</si>
  <si>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</si>
  <si>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</si>
  <si>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</si>
  <si>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</si>
  <si>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</si>
  <si>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</si>
  <si>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</si>
  <si>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</si>
  <si>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</si>
  <si>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</si>
  <si>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</si>
  <si>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</si>
  <si>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</si>
  <si>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</si>
  <si>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</si>
  <si>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</si>
  <si>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</si>
  <si>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</si>
  <si>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</si>
  <si>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</si>
  <si>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</si>
  <si>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</si>
  <si>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</si>
  <si>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</si>
  <si>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</si>
  <si>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</si>
  <si>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</si>
  <si>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</si>
  <si>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</si>
  <si>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</si>
  <si>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</si>
  <si>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</si>
  <si>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</si>
  <si>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</si>
  <si>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</si>
  <si>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</si>
  <si>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</si>
  <si>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</si>
  <si>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</si>
  <si>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</si>
  <si>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</si>
  <si>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</si>
  <si>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</si>
  <si>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</si>
  <si>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</si>
  <si>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</si>
  <si>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</si>
  <si>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</si>
  <si>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</si>
  <si>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</si>
  <si>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</si>
  <si>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</si>
  <si>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</si>
  <si>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</si>
  <si>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</si>
  <si>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</si>
  <si>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</si>
  <si>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</si>
  <si>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</si>
  <si>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</si>
  <si>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</si>
  <si>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</si>
  <si>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</si>
  <si>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</si>
  <si>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</si>
  <si>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</si>
  <si>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</si>
  <si>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</si>
  <si>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</si>
  <si>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</si>
  <si>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</si>
  <si>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</si>
  <si>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</si>
  <si>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</si>
  <si>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</si>
  <si>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</si>
  <si>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</si>
  <si>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</si>
  <si>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</si>
  <si>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</si>
  <si>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</si>
  <si>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</si>
  <si>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</si>
  <si>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</si>
  <si>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</si>
  <si>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</si>
  <si>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</si>
  <si>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</si>
  <si>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</si>
  <si>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</si>
  <si>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</si>
  <si>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</si>
  <si>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</si>
  <si>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</si>
  <si>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</si>
  <si>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</si>
  <si>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</si>
  <si>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</si>
  <si>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</si>
  <si>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</si>
  <si>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</si>
  <si>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</si>
  <si>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</si>
  <si>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</si>
  <si>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</si>
  <si>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</si>
  <si>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</si>
  <si>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</si>
  <si>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</si>
  <si>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</si>
  <si>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</si>
  <si>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</si>
  <si>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</si>
  <si>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</si>
  <si>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</si>
  <si>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</si>
  <si>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</si>
  <si>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</si>
  <si>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</si>
  <si>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</si>
  <si>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</si>
  <si>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</si>
  <si>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</si>
  <si>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</si>
  <si>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</si>
  <si>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</si>
  <si>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</si>
  <si>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</si>
  <si>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</si>
  <si>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</si>
  <si>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</si>
  <si>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</si>
  <si>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</si>
  <si>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</si>
  <si>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</si>
  <si>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</si>
  <si>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</si>
  <si>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</si>
  <si>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</si>
  <si>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</si>
  <si>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</si>
  <si>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</si>
  <si>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</si>
  <si>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</si>
  <si>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</si>
  <si>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</si>
  <si>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</si>
  <si>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</si>
  <si>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</si>
  <si>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</si>
  <si>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</si>
  <si>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</si>
  <si>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</si>
  <si>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</si>
  <si>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</si>
  <si>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</si>
  <si>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</si>
  <si>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</si>
  <si>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</si>
  <si>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</si>
  <si>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</si>
  <si>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</si>
  <si>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</si>
  <si>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</si>
  <si>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</si>
  <si>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</si>
  <si>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</si>
  <si>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</si>
  <si>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</si>
  <si>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</si>
  <si>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</si>
  <si>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</si>
  <si>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</si>
  <si>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</si>
  <si>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</si>
  <si>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</si>
  <si>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</si>
  <si>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</si>
  <si>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</si>
  <si>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</si>
  <si>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</si>
  <si>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</si>
  <si>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</si>
  <si>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</si>
  <si>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</si>
  <si>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</si>
  <si>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</si>
  <si>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</si>
  <si>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</si>
  <si>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</si>
  <si>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</si>
  <si>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</si>
  <si>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</si>
  <si>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</si>
  <si>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</si>
  <si>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</si>
  <si>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</si>
  <si>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</si>
  <si>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</si>
  <si>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</si>
  <si>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</si>
  <si>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</si>
  <si>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</si>
  <si>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</si>
  <si>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</si>
  <si>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</si>
  <si>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</si>
  <si>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</si>
  <si>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</si>
  <si>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</si>
  <si>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</si>
  <si>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</si>
  <si>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</si>
  <si>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</si>
  <si>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</si>
  <si>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</si>
  <si>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</si>
  <si>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</si>
  <si>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</si>
  <si>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</si>
  <si>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</si>
  <si>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</si>
  <si>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</si>
  <si>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</si>
  <si>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</si>
  <si>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</si>
  <si>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</si>
  <si>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</si>
  <si>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</si>
  <si>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</si>
  <si>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</si>
  <si>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</si>
  <si>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</si>
  <si>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</si>
  <si>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</si>
  <si>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</si>
  <si>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</si>
  <si>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</si>
  <si>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</si>
  <si>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</si>
  <si>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</si>
  <si>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</si>
  <si>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</si>
  <si>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</si>
  <si>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</si>
  <si>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</si>
  <si>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</si>
  <si>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</si>
  <si>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</si>
  <si>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</si>
  <si>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</si>
  <si>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</si>
  <si>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</si>
  <si>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</si>
  <si>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</si>
  <si>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</si>
  <si>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</si>
  <si>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</si>
  <si>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</si>
  <si>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</si>
  <si>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</si>
  <si>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</si>
  <si>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</si>
  <si>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</si>
  <si>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</si>
  <si>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</si>
  <si>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</si>
  <si>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</si>
  <si>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</si>
  <si>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</si>
  <si>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</si>
  <si>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</si>
  <si>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</si>
  <si>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</si>
  <si>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</si>
  <si>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</si>
  <si>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</si>
  <si>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</si>
  <si>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</si>
  <si>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</si>
  <si>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</si>
  <si>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</si>
  <si>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</si>
  <si>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</si>
  <si>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</si>
  <si>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</si>
  <si>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</si>
  <si>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</si>
  <si>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</si>
  <si>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</si>
  <si>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</si>
  <si>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</si>
  <si>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</si>
  <si>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</si>
  <si>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</si>
  <si>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</si>
  <si>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</si>
  <si>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</si>
  <si>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</si>
  <si>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</si>
  <si>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</si>
  <si>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</si>
  <si>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</si>
  <si>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</si>
  <si>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</si>
  <si>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</si>
  <si>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</si>
  <si>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</si>
  <si>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</si>
  <si>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</si>
  <si>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</si>
  <si>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</si>
  <si>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</si>
  <si>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</si>
  <si>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</si>
  <si>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</si>
  <si>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</si>
  <si>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</si>
  <si>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</si>
  <si>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</si>
  <si>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</si>
  <si>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</si>
  <si>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</si>
  <si>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 xml:space="preserve">Lahore Cash &amp; Carry </t>
  </si>
  <si>
    <t>NTN #: 3268547-5</t>
  </si>
  <si>
    <t>Invoice No # :0001</t>
  </si>
  <si>
    <t xml:space="preserve">Address: medical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</si>
</sst>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46310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Lahore Cash &amp; Carry </v>
      </c>
      <c r="T3" s="301">
        <f>+'1'!P35</f>
        <v>30597.095627542374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Lahore Cash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Lahore Cash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Lahore Cash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Lahore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Lahore Cash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Lahore Cash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Lahore Cash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Lahore Cash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Lahore Cash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Lahore Cash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Lahore Cash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Lahore Cash &amp; Carry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4203.4440000000004</v>
      </c>
      <c r="K16" s="275">
        <f t="shared" si="3"/>
        <v>1050.8610000000001</v>
      </c>
      <c r="L16" s="276">
        <f t="shared" si="3"/>
        <v>0</v>
      </c>
      <c r="M16" s="232">
        <f t="shared" si="3"/>
        <v>24770.294999999998</v>
      </c>
      <c r="N16" s="233">
        <f>SUM(N7:N15)</f>
        <v>5674.576271186439</v>
      </c>
      <c r="O16" s="101">
        <f>SUM(O7:O15)</f>
        <v>152.2243563559322</v>
      </c>
      <c r="P16" s="113">
        <f>SUM(P7:P15)</f>
        <v>30597.095627542367</v>
      </c>
      <c r="Q16" s="128">
        <f>SUM(Q7:Q15)</f>
        <v>0</v>
      </c>
      <c r="R16" s="313">
        <v>14</v>
      </c>
      <c r="S16" s="315" t="str">
        <f>+'14'!A6:A6</f>
        <v xml:space="preserve">Lahore Cash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Lahore Cash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Lahore Cash &amp; Carry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30024.600000000002</v>
      </c>
      <c r="R19" s="299">
        <v>17</v>
      </c>
      <c r="S19" s="300" t="str">
        <f>+'17'!A6:A6</f>
        <v xml:space="preserve">Lahore Cash &amp; Carry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4203.4440000000004</v>
      </c>
      <c r="R20" s="299">
        <v>18</v>
      </c>
      <c r="S20" s="300" t="str">
        <f>+'18'!A6:A6</f>
        <v xml:space="preserve">Lahore Cash &amp; Carry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1050.8610000000001</v>
      </c>
      <c r="R21" s="299">
        <v>19</v>
      </c>
      <c r="S21" s="300" t="str">
        <f>+'19'!A6:A6</f>
        <v xml:space="preserve">Lahore Cash &amp; Carry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24770.295000000002</v>
      </c>
      <c r="R22" s="299">
        <v>20</v>
      </c>
      <c r="S22" s="300" t="str">
        <f>+'20'!A6:A6</f>
        <v xml:space="preserve">Lahore Cash &amp; Carry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 xml:space="preserve">Lahore Cash &amp; Carry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30444.871271186443</v>
      </c>
      <c r="R24" s="299">
        <v>22</v>
      </c>
      <c r="S24" s="300" t="str">
        <f>+'22'!A6:A6</f>
        <v xml:space="preserve">Lahore Cash &amp; Carry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152.2243563559322</v>
      </c>
      <c r="R25" s="299">
        <v>23</v>
      </c>
      <c r="S25" s="300" t="str">
        <f>+'23'!A6:A6</f>
        <v xml:space="preserve">Lahore Cash &amp; Carry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30597.095627542374</v>
      </c>
      <c r="R26" s="299">
        <v>24</v>
      </c>
      <c r="S26" s="300" t="str">
        <f>+'24'!A6:A6</f>
        <v xml:space="preserve">Lahore Cash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Lahore Cash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Lahore Cash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Lahore Cash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Lahore Cash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Lahore Cash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Lahore Cash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30597.095627542374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5674.576271186439</v>
      </c>
      <c r="O25" s="101">
        <f>SUM(O16:O24)</f>
        <v>152.2243563559322</v>
      </c>
      <c r="P25" s="234">
        <f>SUM(P16:P24)</f>
        <v>30597.095627542367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30024.600000000002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4203.4440000000004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1050.8610000000001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24770.295000000002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30444.871271186443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152.22435635593223</v>
      </c>
    </row>
    <row r="35" spans="2:16" ht="15.75" customHeight="1" thickBot="1" x14ac:dyDescent="0.4">
      <c r="N35" s="375" t="s">
        <v>88</v>
      </c>
      <c r="O35" s="376"/>
      <c r="P35" s="297">
        <f>+P33+P34</f>
        <v>30597.095627542374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46311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46310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2026-10-15T07:19:22Z</dcterms:modified>
</cp:coreProperties>
</file>