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DDBA642-1E8B-45AC-9056-55FB6F0FBE9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<sst xmlns="http://schemas.openxmlformats.org/spreadsheetml/2006/main" count="3947" uniqueCount="516">
  <si>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</si>
  <si>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</si>
  <si>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</si>
  <si>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</si>
  <si>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</si>
  <si>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</si>
  <si>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</si>
  <si>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</si>
  <si>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</si>
  <si>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</si>
  <si>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</si>
  <si>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</si>
  <si>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</si>
  <si>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</si>
  <si>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</si>
  <si>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</si>
  <si>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</si>
  <si>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</si>
  <si>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</si>
  <si>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</si>
  <si>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</si>
  <si>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</si>
  <si>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</si>
  <si>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</si>
  <si>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</si>
  <si>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</si>
  <si>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</si>
  <si>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</si>
  <si>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</si>
  <si>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</si>
  <si>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</si>
  <si>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</si>
  <si>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</si>
  <si>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</si>
  <si>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</si>
  <si>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</si>
  <si>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</si>
  <si>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</si>
  <si>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</si>
  <si>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</si>
  <si>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</si>
  <si>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</si>
  <si>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</si>
  <si>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</si>
  <si>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</si>
  <si>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</si>
  <si>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</si>
  <si>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</si>
  <si>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</si>
  <si>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</si>
  <si>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</si>
  <si>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</si>
  <si>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</si>
  <si>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</si>
  <si>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</si>
  <si>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</si>
  <si>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</si>
  <si>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</si>
  <si>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</si>
  <si>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</si>
  <si>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</si>
  <si>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</si>
  <si>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</si>
  <si>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</si>
  <si>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</si>
  <si>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</si>
  <si>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</si>
  <si>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</si>
  <si>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</si>
  <si>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</si>
  <si>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</si>
  <si>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</si>
  <si>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</si>
  <si>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</si>
  <si>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</si>
  <si>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</si>
  <si>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</si>
  <si>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</si>
  <si>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</si>
  <si>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</si>
  <si>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</si>
  <si>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</si>
  <si>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</si>
  <si>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</si>
  <si>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</si>
  <si>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</si>
  <si>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</si>
  <si>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</si>
  <si>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</si>
  <si>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</si>
  <si>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</si>
  <si>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</si>
  <si>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</si>
  <si>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</si>
  <si>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</si>
  <si>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</si>
  <si>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</si>
  <si>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</si>
  <si>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</si>
  <si>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</si>
  <si>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</si>
  <si>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</si>
  <si>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</si>
  <si>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</si>
  <si>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</si>
  <si>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</si>
  <si>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</si>
  <si>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</si>
  <si>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</si>
  <si>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</si>
  <si>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</si>
  <si>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</si>
  <si>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</si>
  <si>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</si>
  <si>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</si>
  <si>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</si>
  <si>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</si>
  <si>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</si>
  <si>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</si>
  <si>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</si>
  <si>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</si>
  <si>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</si>
  <si>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</si>
  <si>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</si>
  <si>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</si>
  <si>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</si>
  <si>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</si>
  <si>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</si>
  <si>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</si>
  <si>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</si>
  <si>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</si>
  <si>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</si>
  <si>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</si>
  <si>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</si>
  <si>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</si>
  <si>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</si>
  <si>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</si>
  <si>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</si>
  <si>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</si>
  <si>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</si>
  <si>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</si>
  <si>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</si>
  <si>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</si>
  <si>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</si>
  <si>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</si>
  <si>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</si>
  <si>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</si>
  <si>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</si>
  <si>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</si>
  <si>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</si>
  <si>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</si>
  <si>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</si>
  <si>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</si>
  <si>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</si>
  <si>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</si>
  <si>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</si>
  <si>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</si>
  <si>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</si>
  <si>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</si>
  <si>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</si>
  <si>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</si>
  <si>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</si>
  <si>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</si>
  <si>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</si>
  <si>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</si>
  <si>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</si>
  <si>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</si>
  <si>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</si>
  <si>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</si>
  <si>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</si>
  <si>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</si>
  <si>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</si>
  <si>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</si>
  <si>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</si>
  <si>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</si>
  <si>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</si>
  <si>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</si>
  <si>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</si>
  <si>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</si>
  <si>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</si>
  <si>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</si>
  <si>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</si>
  <si>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</si>
  <si>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</si>
  <si>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</si>
  <si>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</si>
  <si>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</si>
  <si>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</si>
  <si>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</si>
  <si>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</si>
  <si>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</si>
  <si>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</si>
  <si>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</si>
  <si>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</si>
  <si>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</si>
  <si>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</si>
  <si>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</si>
  <si>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</si>
  <si>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</si>
  <si>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</si>
  <si>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</si>
  <si>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</si>
  <si>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</si>
  <si>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</si>
  <si>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</si>
  <si>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</si>
  <si>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</si>
  <si>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</si>
  <si>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</si>
  <si>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</si>
  <si>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</si>
  <si>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</si>
  <si>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</si>
  <si>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</si>
  <si>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</si>
  <si>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</si>
  <si>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</si>
  <si>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</si>
  <si>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</si>
  <si>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</si>
  <si>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</si>
  <si>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</si>
  <si>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</si>
  <si>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</si>
  <si>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</si>
  <si>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</si>
  <si>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</si>
  <si>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</si>
  <si>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</si>
  <si>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</si>
  <si>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</si>
  <si>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</si>
  <si>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</si>
  <si>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</si>
  <si>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</si>
  <si>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</si>
  <si>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</si>
  <si>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</si>
  <si>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</si>
  <si>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</si>
  <si>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</si>
  <si>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</si>
  <si>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</si>
  <si>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</si>
  <si>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</si>
  <si>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</si>
  <si>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</si>
  <si>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</si>
  <si>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</si>
  <si>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</si>
  <si>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</si>
  <si>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</si>
  <si>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</si>
  <si>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</si>
  <si>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</si>
  <si>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</si>
  <si>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</si>
  <si>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</si>
  <si>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</si>
  <si>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</si>
  <si>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</si>
  <si>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</si>
  <si>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</si>
  <si>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</si>
  <si>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</si>
  <si>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</si>
  <si>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</si>
  <si>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</si>
  <si>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</si>
  <si>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</si>
  <si>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</si>
  <si>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</si>
  <si>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</si>
  <si>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</si>
  <si>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</si>
  <si>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</si>
  <si>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</si>
  <si>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</si>
  <si>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</si>
  <si>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</si>
  <si>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</si>
  <si>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</si>
  <si>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</si>
  <si>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</si>
  <si>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</si>
  <si>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</si>
  <si>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</si>
  <si>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</si>
  <si>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</si>
  <si>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</si>
  <si>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</si>
  <si>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</si>
  <si>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</si>
  <si>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</si>
  <si>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</si>
  <si>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</si>
  <si>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</si>
  <si>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</si>
  <si>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</si>
  <si>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</si>
  <si>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</si>
  <si>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</si>
  <si>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</si>
  <si>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</si>
  <si>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</si>
  <si>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</si>
  <si>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</si>
  <si>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</si>
  <si>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</si>
  <si>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</si>
  <si>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</si>
  <si>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</si>
  <si>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</si>
  <si>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</si>
  <si>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</si>
  <si>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</si>
  <si>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</si>
  <si>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</si>
  <si>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</si>
  <si>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</si>
  <si>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</si>
  <si>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</si>
  <si>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</si>
  <si>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</si>
  <si>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</si>
  <si>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</si>
  <si>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</si>
  <si>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</si>
  <si>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</si>
  <si>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</si>
  <si>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</si>
  <si>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</si>
  <si>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</si>
  <si>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</si>
  <si>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</si>
  <si>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</si>
  <si>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</si>
  <si>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</si>
  <si>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</si>
  <si>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</si>
  <si>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</si>
  <si>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</si>
  <si>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</si>
  <si>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</si>
  <si>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</si>
  <si>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</si>
  <si>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</si>
  <si>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</si>
  <si>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</si>
  <si>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</si>
  <si>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</si>
  <si>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</si>
  <si>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</si>
  <si>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</si>
  <si>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</si>
  <si>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</si>
  <si>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</si>
  <si>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</si>
  <si>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</si>
  <si>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</si>
  <si>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</si>
  <si>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</si>
  <si>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</si>
  <si>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</si>
  <si>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</si>
  <si>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</si>
  <si>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</si>
  <si>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</si>
  <si>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</si>
  <si>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</si>
  <si>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</si>
  <si>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</si>
  <si>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</si>
  <si>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</si>
  <si>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</si>
  <si>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</si>
  <si>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</si>
  <si>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</si>
  <si>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</si>
  <si>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</si>
  <si>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</si>
  <si>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</si>
  <si>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</si>
  <si>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</si>
  <si>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</si>
  <si>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</si>
  <si>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</si>
  <si>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</si>
  <si>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</si>
  <si>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</si>
  <si>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</si>
  <si>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</si>
  <si>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</si>
  <si>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</si>
  <si>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</si>
  <si>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</si>
  <si>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</si>
  <si>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</si>
  <si>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</si>
  <si>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</si>
  <si>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</si>
  <si>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</si>
  <si>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</si>
  <si>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</si>
  <si>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</si>
  <si>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</si>
  <si>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</si>
  <si>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</si>
  <si>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</si>
  <si>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</si>
  <si>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</si>
  <si>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</si>
  <si>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</si>
  <si>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</si>
  <si>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</si>
  <si>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</si>
  <si>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</si>
  <si>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</si>
  <si>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</si>
  <si>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</si>
  <si>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</si>
  <si>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</si>
  <si>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</si>
  <si>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</si>
  <si>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</si>
  <si>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</si>
  <si>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</si>
  <si>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</si>
  <si>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</si>
  <si>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</si>
  <si>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</si>
  <si>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</si>
  <si>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</si>
  <si>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</si>
  <si>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</si>
  <si>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</si>
  <si>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</si>
  <si>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</si>
  <si>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</si>
  <si>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</si>
  <si>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</si>
  <si>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</si>
  <si>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</si>
  <si>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</si>
  <si>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</si>
  <si>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</si>
  <si>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</si>
  <si>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</si>
  <si>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</si>
  <si>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</si>
  <si>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</si>
  <si>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</si>
  <si>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</si>
  <si>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</si>
  <si>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</si>
  <si>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</si>
  <si>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</si>
  <si>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</si>
  <si>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</si>
  <si>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</si>
  <si>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</si>
  <si>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</si>
  <si>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</si>
  <si>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</si>
  <si>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</si>
  <si>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</si>
  <si>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</si>
  <si>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</si>
  <si>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</si>
  <si>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</si>
  <si>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</si>
  <si>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</si>
  <si>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</si>
  <si>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</si>
  <si>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</si>
  <si>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</si>
  <si>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</si>
  <si>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</si>
  <si>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</si>
  <si>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</si>
  <si>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</si>
  <si>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</si>
  <si>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</si>
  <si>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</si>
  <si>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</si>
  <si>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</si>
  <si>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</si>
  <si>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</si>
  <si>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</si>
  <si>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</si>
  <si>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</si>
  <si>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</si>
  <si>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</si>
  <si>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</si>
  <si>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</si>
  <si>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</si>
  <si>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</si>
  <si>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</si>
  <si>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</si>
  <si>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</si>
  <si>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</si>
  <si>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</si>
  <si>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</si>
  <si>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</si>
  <si>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</si>
  <si>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</si>
  <si>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</si>
  <si>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</si>
  <si>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</si>
  <si>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</si>
  <si>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</si>
  <si>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</si>
  <si>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 Ranger Head Quarter</t>
  </si>
  <si>
    <t xml:space="preserve">LUTF Mega  Mart </t>
  </si>
  <si>
    <t>NTN #: 2388169-7</t>
  </si>
  <si>
    <t>Invoice No # :0004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</si>
</sst>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46310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LUTF Mega  Mart </v>
      </c>
      <c r="T3" s="301">
        <f>+'1'!P35</f>
        <v>30778.090250847461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LUTF Mega 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LUTF Mega 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LUTF Mega 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LUTF Mega 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LUTF Mega 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LUTF Mega 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1452.8000000000002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12566.72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76.562413559322039</v>
      </c>
      <c r="P10" s="311">
        <f t="shared" si="2"/>
        <v>15389.045125423729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LUTF Mega 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1452.8000000000002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12566.72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76.562413559322039</v>
      </c>
      <c r="P11" s="311">
        <f t="shared" si="2"/>
        <v>15389.045125423729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LUTF Mega 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LUTF Mega 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LUTF Mega 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LUTF Mega 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LUTF Mega  Mart 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10</v>
      </c>
      <c r="H16" s="113">
        <f t="shared" ref="H16:M16" si="3">SUM(H7:H15)</f>
        <v>400</v>
      </c>
      <c r="I16" s="114">
        <f t="shared" si="3"/>
        <v>29056</v>
      </c>
      <c r="J16" s="274">
        <f>SUM(J7:J15)</f>
        <v>2905.6000000000004</v>
      </c>
      <c r="K16" s="275">
        <f t="shared" si="3"/>
        <v>1016.9600000000002</v>
      </c>
      <c r="L16" s="276">
        <f t="shared" si="3"/>
        <v>0</v>
      </c>
      <c r="M16" s="232">
        <f t="shared" si="3"/>
        <v>25133.439999999999</v>
      </c>
      <c r="N16" s="233">
        <f>SUM(N7:N15)</f>
        <v>5491.5254237288136</v>
      </c>
      <c r="O16" s="101">
        <f>SUM(O7:O15)</f>
        <v>153.12482711864408</v>
      </c>
      <c r="P16" s="113">
        <f>SUM(P7:P15)</f>
        <v>30778.090250847457</v>
      </c>
      <c r="Q16" s="128">
        <f>SUM(Q7:Q15)</f>
        <v>0</v>
      </c>
      <c r="R16" s="314">
        <v>14</v>
      </c>
      <c r="S16" s="300" t="str">
        <f>+'14'!A6:A6</f>
        <v xml:space="preserve">LUTF Mega 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LUTF Mega 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LUTF Mega  Mart 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29056</v>
      </c>
      <c r="R19" s="299">
        <v>17</v>
      </c>
      <c r="S19" s="300" t="str">
        <f>+'17'!A6:A6</f>
        <v xml:space="preserve">LUTF Mega  Mart 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2905.6000000000004</v>
      </c>
      <c r="R20" s="299">
        <v>18</v>
      </c>
      <c r="S20" s="300" t="str">
        <f>+'18'!A6:A6</f>
        <v xml:space="preserve">LUTF Mega  Mart 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1016.9600000000002</v>
      </c>
      <c r="R21" s="299">
        <v>19</v>
      </c>
      <c r="S21" s="300" t="str">
        <f>+'19'!A6:A6</f>
        <v xml:space="preserve">LUTF Mega  Mart 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25133.440000000002</v>
      </c>
      <c r="R22" s="299">
        <v>20</v>
      </c>
      <c r="S22" s="300" t="str">
        <f>+'20'!A6:A6</f>
        <v xml:space="preserve">LUTF Mega  Mart 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5491.5254237288136</v>
      </c>
      <c r="R23" s="299">
        <v>21</v>
      </c>
      <c r="S23" s="300" t="str">
        <f>+'21'!A6:A6</f>
        <v xml:space="preserve">LUTF Mega  Mart 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30624.965423728816</v>
      </c>
      <c r="R24" s="299">
        <v>22</v>
      </c>
      <c r="S24" s="300" t="str">
        <f>+'22'!A6:A6</f>
        <v xml:space="preserve">LUTF Mega  Mart 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153.12482711864408</v>
      </c>
      <c r="R25" s="299">
        <v>23</v>
      </c>
      <c r="S25" s="300" t="str">
        <f>+'23'!A6:A6</f>
        <v xml:space="preserve">LUTF Mega  Mart 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30778.090250847461</v>
      </c>
      <c r="R26" s="299">
        <v>24</v>
      </c>
      <c r="S26" s="300" t="str">
        <f>+'24'!A6:A6</f>
        <v xml:space="preserve">LUTF Mega 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LUTF Mega 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LUTF Mega 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LUTF Mega 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LUTF Mega 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LUTF Mega 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LUTF Mega 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30778.090250847461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E27" sqref="E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515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1452.8000000000002</v>
      </c>
      <c r="K19" s="128">
        <f t="shared" si="1"/>
        <v>508.48000000000008</v>
      </c>
      <c r="L19" s="119">
        <f t="shared" si="1"/>
        <v>0</v>
      </c>
      <c r="M19" s="230">
        <f t="shared" si="2"/>
        <v>12566.72</v>
      </c>
      <c r="N19" s="277">
        <f t="shared" si="3"/>
        <v>2745.7627118644068</v>
      </c>
      <c r="O19" s="239">
        <f t="shared" si="4"/>
        <v>76.562413559322039</v>
      </c>
      <c r="P19" s="311">
        <f t="shared" si="5"/>
        <v>15389.045125423729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1452.8000000000002</v>
      </c>
      <c r="K20" s="128">
        <f t="shared" si="1"/>
        <v>508.48000000000008</v>
      </c>
      <c r="L20" s="119">
        <f t="shared" si="1"/>
        <v>0</v>
      </c>
      <c r="M20" s="230">
        <f t="shared" si="2"/>
        <v>12566.72</v>
      </c>
      <c r="N20" s="277">
        <f t="shared" si="3"/>
        <v>2745.7627118644068</v>
      </c>
      <c r="O20" s="239">
        <f t="shared" si="4"/>
        <v>76.562413559322039</v>
      </c>
      <c r="P20" s="311">
        <f t="shared" si="5"/>
        <v>15389.045125423729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400</v>
      </c>
      <c r="I25" s="114">
        <f t="shared" ref="I25:M25" si="10">SUM(I16:I24)</f>
        <v>29056</v>
      </c>
      <c r="J25" s="274">
        <f>SUM(J16:J24)</f>
        <v>2905.6000000000004</v>
      </c>
      <c r="K25" s="275">
        <f t="shared" si="10"/>
        <v>1016.9600000000002</v>
      </c>
      <c r="L25" s="276">
        <f t="shared" si="10"/>
        <v>0</v>
      </c>
      <c r="M25" s="232">
        <f t="shared" si="10"/>
        <v>25133.439999999999</v>
      </c>
      <c r="N25" s="233">
        <f>SUM(N16:N24)</f>
        <v>5491.5254237288136</v>
      </c>
      <c r="O25" s="101">
        <f>SUM(O16:O24)</f>
        <v>153.12482711864408</v>
      </c>
      <c r="P25" s="113">
        <f>SUM(P16:P24)</f>
        <v>30778.090250847457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29056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2905.6000000000004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1016.9600000000002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25133.440000000002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5491.5254237288136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30624.965423728816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153.12482711864408</v>
      </c>
    </row>
    <row r="35" spans="2:16" ht="15.75" customHeight="1" thickBot="1" x14ac:dyDescent="0.4">
      <c r="N35" s="343" t="s">
        <v>88</v>
      </c>
      <c r="O35" s="344"/>
      <c r="P35" s="297">
        <f>+P33+P34</f>
        <v>30778.090250847461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46311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46310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2026-10-15T07:18:42Z</dcterms:modified>
</cp:coreProperties>
</file>