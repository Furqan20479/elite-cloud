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7ECD1C-9A01-4630-984D-2E209364AED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50"/>
  <c r="O20" i="50" s="1"/>
  <c r="P20" i="50" s="1"/>
  <c r="R20" i="50" s="1"/>
  <c r="M20" i="47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<sst xmlns="http://schemas.openxmlformats.org/spreadsheetml/2006/main" count="3948" uniqueCount="526">
  <si>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</si>
  <si>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</si>
  <si>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</si>
  <si>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</si>
  <si>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</si>
  <si>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</si>
  <si>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</si>
  <si>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</si>
  <si>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</si>
  <si>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</si>
  <si>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</si>
  <si>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</si>
  <si>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</si>
  <si>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</si>
  <si>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</si>
  <si>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</si>
  <si>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</si>
  <si>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</si>
  <si>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</si>
  <si>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</si>
  <si>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</si>
  <si>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</si>
  <si>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</si>
  <si>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</si>
  <si>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</si>
  <si>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</si>
  <si>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</si>
  <si>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</si>
  <si>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</si>
  <si>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</si>
  <si>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</si>
  <si>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</si>
  <si>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</si>
  <si>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</si>
  <si>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</si>
  <si>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</si>
  <si>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</si>
  <si>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</si>
  <si>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</si>
  <si>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</si>
  <si>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</si>
  <si>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</si>
  <si>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</si>
  <si>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</si>
  <si>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</si>
  <si>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</si>
  <si>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</si>
  <si>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</si>
  <si>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</si>
  <si>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</si>
  <si>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</si>
  <si>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</si>
  <si>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</si>
  <si>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</si>
  <si>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</si>
  <si>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</si>
  <si>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</si>
  <si>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</si>
  <si>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</si>
  <si>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</si>
  <si>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</si>
  <si>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</si>
  <si>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</si>
  <si>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</si>
  <si>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</si>
  <si>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</si>
  <si>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</si>
  <si>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</si>
  <si>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</si>
  <si>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</si>
  <si>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</si>
  <si>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</si>
  <si>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</si>
  <si>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</si>
  <si>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</si>
  <si>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</si>
  <si>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</si>
  <si>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</si>
  <si>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</si>
  <si>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</si>
  <si>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</si>
  <si>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</si>
  <si>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</si>
  <si>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</si>
  <si>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</si>
  <si>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</si>
  <si>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</si>
  <si>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</si>
  <si>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</si>
  <si>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</si>
  <si>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</si>
  <si>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</si>
  <si>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</si>
  <si>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</si>
  <si>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</si>
  <si>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</si>
  <si>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</si>
  <si>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</si>
  <si>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</si>
  <si>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</si>
  <si>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</si>
  <si>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</si>
  <si>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</si>
  <si>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</si>
  <si>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</si>
  <si>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</si>
  <si>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</si>
  <si>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</si>
  <si>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</si>
  <si>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</si>
  <si>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</si>
  <si>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</si>
  <si>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</si>
  <si>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</si>
  <si>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</si>
  <si>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</si>
  <si>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</si>
  <si>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</si>
  <si>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</si>
  <si>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</si>
  <si>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</si>
  <si>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</si>
  <si>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</si>
  <si>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</si>
  <si>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</si>
  <si>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</si>
  <si>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</si>
  <si>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</si>
  <si>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</si>
  <si>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</si>
  <si>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</si>
  <si>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</si>
  <si>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</si>
  <si>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</si>
  <si>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</si>
  <si>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</si>
  <si>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</si>
  <si>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</si>
  <si>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</si>
  <si>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</si>
  <si>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</si>
  <si>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</si>
  <si>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</si>
  <si>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</si>
  <si>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</si>
  <si>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</si>
  <si>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</si>
  <si>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</si>
  <si>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</si>
  <si>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</si>
  <si>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</si>
  <si>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</si>
  <si>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</si>
  <si>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</si>
  <si>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</si>
  <si>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</si>
  <si>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</si>
  <si>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</si>
  <si>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</si>
  <si>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</si>
  <si>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</si>
  <si>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</si>
  <si>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</si>
  <si>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</si>
  <si>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</si>
  <si>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</si>
  <si>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</si>
  <si>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</si>
  <si>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</si>
  <si>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</si>
  <si>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</si>
  <si>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</si>
  <si>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</si>
  <si>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</si>
  <si>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</si>
  <si>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</si>
  <si>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</si>
  <si>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</si>
  <si>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</si>
  <si>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</si>
  <si>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</si>
  <si>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</si>
  <si>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</si>
  <si>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</si>
  <si>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</si>
  <si>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</si>
  <si>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</si>
  <si>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</si>
  <si>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</si>
  <si>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</si>
  <si>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</si>
  <si>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</si>
  <si>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</si>
  <si>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</si>
  <si>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</si>
  <si>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</si>
  <si>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</si>
  <si>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</si>
  <si>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</si>
  <si>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</si>
  <si>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</si>
  <si>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</si>
  <si>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</si>
  <si>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</si>
  <si>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</si>
  <si>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</si>
  <si>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</si>
  <si>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</si>
  <si>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</si>
  <si>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</si>
  <si>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</si>
  <si>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</si>
  <si>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</si>
  <si>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</si>
  <si>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</si>
  <si>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</si>
  <si>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</si>
  <si>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</si>
  <si>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</si>
  <si>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</si>
  <si>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</si>
  <si>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</si>
  <si>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</si>
  <si>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</si>
  <si>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</si>
  <si>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</si>
  <si>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</si>
  <si>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</si>
  <si>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</si>
  <si>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</si>
  <si>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</si>
  <si>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</si>
  <si>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</si>
  <si>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</si>
  <si>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</si>
  <si>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</si>
  <si>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</si>
  <si>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</si>
  <si>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</si>
  <si>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</si>
  <si>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</si>
  <si>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</si>
  <si>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</si>
  <si>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</si>
  <si>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</si>
  <si>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</si>
  <si>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</si>
  <si>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</si>
  <si>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</si>
  <si>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</si>
  <si>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</si>
  <si>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</si>
  <si>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</si>
  <si>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</si>
  <si>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</si>
  <si>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</si>
  <si>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</si>
  <si>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</si>
  <si>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</si>
  <si>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</si>
  <si>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</si>
  <si>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</si>
  <si>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</si>
  <si>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</si>
  <si>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</si>
  <si>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</si>
  <si>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</si>
  <si>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</si>
  <si>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</si>
  <si>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</si>
  <si>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</si>
  <si>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</si>
  <si>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</si>
  <si>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</si>
  <si>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</si>
  <si>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</si>
  <si>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</si>
  <si>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</si>
  <si>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</si>
  <si>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</si>
  <si>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</si>
  <si>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</si>
  <si>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</si>
  <si>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</si>
  <si>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</si>
  <si>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</si>
  <si>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</si>
  <si>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</si>
  <si>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</si>
  <si>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</si>
  <si>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</si>
  <si>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</si>
  <si>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</si>
  <si>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</si>
  <si>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</si>
  <si>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</si>
  <si>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</si>
  <si>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</si>
  <si>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</si>
  <si>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</si>
  <si>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</si>
  <si>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</si>
  <si>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</si>
  <si>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</si>
  <si>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</si>
  <si>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</si>
  <si>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</si>
  <si>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</si>
  <si>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</si>
  <si>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</si>
  <si>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</si>
  <si>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</si>
  <si>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</si>
  <si>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</si>
  <si>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</si>
  <si>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</si>
  <si>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</si>
  <si>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</si>
  <si>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</si>
  <si>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</si>
  <si>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</si>
  <si>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</si>
  <si>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</si>
  <si>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</si>
  <si>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</si>
  <si>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</si>
  <si>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</si>
  <si>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</si>
  <si>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</si>
  <si>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</si>
  <si>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</si>
  <si>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</si>
  <si>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</si>
  <si>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</si>
  <si>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</si>
  <si>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</si>
  <si>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</si>
  <si>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</si>
  <si>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</si>
  <si>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</si>
  <si>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</si>
  <si>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</si>
  <si>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</si>
  <si>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</si>
  <si>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</si>
  <si>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</si>
  <si>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</si>
  <si>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</si>
  <si>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</si>
  <si>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</si>
  <si>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</si>
  <si>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</si>
  <si>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</si>
  <si>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</si>
  <si>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</si>
  <si>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</si>
  <si>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</si>
  <si>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</si>
  <si>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</si>
  <si>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</si>
  <si>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</si>
  <si>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</si>
  <si>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</si>
  <si>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</si>
  <si>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</si>
  <si>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</si>
  <si>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</si>
  <si>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</si>
  <si>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</si>
  <si>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</si>
  <si>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</si>
  <si>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</si>
  <si>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</si>
  <si>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</si>
  <si>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</si>
  <si>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</si>
  <si>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</si>
  <si>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</si>
  <si>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</si>
  <si>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</si>
  <si>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</si>
  <si>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</si>
  <si>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</si>
  <si>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</si>
  <si>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</si>
  <si>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</si>
  <si>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</si>
  <si>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</si>
  <si>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</si>
  <si>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</si>
  <si>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</si>
  <si>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</si>
  <si>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</si>
  <si>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</si>
  <si>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</si>
  <si>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</si>
  <si>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</si>
  <si>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</si>
  <si>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</si>
  <si>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</si>
  <si>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</si>
  <si>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</si>
  <si>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</si>
  <si>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</si>
  <si>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</si>
  <si>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</si>
  <si>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</si>
  <si>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</si>
  <si>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</si>
  <si>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</si>
  <si>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</si>
  <si>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</si>
  <si>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</si>
  <si>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</si>
  <si>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</si>
  <si>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</si>
  <si>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</si>
  <si>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</si>
  <si>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</si>
  <si>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</si>
  <si>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</si>
  <si>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</si>
  <si>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</si>
  <si>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</si>
  <si>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</si>
  <si>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</si>
  <si>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</si>
  <si>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</si>
  <si>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</si>
  <si>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</si>
  <si>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</si>
  <si>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</si>
  <si>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</si>
  <si>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</si>
  <si>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</si>
  <si>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</si>
  <si>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</si>
  <si>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</si>
  <si>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</si>
  <si>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</si>
  <si>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</si>
  <si>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</si>
  <si>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</si>
  <si>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</si>
  <si>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</si>
  <si>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</si>
  <si>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</si>
  <si>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</si>
  <si>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</si>
  <si>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</si>
  <si>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</si>
  <si>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</si>
  <si>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</si>
  <si>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</si>
  <si>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</si>
  <si>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</si>
  <si>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</si>
  <si>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</si>
  <si>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</si>
  <si>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</si>
  <si>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</si>
  <si>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</si>
  <si>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</si>
  <si>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</si>
  <si>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</si>
  <si>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</si>
  <si>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</si>
  <si>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</si>
  <si>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</si>
  <si>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</si>
  <si>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</si>
  <si>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</si>
  <si>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</si>
  <si>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</si>
  <si>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</si>
  <si>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</si>
  <si>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</si>
  <si>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</si>
  <si>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</si>
  <si>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</si>
  <si>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</si>
  <si>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</si>
  <si>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</si>
  <si>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</si>
  <si>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</si>
  <si>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</si>
  <si>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</si>
  <si>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</si>
  <si>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</si>
  <si>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</si>
  <si>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</si>
  <si>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</si>
  <si>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</si>
  <si>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</si>
  <si>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</si>
  <si>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</si>
  <si>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</si>
  <si>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</si>
  <si>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</si>
  <si>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</si>
  <si>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</si>
  <si>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</si>
  <si>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</si>
  <si>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</si>
  <si>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</si>
  <si>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</si>
  <si>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</si>
  <si>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</si>
  <si>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</si>
  <si>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</si>
  <si>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</si>
  <si>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</si>
  <si>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</si>
  <si>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</si>
  <si>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</si>
  <si>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Shah Jamal</t>
  </si>
  <si>
    <t>Mian Tent Service</t>
  </si>
  <si>
    <t>Iqbal Store</t>
  </si>
  <si>
    <t>Bismillah Store</t>
  </si>
  <si>
    <t>MD Store</t>
  </si>
  <si>
    <t>Poma Haji</t>
  </si>
  <si>
    <t xml:space="preserve">Address: Ahata Morchan </t>
  </si>
  <si>
    <t xml:space="preserve">New Rana </t>
  </si>
  <si>
    <t>Data Store</t>
  </si>
  <si>
    <t>Shezad Store</t>
  </si>
  <si>
    <t xml:space="preserve">Bilal Book Depot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</si>
</sst>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Q37" sqref="Q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Mian Tent Service</v>
      </c>
      <c r="T3" s="301">
        <f>+'1'!P35</f>
        <v>2482.841583400424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Iqbal Store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Bismillah Store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MD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Poma Haji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New Rana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Data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89</v>
      </c>
      <c r="I10" s="236">
        <f t="shared" si="0"/>
        <v>6464.96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517.19680000000005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226.27360000000004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5721.4895999999999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1221.8644067796608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34.7167700338983</v>
      </c>
      <c r="P10" s="311">
        <f t="shared" si="2"/>
        <v>6978.070776813559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</v>
      </c>
      <c r="R10" s="313">
        <v>8</v>
      </c>
      <c r="S10" s="300" t="str">
        <f>+'8'!A6:A6</f>
        <v>Shezad Store</v>
      </c>
      <c r="T10" s="301">
        <f>+'8'!P35</f>
        <v>940.86347552542372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49</v>
      </c>
      <c r="I11" s="236">
        <f t="shared" si="0"/>
        <v>3559.36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284.74880000000002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124.57760000000002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3150.0336000000002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672.71186440677968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19.113727322033899</v>
      </c>
      <c r="P11" s="311">
        <f t="shared" si="2"/>
        <v>3841.8591917288136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Bilal Book Depot </v>
      </c>
      <c r="T11" s="301">
        <f>+'9'!P35</f>
        <v>1881.7269510508474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64</v>
      </c>
      <c r="I12" s="236">
        <f t="shared" si="0"/>
        <v>4648.96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371.91680000000002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162.71360000000001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4114.3296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878.64406779661022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24.964868338983052</v>
      </c>
      <c r="P12" s="311">
        <f t="shared" si="2"/>
        <v>5017.9385361355935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88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5.8</v>
      </c>
      <c r="H16" s="113">
        <f t="shared" ref="H16:M16" si="3">SUM(H7:H15)</f>
        <v>232</v>
      </c>
      <c r="I16" s="114">
        <f t="shared" si="3"/>
        <v>16247.154999999999</v>
      </c>
      <c r="J16" s="274">
        <f>SUM(J7:J15)</f>
        <v>1299.7724000000001</v>
      </c>
      <c r="K16" s="275">
        <f t="shared" si="3"/>
        <v>568.65042500000004</v>
      </c>
      <c r="L16" s="276">
        <f t="shared" si="3"/>
        <v>0</v>
      </c>
      <c r="M16" s="232">
        <f t="shared" si="3"/>
        <v>14378.732175000001</v>
      </c>
      <c r="N16" s="233">
        <f>SUM(N7:N15)</f>
        <v>3070.6779661016944</v>
      </c>
      <c r="O16" s="101">
        <f>SUM(O7:O15)</f>
        <v>87.247050705508471</v>
      </c>
      <c r="P16" s="113">
        <f>SUM(P7:P15)</f>
        <v>17536.657191807204</v>
      </c>
      <c r="Q16" s="128">
        <f>SUM(Q7:Q15)</f>
        <v>92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16247.154999999999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1299.7724000000001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568.65042500000004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14378.732174999999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3070.6779661016944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17449.410141101693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87.247050705508471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17536.6571918072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17536.657191807204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7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7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2300.2750000000001</v>
      </c>
      <c r="J25" s="274">
        <f>SUM(J16:J24)</f>
        <v>184.02200000000002</v>
      </c>
      <c r="K25" s="275">
        <f t="shared" si="10"/>
        <v>80.509625000000014</v>
      </c>
      <c r="L25" s="276">
        <f t="shared" si="10"/>
        <v>0</v>
      </c>
      <c r="M25" s="232">
        <f t="shared" si="10"/>
        <v>2035.743375</v>
      </c>
      <c r="N25" s="233">
        <f>SUM(N16:N24)</f>
        <v>434.74576271186424</v>
      </c>
      <c r="O25" s="101">
        <f>SUM(O16:O24)</f>
        <v>12.352445688559321</v>
      </c>
      <c r="P25" s="234">
        <f>SUM(P16:P24)</f>
        <v>2482.8415834004236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2300.2750000000001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184.02200000000002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80.509625000000014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2035.7433750000002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434.74576271186424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2470.4891377118647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12.352445688559325</v>
      </c>
    </row>
    <row r="35" spans="2:16" ht="15.75" customHeight="1" thickBot="1" x14ac:dyDescent="0.4">
      <c r="N35" s="345" t="s">
        <v>88</v>
      </c>
      <c r="O35" s="346"/>
      <c r="P35" s="297">
        <f>+P33+P34</f>
        <v>2482.841583400424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1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2026-10-10T07:38:13Z</dcterms:modified>
</cp:coreProperties>
</file>