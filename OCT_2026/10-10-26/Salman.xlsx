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8DFB08-C3EE-4978-8A1A-9616381B06B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<sst xmlns="http://schemas.openxmlformats.org/spreadsheetml/2006/main" count="3948" uniqueCount="521">
  <si>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</si>
  <si>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</si>
  <si>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</si>
  <si>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</si>
  <si>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</si>
  <si>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</si>
  <si>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</si>
  <si>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</si>
  <si>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</si>
  <si>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</si>
  <si>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</si>
  <si>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</si>
  <si>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</si>
  <si>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</si>
  <si>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</si>
  <si>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</si>
  <si>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</si>
  <si>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</si>
  <si>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</si>
  <si>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</si>
  <si>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</si>
  <si>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</si>
  <si>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</si>
  <si>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</si>
  <si>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</si>
  <si>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</si>
  <si>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</si>
  <si>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</si>
  <si>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</si>
  <si>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</si>
  <si>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</si>
  <si>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</si>
  <si>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</si>
  <si>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</si>
  <si>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</si>
  <si>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</si>
  <si>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</si>
  <si>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</si>
  <si>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</si>
  <si>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</si>
  <si>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</si>
  <si>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</si>
  <si>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</si>
  <si>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</si>
  <si>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</si>
  <si>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</si>
  <si>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</si>
  <si>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</si>
  <si>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</si>
  <si>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</si>
  <si>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</si>
  <si>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</si>
  <si>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</si>
  <si>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</si>
  <si>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</si>
  <si>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</si>
  <si>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</si>
  <si>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</si>
  <si>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</si>
  <si>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</si>
  <si>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</si>
  <si>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</si>
  <si>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</si>
  <si>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</si>
  <si>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</si>
  <si>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</si>
  <si>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</si>
  <si>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</si>
  <si>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</si>
  <si>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</si>
  <si>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</si>
  <si>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</si>
  <si>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</si>
  <si>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</si>
  <si>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</si>
  <si>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</si>
  <si>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</si>
  <si>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</si>
  <si>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</si>
  <si>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</si>
  <si>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</si>
  <si>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</si>
  <si>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</si>
  <si>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</si>
  <si>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</si>
  <si>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</si>
  <si>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</si>
  <si>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</si>
  <si>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</si>
  <si>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</si>
  <si>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</si>
  <si>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</si>
  <si>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</si>
  <si>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</si>
  <si>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</si>
  <si>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</si>
  <si>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</si>
  <si>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</si>
  <si>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</si>
  <si>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</si>
  <si>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</si>
  <si>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</si>
  <si>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</si>
  <si>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</si>
  <si>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</si>
  <si>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</si>
  <si>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</si>
  <si>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</si>
  <si>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</si>
  <si>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</si>
  <si>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</si>
  <si>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</si>
  <si>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</si>
  <si>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</si>
  <si>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</si>
  <si>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</si>
  <si>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</si>
  <si>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</si>
  <si>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</si>
  <si>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</si>
  <si>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</si>
  <si>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</si>
  <si>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</si>
  <si>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</si>
  <si>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</si>
  <si>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</si>
  <si>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</si>
  <si>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</si>
  <si>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</si>
  <si>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</si>
  <si>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</si>
  <si>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</si>
  <si>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</si>
  <si>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</si>
  <si>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</si>
  <si>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</si>
  <si>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</si>
  <si>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</si>
  <si>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</si>
  <si>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</si>
  <si>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</si>
  <si>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</si>
  <si>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</si>
  <si>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</si>
  <si>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</si>
  <si>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</si>
  <si>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</si>
  <si>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</si>
  <si>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</si>
  <si>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</si>
  <si>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</si>
  <si>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</si>
  <si>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</si>
  <si>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</si>
  <si>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</si>
  <si>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</si>
  <si>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</si>
  <si>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</si>
  <si>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</si>
  <si>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</si>
  <si>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</si>
  <si>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</si>
  <si>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</si>
  <si>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</si>
  <si>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</si>
  <si>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</si>
  <si>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</si>
  <si>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</si>
  <si>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</si>
  <si>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</si>
  <si>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</si>
  <si>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</si>
  <si>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</si>
  <si>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</si>
  <si>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</si>
  <si>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</si>
  <si>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</si>
  <si>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</si>
  <si>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</si>
  <si>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</si>
  <si>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</si>
  <si>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</si>
  <si>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</si>
  <si>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</si>
  <si>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</si>
  <si>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</si>
  <si>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</si>
  <si>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</si>
  <si>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</si>
  <si>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</si>
  <si>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</si>
  <si>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</si>
  <si>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</si>
  <si>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</si>
  <si>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</si>
  <si>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</si>
  <si>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</si>
  <si>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</si>
  <si>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</si>
  <si>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</si>
  <si>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</si>
  <si>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</si>
  <si>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</si>
  <si>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</si>
  <si>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</si>
  <si>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</si>
  <si>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</si>
  <si>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</si>
  <si>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</si>
  <si>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</si>
  <si>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</si>
  <si>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</si>
  <si>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</si>
  <si>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</si>
  <si>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</si>
  <si>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</si>
  <si>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</si>
  <si>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</si>
  <si>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</si>
  <si>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</si>
  <si>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</si>
  <si>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</si>
  <si>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</si>
  <si>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</si>
  <si>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</si>
  <si>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</si>
  <si>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</si>
  <si>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</si>
  <si>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</si>
  <si>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</si>
  <si>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</si>
  <si>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</si>
  <si>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</si>
  <si>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</si>
  <si>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</si>
  <si>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</si>
  <si>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</si>
  <si>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</si>
  <si>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</si>
  <si>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</si>
  <si>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</si>
  <si>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</si>
  <si>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</si>
  <si>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</si>
  <si>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</si>
  <si>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</si>
  <si>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</si>
  <si>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</si>
  <si>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</si>
  <si>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</si>
  <si>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</si>
  <si>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</si>
  <si>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</si>
  <si>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</si>
  <si>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</si>
  <si>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</si>
  <si>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</si>
  <si>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</si>
  <si>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</si>
  <si>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</si>
  <si>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</si>
  <si>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</si>
  <si>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</si>
  <si>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</si>
  <si>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</si>
  <si>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</si>
  <si>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</si>
  <si>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</si>
  <si>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</si>
  <si>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</si>
  <si>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</si>
  <si>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</si>
  <si>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</si>
  <si>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</si>
  <si>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</si>
  <si>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</si>
  <si>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</si>
  <si>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</si>
  <si>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</si>
  <si>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</si>
  <si>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</si>
  <si>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</si>
  <si>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</si>
  <si>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</si>
  <si>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</si>
  <si>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</si>
  <si>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</si>
  <si>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</si>
  <si>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</si>
  <si>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</si>
  <si>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</si>
  <si>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</si>
  <si>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</si>
  <si>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</si>
  <si>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</si>
  <si>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</si>
  <si>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</si>
  <si>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</si>
  <si>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</si>
  <si>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</si>
  <si>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</si>
  <si>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</si>
  <si>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</si>
  <si>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</si>
  <si>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</si>
  <si>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</si>
  <si>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</si>
  <si>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</si>
  <si>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</si>
  <si>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</si>
  <si>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</si>
  <si>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</si>
  <si>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</si>
  <si>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</si>
  <si>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</si>
  <si>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</si>
  <si>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</si>
  <si>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</si>
  <si>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</si>
  <si>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</si>
  <si>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</si>
  <si>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</si>
  <si>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</si>
  <si>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</si>
  <si>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</si>
  <si>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</si>
  <si>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</si>
  <si>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</si>
  <si>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</si>
  <si>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</si>
  <si>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</si>
  <si>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</si>
  <si>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</si>
  <si>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</si>
  <si>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</si>
  <si>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</si>
  <si>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</si>
  <si>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</si>
  <si>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</si>
  <si>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</si>
  <si>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</si>
  <si>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</si>
  <si>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</si>
  <si>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</si>
  <si>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</si>
  <si>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</si>
  <si>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</si>
  <si>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</si>
  <si>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</si>
  <si>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</si>
  <si>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</si>
  <si>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</si>
  <si>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</si>
  <si>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</si>
  <si>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</si>
  <si>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</si>
  <si>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</si>
  <si>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</si>
  <si>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</si>
  <si>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</si>
  <si>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</si>
  <si>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</si>
  <si>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</si>
  <si>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</si>
  <si>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</si>
  <si>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</si>
  <si>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</si>
  <si>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</si>
  <si>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</si>
  <si>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</si>
  <si>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</si>
  <si>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</si>
  <si>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</si>
  <si>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</si>
  <si>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</si>
  <si>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</si>
  <si>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</si>
  <si>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</si>
  <si>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</si>
  <si>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</si>
  <si>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</si>
  <si>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</si>
  <si>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</si>
  <si>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</si>
  <si>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</si>
  <si>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</si>
  <si>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</si>
  <si>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</si>
  <si>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</si>
  <si>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</si>
  <si>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</si>
  <si>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</si>
  <si>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</si>
  <si>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</si>
  <si>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</si>
  <si>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</si>
  <si>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</si>
  <si>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</si>
  <si>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</si>
  <si>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</si>
  <si>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</si>
  <si>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</si>
  <si>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</si>
  <si>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</si>
  <si>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</si>
  <si>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</si>
  <si>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</si>
  <si>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</si>
  <si>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</si>
  <si>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</si>
  <si>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</si>
  <si>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</si>
  <si>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</si>
  <si>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</si>
  <si>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</si>
  <si>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</si>
  <si>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</si>
  <si>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</si>
  <si>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</si>
  <si>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</si>
  <si>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</si>
  <si>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</si>
  <si>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</si>
  <si>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</si>
  <si>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</si>
  <si>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</si>
  <si>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</si>
  <si>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</si>
  <si>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</si>
  <si>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</si>
  <si>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</si>
  <si>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</si>
  <si>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</si>
  <si>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</si>
  <si>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</si>
  <si>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</si>
  <si>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</si>
  <si>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</si>
  <si>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</si>
  <si>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</si>
  <si>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</si>
  <si>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</si>
  <si>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</si>
  <si>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</si>
  <si>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</si>
  <si>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</si>
  <si>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</si>
  <si>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</si>
  <si>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</si>
  <si>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</si>
  <si>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</si>
  <si>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</si>
  <si>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</si>
  <si>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</si>
  <si>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</si>
  <si>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</si>
  <si>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</si>
  <si>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</si>
  <si>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</si>
  <si>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</si>
  <si>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</si>
  <si>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</si>
  <si>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</si>
  <si>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</si>
  <si>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</si>
  <si>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</si>
  <si>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</si>
  <si>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</si>
  <si>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</si>
  <si>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</si>
  <si>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</si>
  <si>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</si>
  <si>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</si>
  <si>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</si>
  <si>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</si>
  <si>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</si>
  <si>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</si>
  <si>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</si>
  <si>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</si>
  <si>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</si>
  <si>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</si>
  <si>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</si>
  <si>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</si>
  <si>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</si>
  <si>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</si>
  <si>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</si>
  <si>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</si>
  <si>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</si>
  <si>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</si>
  <si>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</si>
  <si>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</si>
  <si>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</si>
  <si>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</si>
  <si>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</si>
  <si>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</si>
  <si>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</si>
  <si>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</si>
  <si>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</si>
  <si>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</si>
  <si>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</si>
  <si>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</si>
  <si>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</si>
  <si>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</si>
  <si>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</si>
  <si>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</si>
  <si>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</si>
  <si>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</si>
  <si>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</si>
  <si>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</si>
  <si>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</si>
  <si>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</si>
  <si>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</si>
  <si>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</si>
  <si>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</si>
  <si>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</si>
  <si>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Shell Select Shop </t>
  </si>
  <si>
    <t xml:space="preserve">Address: Qurtaba Chowk </t>
  </si>
  <si>
    <t>Khan Store</t>
  </si>
  <si>
    <t xml:space="preserve">Data Sweets </t>
  </si>
  <si>
    <t>Rashid Store</t>
  </si>
  <si>
    <t>Awan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</si>
</sst>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Shell Select Shop </v>
      </c>
      <c r="T3" s="301">
        <f>+'1'!P35</f>
        <v>5401.2631679237293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Khan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Data Sweets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Rashid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Awan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2892.8879999999999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17.553423050847456</v>
      </c>
      <c r="P10" s="311">
        <f t="shared" si="2"/>
        <v>3528.2380332203388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95</v>
      </c>
      <c r="I12" s="236">
        <f t="shared" si="0"/>
        <v>6900.8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552.06400000000008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241.52800000000002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6107.2080000000005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1304.2372881355932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37.057226440677965</v>
      </c>
      <c r="P12" s="311">
        <f t="shared" si="2"/>
        <v>7448.502514576272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</v>
      </c>
      <c r="H16" s="113">
        <f t="shared" ref="H16:M16" si="3">SUM(H7:H15)</f>
        <v>240</v>
      </c>
      <c r="I16" s="114">
        <f t="shared" si="3"/>
        <v>15819.400000000001</v>
      </c>
      <c r="J16" s="274">
        <f>SUM(J7:J15)</f>
        <v>1265.5520000000001</v>
      </c>
      <c r="K16" s="275">
        <f t="shared" si="3"/>
        <v>553.67900000000009</v>
      </c>
      <c r="L16" s="276">
        <f t="shared" si="3"/>
        <v>0</v>
      </c>
      <c r="M16" s="232">
        <f t="shared" si="3"/>
        <v>14000.169000000002</v>
      </c>
      <c r="N16" s="233">
        <f>SUM(N7:N15)</f>
        <v>2989.8305084745762</v>
      </c>
      <c r="O16" s="101">
        <f>SUM(O7:O15)</f>
        <v>84.94999754237287</v>
      </c>
      <c r="P16" s="113">
        <f>SUM(P7:P15)</f>
        <v>17074.94950601695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15819.400000000001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1265.5520000000001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553.67900000000009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14000.169000000002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2989.8305084745762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16989.999508474579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84.94999754237287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17074.94950601695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17074.94950601695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E3" sqref="E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2026-10-09T11:32:30Z</dcterms:modified>
</cp:coreProperties>
</file>