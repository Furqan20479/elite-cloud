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41830CC-1EB7-4F08-B3E6-DE254961DCB4}" xr6:coauthVersionLast="47" xr6:coauthVersionMax="47" xr10:uidLastSave="{00000000-0000-0000-0000-000000000000}"/>
  <bookViews>
    <workbookView xWindow="-110" yWindow="-110" windowWidth="19420" windowHeight="10420" tabRatio="87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S6" i="62" l="1"/>
  <c r="S25" i="62"/>
  <c r="S18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1" i="72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1" i="7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1" i="70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1" i="69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1" i="68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1" i="67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1" i="66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1" i="65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1" i="64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1" i="63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7" i="62"/>
  <c r="S16" i="62"/>
  <c r="S15" i="62"/>
  <c r="S14" i="62"/>
  <c r="S13" i="62"/>
  <c r="S12" i="62"/>
  <c r="S11" i="62"/>
  <c r="S10" i="62"/>
  <c r="S9" i="62"/>
  <c r="S8" i="62"/>
  <c r="S7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1" i="6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1" i="60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1" i="59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1" i="58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1" i="56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1" i="55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1" i="54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1" i="53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1" i="52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1" i="5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1" i="50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1" i="49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1" i="48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1" i="47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1" i="46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1" i="45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1" i="44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1" i="43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K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L24" i="43"/>
  <c r="K24" i="43"/>
  <c r="J24" i="43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51" l="1"/>
  <c r="M24" i="56"/>
  <c r="O24" i="56" s="1"/>
  <c r="P24" i="56" s="1"/>
  <c r="M24" i="46"/>
  <c r="O24" i="46" s="1"/>
  <c r="P24" i="46" s="1"/>
  <c r="M24" i="43"/>
  <c r="O24" i="43" s="1"/>
  <c r="P24" i="43" s="1"/>
  <c r="M24" i="48"/>
  <c r="O24" i="48" s="1"/>
  <c r="P24" i="48" s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O23" i="48" s="1"/>
  <c r="P23" i="48" s="1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O16" i="66" s="1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5" i="62" l="1"/>
  <c r="P24" i="7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 s="1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<sst xmlns="http://schemas.openxmlformats.org/spreadsheetml/2006/main" count="3949" uniqueCount="547">
  <si>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</si>
  <si>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</si>
  <si>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</si>
  <si>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</si>
  <si>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</si>
  <si>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</si>
  <si>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</si>
  <si>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</si>
  <si>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</si>
  <si>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</si>
  <si>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</si>
  <si>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</si>
  <si>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</si>
  <si>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</si>
  <si>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</si>
  <si>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</si>
  <si>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</si>
  <si>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</si>
  <si>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</si>
  <si>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</si>
  <si>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</si>
  <si>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</si>
  <si>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</si>
  <si>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</si>
  <si>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</si>
  <si>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</si>
  <si>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</si>
  <si>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</si>
  <si>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</si>
  <si>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</si>
  <si>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</si>
  <si>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</si>
  <si>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</si>
  <si>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</si>
  <si>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</si>
  <si>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</si>
  <si>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</si>
  <si>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</si>
  <si>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</si>
  <si>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</si>
  <si>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</si>
  <si>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</si>
  <si>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</si>
  <si>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</si>
  <si>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</si>
  <si>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</si>
  <si>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</si>
  <si>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</si>
  <si>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</si>
  <si>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</si>
  <si>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</si>
  <si>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</si>
  <si>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</si>
  <si>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</si>
  <si>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</si>
  <si>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</si>
  <si>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</si>
  <si>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</si>
  <si>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</si>
  <si>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</si>
  <si>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</si>
  <si>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</si>
  <si>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</si>
  <si>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</si>
  <si>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</si>
  <si>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</si>
  <si>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</si>
  <si>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</si>
  <si>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</si>
  <si>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</si>
  <si>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</si>
  <si>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</si>
  <si>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</si>
  <si>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</si>
  <si>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</si>
  <si>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</si>
  <si>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</si>
  <si>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</si>
  <si>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</si>
  <si>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</si>
  <si>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</si>
  <si>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</si>
  <si>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</si>
  <si>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</si>
  <si>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</si>
  <si>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</si>
  <si>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</si>
  <si>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</si>
  <si>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</si>
  <si>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</si>
  <si>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</si>
  <si>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</si>
  <si>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</si>
  <si>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</si>
  <si>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</si>
  <si>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</si>
  <si>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</si>
  <si>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</si>
  <si>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</si>
  <si>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</si>
  <si>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</si>
  <si>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</si>
  <si>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</si>
  <si>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</si>
  <si>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</si>
  <si>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</si>
  <si>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</si>
  <si>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</si>
  <si>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</si>
  <si>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</si>
  <si>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</si>
  <si>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</si>
  <si>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</si>
  <si>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</si>
  <si>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</si>
  <si>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</si>
  <si>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</si>
  <si>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</si>
  <si>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</si>
  <si>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</si>
  <si>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</si>
  <si>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</si>
  <si>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</si>
  <si>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</si>
  <si>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</si>
  <si>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</si>
  <si>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</si>
  <si>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</si>
  <si>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</si>
  <si>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</si>
  <si>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</si>
  <si>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</si>
  <si>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</si>
  <si>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</si>
  <si>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</si>
  <si>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</si>
  <si>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</si>
  <si>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</si>
  <si>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</si>
  <si>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</si>
  <si>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</si>
  <si>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</si>
  <si>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</si>
  <si>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</si>
  <si>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</si>
  <si>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</si>
  <si>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</si>
  <si>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</si>
  <si>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</si>
  <si>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</si>
  <si>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</si>
  <si>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</si>
  <si>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</si>
  <si>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</si>
  <si>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</si>
  <si>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</si>
  <si>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</si>
  <si>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</si>
  <si>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</si>
  <si>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</si>
  <si>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</si>
  <si>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</si>
  <si>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</si>
  <si>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</si>
  <si>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</si>
  <si>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</si>
  <si>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</si>
  <si>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</si>
  <si>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</si>
  <si>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</si>
  <si>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</si>
  <si>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</si>
  <si>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</si>
  <si>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</si>
  <si>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</si>
  <si>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</si>
  <si>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</si>
  <si>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</si>
  <si>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</si>
  <si>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</si>
  <si>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</si>
  <si>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</si>
  <si>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</si>
  <si>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</si>
  <si>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</si>
  <si>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</si>
  <si>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</si>
  <si>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</si>
  <si>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</si>
  <si>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</si>
  <si>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</si>
  <si>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</si>
  <si>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</si>
  <si>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</si>
  <si>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</si>
  <si>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</si>
  <si>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</si>
  <si>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</si>
  <si>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</si>
  <si>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</si>
  <si>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</si>
  <si>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</si>
  <si>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</si>
  <si>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</si>
  <si>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</si>
  <si>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</si>
  <si>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</si>
  <si>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</si>
  <si>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</si>
  <si>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</si>
  <si>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</si>
  <si>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</si>
  <si>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</si>
  <si>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</si>
  <si>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</si>
  <si>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</si>
  <si>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</si>
  <si>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</si>
  <si>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</si>
  <si>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</si>
  <si>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</si>
  <si>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</si>
  <si>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</si>
  <si>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</si>
  <si>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</si>
  <si>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</si>
  <si>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</si>
  <si>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</si>
  <si>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</si>
  <si>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</si>
  <si>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</si>
  <si>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</si>
  <si>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</si>
  <si>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</si>
  <si>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</si>
  <si>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</si>
  <si>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</si>
  <si>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</si>
  <si>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</si>
  <si>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</si>
  <si>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</si>
  <si>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</si>
  <si>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</si>
  <si>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</si>
  <si>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</si>
  <si>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</si>
  <si>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</si>
  <si>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</si>
  <si>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</si>
  <si>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</si>
  <si>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</si>
  <si>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</si>
  <si>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</si>
  <si>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</si>
  <si>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</si>
  <si>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</si>
  <si>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</si>
  <si>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</si>
  <si>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</si>
  <si>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</si>
  <si>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</si>
  <si>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</si>
  <si>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</si>
  <si>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</si>
  <si>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</si>
  <si>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</si>
  <si>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</si>
  <si>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</si>
  <si>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</si>
  <si>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</si>
  <si>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</si>
  <si>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</si>
  <si>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</si>
  <si>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</si>
  <si>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</si>
  <si>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</si>
  <si>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</si>
  <si>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</si>
  <si>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</si>
  <si>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</si>
  <si>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</si>
  <si>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</si>
  <si>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</si>
  <si>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</si>
  <si>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</si>
  <si>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</si>
  <si>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</si>
  <si>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</si>
  <si>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</si>
  <si>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</si>
  <si>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</si>
  <si>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</si>
  <si>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</si>
  <si>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</si>
  <si>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</si>
  <si>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</si>
  <si>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</si>
  <si>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</si>
  <si>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</si>
  <si>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</si>
  <si>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</si>
  <si>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</si>
  <si>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</si>
  <si>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</si>
  <si>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</si>
  <si>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</si>
  <si>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</si>
  <si>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</si>
  <si>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</si>
  <si>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</si>
  <si>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</si>
  <si>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</si>
  <si>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</si>
  <si>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</si>
  <si>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</si>
  <si>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</si>
  <si>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</si>
  <si>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</si>
  <si>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</si>
  <si>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</si>
  <si>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</si>
  <si>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</si>
  <si>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</si>
  <si>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</si>
  <si>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</si>
  <si>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</si>
  <si>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</si>
  <si>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</si>
  <si>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</si>
  <si>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</si>
  <si>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</si>
  <si>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</si>
  <si>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</si>
  <si>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</si>
  <si>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</si>
  <si>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</si>
  <si>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</si>
  <si>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</si>
  <si>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</si>
  <si>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</si>
  <si>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</si>
  <si>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</si>
  <si>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</si>
  <si>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</si>
  <si>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</si>
  <si>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</si>
  <si>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</si>
  <si>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</si>
  <si>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</si>
  <si>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</si>
  <si>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</si>
  <si>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</si>
  <si>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</si>
  <si>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</si>
  <si>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</si>
  <si>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</si>
  <si>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</si>
  <si>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</si>
  <si>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</si>
  <si>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</si>
  <si>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</si>
  <si>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</si>
  <si>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</si>
  <si>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</si>
  <si>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</si>
  <si>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</si>
  <si>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</si>
  <si>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</si>
  <si>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</si>
  <si>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</si>
  <si>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</si>
  <si>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</si>
  <si>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</si>
  <si>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</si>
  <si>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</si>
  <si>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</si>
  <si>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</si>
  <si>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</si>
  <si>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</si>
  <si>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</si>
  <si>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</si>
  <si>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</si>
  <si>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</si>
  <si>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</si>
  <si>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</si>
  <si>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</si>
  <si>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</si>
  <si>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</si>
  <si>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</si>
  <si>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</si>
  <si>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</si>
  <si>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</si>
  <si>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</si>
  <si>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</si>
  <si>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</si>
  <si>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</si>
  <si>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</si>
  <si>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</si>
  <si>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</si>
  <si>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</si>
  <si>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</si>
  <si>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</si>
  <si>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</si>
  <si>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</si>
  <si>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</si>
  <si>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</si>
  <si>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</si>
  <si>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</si>
  <si>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</si>
  <si>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</si>
  <si>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</si>
  <si>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</si>
  <si>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</si>
  <si>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</si>
  <si>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</si>
  <si>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</si>
  <si>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</si>
  <si>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</si>
  <si>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</si>
  <si>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</si>
  <si>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</si>
  <si>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</si>
  <si>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</si>
  <si>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</si>
  <si>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</si>
  <si>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</si>
  <si>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</si>
  <si>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</si>
  <si>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</si>
  <si>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</si>
  <si>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</si>
  <si>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</si>
  <si>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</si>
  <si>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</si>
  <si>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</si>
  <si>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</si>
  <si>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</si>
  <si>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</si>
  <si>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</si>
  <si>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</si>
  <si>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</si>
  <si>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</si>
  <si>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</si>
  <si>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</si>
  <si>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</si>
  <si>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</si>
  <si>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</si>
  <si>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</si>
  <si>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</si>
  <si>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</si>
  <si>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</si>
  <si>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</si>
  <si>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</si>
  <si>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</si>
  <si>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</si>
  <si>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</si>
  <si>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</si>
  <si>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</si>
  <si>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</si>
  <si>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</si>
  <si>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</si>
  <si>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</si>
  <si>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</si>
  <si>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</si>
  <si>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</si>
  <si>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</si>
  <si>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</si>
  <si>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</si>
  <si>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</si>
  <si>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</si>
  <si>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</si>
  <si>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</si>
  <si>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</si>
  <si>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</si>
  <si>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</si>
  <si>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</si>
  <si>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</si>
  <si>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</si>
  <si>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</si>
  <si>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</si>
  <si>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</si>
  <si>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</si>
  <si>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</si>
  <si>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</si>
  <si>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</si>
  <si>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</si>
  <si>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</si>
  <si>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</si>
  <si>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</si>
  <si>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</si>
  <si>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</si>
  <si>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</si>
  <si>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</si>
  <si>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</si>
  <si>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</si>
  <si>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</si>
  <si>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</si>
  <si>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</si>
  <si>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</si>
  <si>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</si>
  <si>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</si>
  <si>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</si>
  <si>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</si>
  <si>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</si>
  <si>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</si>
  <si>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</si>
  <si>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</si>
  <si>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</si>
  <si>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</si>
  <si>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</si>
  <si>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</si>
  <si>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</si>
  <si>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</si>
  <si>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</si>
  <si>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</si>
  <si>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Shakoor Husain </t>
  </si>
  <si>
    <t xml:space="preserve"> </t>
  </si>
  <si>
    <t>Invoice No # :0001</t>
  </si>
  <si>
    <t>Gourmet Food K Block DHA</t>
  </si>
  <si>
    <t xml:space="preserve">Gourmet Food Lal Pull </t>
  </si>
  <si>
    <t xml:space="preserve">Gourmet Food Shadbagh </t>
  </si>
  <si>
    <t xml:space="preserve">Gourmet Food Railway Plaza </t>
  </si>
  <si>
    <t xml:space="preserve">Gourmet Food Rustam Park </t>
  </si>
  <si>
    <t>Gourmet Food Awan Market Ferozpur Road</t>
  </si>
  <si>
    <t xml:space="preserve">Gourmet Food Tajbagh </t>
  </si>
  <si>
    <t>Gourmet Food Zaraar Shaheed Road</t>
  </si>
  <si>
    <t>Gourmet Food Bedian Road</t>
  </si>
  <si>
    <t xml:space="preserve">Gourmet Food Ismail Nager </t>
  </si>
  <si>
    <t>Gourmet Food Begum Road</t>
  </si>
  <si>
    <t xml:space="preserve">Gourmet Food Kanah </t>
  </si>
  <si>
    <t xml:space="preserve">Gourmet Food Kot Abdul Malik </t>
  </si>
  <si>
    <t xml:space="preserve">Gourmet Food Shadra Town </t>
  </si>
  <si>
    <t>Gourmet Food Bilal Ganjh</t>
  </si>
  <si>
    <t xml:space="preserve">Gourmet Food Kot Khuaja Saeed </t>
  </si>
  <si>
    <t xml:space="preserve">Gourmet Food Killa Lakshman singh </t>
  </si>
  <si>
    <t>Gourmet Food Imamia Colony</t>
  </si>
  <si>
    <t xml:space="preserve">Gourmet Food Badami bagh </t>
  </si>
  <si>
    <t>Gourmet Food Baghban pura</t>
  </si>
  <si>
    <t>Gourmet Food Nadra Abad</t>
  </si>
  <si>
    <t>Gourmet Food Ghazi Road</t>
  </si>
  <si>
    <t>Gourmet Food FF DHA</t>
  </si>
  <si>
    <t>Gourmet Food Sultanpura</t>
  </si>
  <si>
    <t>Gourmet Food Militery Account</t>
  </si>
  <si>
    <t>Gourmet Food Nishat Colony</t>
  </si>
  <si>
    <t>Gourmet Food Rehmanpura</t>
  </si>
  <si>
    <t>Gourmet Food Awan Market</t>
  </si>
  <si>
    <t>Gourmet Food Ismail 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</si>
</sst>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41" fillId="6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B22" workbookViewId="0">
      <selection activeCell="S7" sqref="S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7.08984375" customWidth="1"/>
    <col min="10" max="10" width="7.36328125" bestFit="1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46300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17" t="str">
        <f>+'1'!A6:A6</f>
        <v>Gourmet Food K Block DHA</v>
      </c>
      <c r="T3" s="300">
        <f>+'1'!P35</f>
        <v>15223.111006271187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19" t="str">
        <f>+'2'!A6:A6</f>
        <v xml:space="preserve">Gourmet Food Lal Pull </v>
      </c>
      <c r="T4" s="300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3" t="s">
        <v>507</v>
      </c>
      <c r="R5" s="318">
        <v>3</v>
      </c>
      <c r="S5" s="319" t="str">
        <f>+'3'!A6:A6</f>
        <v xml:space="preserve">Gourmet Food Shadbagh </v>
      </c>
      <c r="T5" s="300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3" t="s">
        <v>506</v>
      </c>
      <c r="R6" s="318">
        <v>4</v>
      </c>
      <c r="S6" s="317" t="str">
        <f>+'4'!A6:A6</f>
        <v xml:space="preserve">Gourmet Food Railway Plaza </v>
      </c>
      <c r="T6" s="300">
        <f>+'4'!P35</f>
        <v>5074.3703354237296</v>
      </c>
      <c r="XEX6" t="s">
        <v>72</v>
      </c>
    </row>
    <row r="7" spans="1:20 16377:16378" ht="21.75" customHeight="1" x14ac:dyDescent="0.35">
      <c r="A7" s="104" t="s">
        <v>453</v>
      </c>
      <c r="B7" s="305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8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280</v>
      </c>
      <c r="I7" s="235">
        <f>(G7*D7)*F7+H7*F7</f>
        <v>14689.5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2644.1099999999997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12045.39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2776.2711864406765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74.108305932203379</v>
      </c>
      <c r="P7" s="309">
        <f>M7+N7+O7</f>
        <v>14895.76949237288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8">
        <v>5</v>
      </c>
      <c r="S7" s="319" t="str">
        <f>+'5'!A6:A6</f>
        <v xml:space="preserve">Gourmet Food Rustam Park </v>
      </c>
      <c r="T7" s="300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6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8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160</v>
      </c>
      <c r="I8" s="236">
        <f t="shared" ref="I8:I14" si="0">(G8*D8)*F8+H8*F8</f>
        <v>8394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1510.9199999999998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6883.08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1586.440677966101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42.347603389830503</v>
      </c>
      <c r="P8" s="310">
        <f t="shared" ref="P8:P15" si="2">M8+N8+O8</f>
        <v>8511.8682813559299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8">
        <v>6</v>
      </c>
      <c r="S8" s="317" t="str">
        <f>+'6'!A6:A6</f>
        <v>Gourmet Food Awan Market Ferozpur Road</v>
      </c>
      <c r="T8" s="300">
        <f>+'6'!P35</f>
        <v>8839.2097952542372</v>
      </c>
      <c r="XEX8" t="s">
        <v>108</v>
      </c>
    </row>
    <row r="9" spans="1:20 16377:16378" ht="21.75" customHeight="1" x14ac:dyDescent="0.35">
      <c r="A9" s="82" t="s">
        <v>457</v>
      </c>
      <c r="B9" s="306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8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1510.9199999999998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6883.08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42.347603389830503</v>
      </c>
      <c r="P9" s="310">
        <f t="shared" si="2"/>
        <v>8511.8682813559299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8">
        <v>7</v>
      </c>
      <c r="S9" s="319" t="str">
        <f>+'7'!A6:A6</f>
        <v xml:space="preserve">Gourmet Food Tajbagh </v>
      </c>
      <c r="T9" s="300">
        <f>+'7'!P35</f>
        <v>0</v>
      </c>
    </row>
    <row r="10" spans="1:20 16377:16378" ht="21.75" customHeight="1" x14ac:dyDescent="0.35">
      <c r="A10" s="82" t="s">
        <v>459</v>
      </c>
      <c r="B10" s="306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8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360</v>
      </c>
      <c r="I10" s="236">
        <f t="shared" si="0"/>
        <v>26150.400000000001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4707.0719999999992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21443.328000000001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4942.3728813559328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131.92850440677969</v>
      </c>
      <c r="P10" s="310">
        <f t="shared" si="2"/>
        <v>26517.629385762713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8">
        <v>8</v>
      </c>
      <c r="S10" s="317" t="str">
        <f>+'8'!A6:A6</f>
        <v>Gourmet Food Zaraar Shaheed Road</v>
      </c>
      <c r="T10" s="300">
        <f>+'8'!P35</f>
        <v>8839.2097952542372</v>
      </c>
    </row>
    <row r="11" spans="1:20 16377:16378" ht="21.75" customHeight="1" x14ac:dyDescent="0.35">
      <c r="A11" s="82" t="s">
        <v>461</v>
      </c>
      <c r="B11" s="306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8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440</v>
      </c>
      <c r="I11" s="236">
        <f t="shared" si="0"/>
        <v>31961.599999999999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5753.0879999999988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26208.511999999999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6040.6779661016963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161.24594983050852</v>
      </c>
      <c r="P11" s="310">
        <f t="shared" si="2"/>
        <v>32410.435915932201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8">
        <v>9</v>
      </c>
      <c r="S11" s="317" t="str">
        <f>+'9'!A6:A6</f>
        <v>Gourmet Food Bedian Road</v>
      </c>
      <c r="T11" s="300">
        <f>+'9'!P35</f>
        <v>13095.143935932207</v>
      </c>
    </row>
    <row r="12" spans="1:20 16377:16378" ht="21.75" customHeight="1" x14ac:dyDescent="0.35">
      <c r="A12" s="82" t="s">
        <v>463</v>
      </c>
      <c r="B12" s="306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8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520</v>
      </c>
      <c r="I12" s="236">
        <f t="shared" si="0"/>
        <v>37772.800000000003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6799.1039999999985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30973.696000000004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7138.9830508474597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190.56339525423735</v>
      </c>
      <c r="P12" s="310">
        <f t="shared" si="2"/>
        <v>38303.2424461017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8">
        <v>10</v>
      </c>
      <c r="S12" s="317" t="str">
        <f>+'10'!A6:A6</f>
        <v xml:space="preserve">Gourmet Food Ismail Nager </v>
      </c>
      <c r="T12" s="300">
        <f>+'10'!P35</f>
        <v>8020.7736005084762</v>
      </c>
    </row>
    <row r="13" spans="1:20 16377:16378" ht="21.75" customHeight="1" x14ac:dyDescent="0.35">
      <c r="A13" s="82" t="s">
        <v>465</v>
      </c>
      <c r="B13" s="306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8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0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8">
        <v>11</v>
      </c>
      <c r="S13" s="319" t="str">
        <f>+'11'!A6:A6</f>
        <v>Gourmet Food Begum Road</v>
      </c>
      <c r="T13" s="300">
        <f>+'11'!P35</f>
        <v>0</v>
      </c>
    </row>
    <row r="14" spans="1:20 16377:16378" ht="21.75" customHeight="1" x14ac:dyDescent="0.35">
      <c r="A14" s="82" t="s">
        <v>467</v>
      </c>
      <c r="B14" s="306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8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0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8">
        <v>12</v>
      </c>
      <c r="S14" s="317" t="str">
        <f>+'12'!A6:A6</f>
        <v xml:space="preserve">Gourmet Food Kanah </v>
      </c>
      <c r="T14" s="300">
        <f>+'12'!P35</f>
        <v>13095.143935932207</v>
      </c>
    </row>
    <row r="15" spans="1:20 16377:16378" ht="21.75" customHeight="1" thickBot="1" x14ac:dyDescent="0.4">
      <c r="A15" s="80" t="s">
        <v>469</v>
      </c>
      <c r="B15" s="307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8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1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8">
        <v>13</v>
      </c>
      <c r="S15" s="319" t="str">
        <f>+'13'!A6:A6</f>
        <v xml:space="preserve">Gourmet Food Kot Abdul Malik </v>
      </c>
      <c r="T15" s="300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274">
        <f>H16/40</f>
        <v>48</v>
      </c>
      <c r="H16" s="113">
        <f t="shared" ref="H16:M16" si="3">SUM(H7:H15)</f>
        <v>1920</v>
      </c>
      <c r="I16" s="114">
        <f t="shared" si="3"/>
        <v>127362.3</v>
      </c>
      <c r="J16" s="274">
        <f>SUM(J7:J15)</f>
        <v>22925.213999999996</v>
      </c>
      <c r="K16" s="275">
        <f t="shared" si="3"/>
        <v>0</v>
      </c>
      <c r="L16" s="276">
        <f t="shared" si="3"/>
        <v>0</v>
      </c>
      <c r="M16" s="232">
        <f t="shared" si="3"/>
        <v>104437.08600000001</v>
      </c>
      <c r="N16" s="233">
        <f>SUM(N7:N15)</f>
        <v>24071.186440677968</v>
      </c>
      <c r="O16" s="101">
        <f>SUM(O7:O15)</f>
        <v>642.54136220338989</v>
      </c>
      <c r="P16" s="113">
        <f>SUM(P7:P15)</f>
        <v>129150.81380288137</v>
      </c>
      <c r="Q16" s="128">
        <f>SUM(Q7:Q15)</f>
        <v>0</v>
      </c>
      <c r="R16" s="318">
        <v>14</v>
      </c>
      <c r="S16" s="319" t="str">
        <f>+'14'!A6:A6</f>
        <v xml:space="preserve">Gourmet Food Shadra Town </v>
      </c>
      <c r="T16" s="300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9" t="str">
        <f>+'15'!A6:A6</f>
        <v>Gourmet Food Bilal Ganjh</v>
      </c>
      <c r="T17" s="300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17" t="str">
        <f>+'16'!A6:A6</f>
        <v xml:space="preserve">Gourmet Food Kot Khuaja Saeed </v>
      </c>
      <c r="T18" s="300">
        <f>+'16'!P35</f>
        <v>8839.2097952542372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127362.3</v>
      </c>
      <c r="R19" s="299">
        <v>17</v>
      </c>
      <c r="S19" s="319" t="str">
        <f>+'17'!A6:A6</f>
        <v xml:space="preserve">Gourmet Food Killa Lakshman singh </v>
      </c>
      <c r="T19" s="300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22925.213999999996</v>
      </c>
      <c r="R20" s="299">
        <v>18</v>
      </c>
      <c r="S20" s="319" t="str">
        <f>+'18'!A6:A6</f>
        <v>Gourmet Food Imamia Colony</v>
      </c>
      <c r="T20" s="300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0</v>
      </c>
      <c r="R21" s="299">
        <v>19</v>
      </c>
      <c r="S21" s="319" t="str">
        <f>+'19'!A6:A6</f>
        <v xml:space="preserve">Gourmet Food Badami bagh </v>
      </c>
      <c r="T21" s="300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104437.08600000001</v>
      </c>
      <c r="R22" s="299">
        <v>20</v>
      </c>
      <c r="S22" s="319" t="str">
        <f>+'20'!A6:A6</f>
        <v>Gourmet Food Baghban pura</v>
      </c>
      <c r="T22" s="300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24071.186440677968</v>
      </c>
      <c r="R23" s="299">
        <v>21</v>
      </c>
      <c r="S23" s="317" t="str">
        <f>+'21'!A6:A6</f>
        <v>Gourmet Food Nadra Abad</v>
      </c>
      <c r="T23" s="300">
        <f>+'21'!P35</f>
        <v>5892.8065301694915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128508.27244067797</v>
      </c>
      <c r="R24" s="299">
        <v>22</v>
      </c>
      <c r="S24" s="319" t="str">
        <f>+'22'!A6:A6</f>
        <v>Gourmet Food Ghazi Road</v>
      </c>
      <c r="T24" s="300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642.54136220338989</v>
      </c>
      <c r="R25" s="299">
        <v>23</v>
      </c>
      <c r="S25" s="317" t="str">
        <f>+'23'!A6:A6</f>
        <v>Gourmet Food FF DHA</v>
      </c>
      <c r="T25" s="300">
        <f>+'23'!P35</f>
        <v>5892.8065301694915</v>
      </c>
    </row>
    <row r="26" spans="1:20" ht="21.75" customHeight="1" thickBot="1" x14ac:dyDescent="0.4">
      <c r="N26" s="373" t="s">
        <v>88</v>
      </c>
      <c r="O26" s="374"/>
      <c r="P26" s="297">
        <f>+P24+P25</f>
        <v>129150.81380288137</v>
      </c>
      <c r="R26" s="299">
        <v>24</v>
      </c>
      <c r="S26" s="317" t="str">
        <f>+'24'!A6:A6</f>
        <v>Gourmet Food Sultanpura</v>
      </c>
      <c r="T26" s="300">
        <f>+'24'!P35</f>
        <v>15223.111006271187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17" t="str">
        <f>+'25'!A6:A6</f>
        <v>Gourmet Food Militery Account</v>
      </c>
      <c r="T27" s="300">
        <f>+'25'!P35</f>
        <v>8020.7736005084762</v>
      </c>
    </row>
    <row r="28" spans="1:20" ht="21.75" customHeight="1" x14ac:dyDescent="0.35">
      <c r="R28" s="299">
        <v>26</v>
      </c>
      <c r="S28" s="317" t="str">
        <f>+'26'!A6:A6</f>
        <v>Gourmet Food Nishat Colony</v>
      </c>
      <c r="T28" s="300">
        <f>+'26'!P35</f>
        <v>13095.143935932207</v>
      </c>
    </row>
    <row r="29" spans="1:20" ht="21.75" customHeight="1" x14ac:dyDescent="0.35">
      <c r="L29">
        <v>0</v>
      </c>
      <c r="R29" s="299">
        <v>27</v>
      </c>
      <c r="S29" s="319" t="str">
        <f>+'27'!A6:A6</f>
        <v>Gourmet Food Rehmanpura</v>
      </c>
      <c r="T29" s="300">
        <f>+'27'!P35</f>
        <v>0</v>
      </c>
    </row>
    <row r="30" spans="1:20" ht="21.75" customHeight="1" x14ac:dyDescent="0.35">
      <c r="R30" s="299">
        <v>28</v>
      </c>
      <c r="S30" s="319" t="str">
        <f>+'28'!A6:A6</f>
        <v>Gourmet Food Awan Market</v>
      </c>
      <c r="T30" s="300">
        <f>+'28'!P35</f>
        <v>0</v>
      </c>
    </row>
    <row r="31" spans="1:20" ht="21.75" customHeight="1" x14ac:dyDescent="0.35">
      <c r="R31" s="299">
        <v>29</v>
      </c>
      <c r="S31" s="319" t="str">
        <f>+'29'!A6:A6</f>
        <v>Gourmet Food Ismail Nager</v>
      </c>
      <c r="T31" s="300">
        <f>+'29'!P35</f>
        <v>0</v>
      </c>
    </row>
    <row r="32" spans="1:20" ht="21.75" customHeight="1" x14ac:dyDescent="0.35">
      <c r="R32" s="299">
        <v>30</v>
      </c>
      <c r="S32" s="319" t="str">
        <f>+'30'!A6:A6</f>
        <v xml:space="preserve">Gourmet Food Kanah </v>
      </c>
      <c r="T32" s="300">
        <f>+'30'!P35</f>
        <v>0</v>
      </c>
    </row>
    <row r="33" spans="2:20" ht="21.75" customHeight="1" thickBot="1" x14ac:dyDescent="0.6">
      <c r="R33" s="302"/>
      <c r="S33" s="301" t="s">
        <v>496</v>
      </c>
      <c r="T33" s="303">
        <f>SUM(T3:T32)</f>
        <v>129150.81380288137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zoomScaleNormal="100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7.25" customHeight="1" x14ac:dyDescent="0.4">
      <c r="A6" s="399" t="s">
        <v>518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4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4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ref="I18:I21" si="7">(G18*D18)*F18+H18*F18</f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7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7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240</v>
      </c>
      <c r="I25" s="114">
        <f t="shared" ref="I25:M25" si="10">SUM(I16:I24)</f>
        <v>15012.300000000001</v>
      </c>
      <c r="J25" s="274">
        <f>SUM(J16:J24)</f>
        <v>2702.2139999999995</v>
      </c>
      <c r="K25" s="275">
        <f t="shared" si="10"/>
        <v>0</v>
      </c>
      <c r="L25" s="276">
        <f t="shared" si="10"/>
        <v>0</v>
      </c>
      <c r="M25" s="232">
        <f t="shared" si="10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15012.300000000001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2702.2139999999995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12310.086000000001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15147.374135593222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73" t="s">
        <v>88</v>
      </c>
      <c r="O35" s="374"/>
      <c r="P35" s="297">
        <f>+P33+P34</f>
        <v>15223.111006271187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  <c r="F2" t="s">
        <v>516</v>
      </c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8.7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900.73799999999983</v>
      </c>
      <c r="K25" s="275">
        <f t="shared" si="7"/>
        <v>0</v>
      </c>
      <c r="L25" s="276">
        <f t="shared" si="7"/>
        <v>0</v>
      </c>
      <c r="M25" s="232">
        <f t="shared" si="7"/>
        <v>4103.3620000000001</v>
      </c>
      <c r="N25" s="233">
        <f>SUM(N16:N24)</f>
        <v>945.76271186440658</v>
      </c>
      <c r="O25" s="101">
        <f>SUM(O16:O24)</f>
        <v>25.245623559322034</v>
      </c>
      <c r="P25" s="113">
        <f>SUM(P16:P24)</f>
        <v>5074.3703354237277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5004.1000000000004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900.73799999999983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4103.362000000001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5049.1247118644078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25.245623559322041</v>
      </c>
    </row>
    <row r="35" spans="2:16" ht="15.75" customHeight="1" thickBot="1" x14ac:dyDescent="0.4">
      <c r="N35" s="373" t="s">
        <v>88</v>
      </c>
      <c r="O35" s="374"/>
      <c r="P35" s="297">
        <f>+P33+P34</f>
        <v>5074.3703354237296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4" zoomScaleNormal="100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1569.0239999999999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7147.7759999999998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8795.2336271186432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3" t="s">
        <v>88</v>
      </c>
      <c r="O35" s="374"/>
      <c r="P35" s="297">
        <f>+P33+P34</f>
        <v>8839.2097952542372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zoomScale="110" zoomScaleNormal="1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1569.0239999999999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7147.7759999999998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8795.2336271186432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3" t="s">
        <v>88</v>
      </c>
      <c r="O35" s="374"/>
      <c r="P35" s="297">
        <f>+P33+P34</f>
        <v>8839.2097952542372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12913.800000000001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2324.4839999999995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10589.316000000003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13029.993966101698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3" t="s">
        <v>88</v>
      </c>
      <c r="O35" s="374"/>
      <c r="P35" s="297">
        <f>+P33+P34</f>
        <v>13095.143935932207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7909.7000000000007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1423.7459999999996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6485.9540000000015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7980.8692542372901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73" t="s">
        <v>88</v>
      </c>
      <c r="O35" s="374"/>
      <c r="P35" s="297">
        <f>+P33+P34</f>
        <v>8020.7736005084762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12913.800000000001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2324.4839999999995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10589.316000000003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13029.993966101698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3" t="s">
        <v>88</v>
      </c>
      <c r="O35" s="374"/>
      <c r="P35" s="297">
        <f>+P33+P34</f>
        <v>13095.143935932207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56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1569.0239999999999</v>
      </c>
      <c r="K25" s="275">
        <f t="shared" si="7"/>
        <v>0</v>
      </c>
      <c r="L25" s="276">
        <f t="shared" si="7"/>
        <v>0</v>
      </c>
      <c r="M25" s="232">
        <f t="shared" si="7"/>
        <v>7147.7759999999998</v>
      </c>
      <c r="N25" s="233">
        <f>SUM(N16:N24)</f>
        <v>1647.4576271186443</v>
      </c>
      <c r="O25" s="101">
        <f>SUM(O16:O24)</f>
        <v>43.97616813559322</v>
      </c>
      <c r="P25" s="113">
        <f>SUM(P16:P24)</f>
        <v>8839.2097952542372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8716.7999999999993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1569.0239999999999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  <c r="S30" s="215"/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7147.7759999999998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8795.2336271186432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43.97616813559322</v>
      </c>
    </row>
    <row r="35" spans="2:16" ht="15.75" customHeight="1" thickBot="1" x14ac:dyDescent="0.4">
      <c r="N35" s="373" t="s">
        <v>88</v>
      </c>
      <c r="O35" s="374"/>
      <c r="P35" s="297">
        <f>+P33+P34</f>
        <v>8839.2097952542372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4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9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1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8.75" customHeight="1" x14ac:dyDescent="0.4">
      <c r="A6" s="399" t="s">
        <v>537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538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1046.0159999999998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4765.1840000000002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5863.4890847457627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3" t="s">
        <v>88</v>
      </c>
      <c r="O35" s="374"/>
      <c r="P35" s="297">
        <f>+P33+P34</f>
        <v>5892.8065301694915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10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540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5811.2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1046.0159999999998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4765.1840000000002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5863.4890847457627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73" t="s">
        <v>88</v>
      </c>
      <c r="O35" s="374"/>
      <c r="P35" s="297">
        <f>+P33+P34</f>
        <v>5892.8065301694915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5" workbookViewId="0">
      <selection activeCell="H16" sqref="H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541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0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240</v>
      </c>
      <c r="I25" s="114">
        <f t="shared" si="7"/>
        <v>15012.300000000001</v>
      </c>
      <c r="J25" s="274">
        <f>SUM(J16:J24)</f>
        <v>2702.2139999999995</v>
      </c>
      <c r="K25" s="275">
        <f t="shared" si="7"/>
        <v>0</v>
      </c>
      <c r="L25" s="276">
        <f t="shared" si="7"/>
        <v>0</v>
      </c>
      <c r="M25" s="232">
        <f t="shared" si="7"/>
        <v>12310.086000000001</v>
      </c>
      <c r="N25" s="233">
        <f>SUM(N16:N24)</f>
        <v>2837.2881355932195</v>
      </c>
      <c r="O25" s="101">
        <f>SUM(O16:O24)</f>
        <v>75.736870677966095</v>
      </c>
      <c r="P25" s="113">
        <f>SUM(P16:P24)</f>
        <v>15223.111006271185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15012.300000000001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2702.2139999999995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12310.086000000001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2837.2881355932195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15147.374135593222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75.73687067796611</v>
      </c>
    </row>
    <row r="35" spans="2:16" ht="15.75" customHeight="1" thickBot="1" x14ac:dyDescent="0.4">
      <c r="N35" s="373" t="s">
        <v>88</v>
      </c>
      <c r="O35" s="374"/>
      <c r="P35" s="297">
        <f>+P33+P34</f>
        <v>15223.111006271187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5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542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1423.7459999999996</v>
      </c>
      <c r="K25" s="275">
        <f t="shared" si="7"/>
        <v>0</v>
      </c>
      <c r="L25" s="276">
        <f t="shared" si="7"/>
        <v>0</v>
      </c>
      <c r="M25" s="232">
        <f t="shared" si="7"/>
        <v>6485.9539999999997</v>
      </c>
      <c r="N25" s="233">
        <f>SUM(N16:N24)</f>
        <v>1494.9152542372881</v>
      </c>
      <c r="O25" s="101">
        <f>SUM(O16:O24)</f>
        <v>39.904346271186441</v>
      </c>
      <c r="P25" s="113">
        <f>SUM(P16:P24)</f>
        <v>8020.7736005084735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7909.7000000000007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1423.7459999999996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6485.9540000000015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1494.9152542372881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7980.8692542372901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39.904346271186448</v>
      </c>
    </row>
    <row r="35" spans="2:16" ht="15.75" customHeight="1" thickBot="1" x14ac:dyDescent="0.4">
      <c r="N35" s="373" t="s">
        <v>88</v>
      </c>
      <c r="O35" s="374"/>
      <c r="P35" s="297">
        <f>+P33+P34</f>
        <v>8020.7736005084762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543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09">
        <f>M16+N16+O16</f>
        <v>2127.9670703389825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0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0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0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0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200</v>
      </c>
      <c r="I25" s="114">
        <f t="shared" si="7"/>
        <v>12913.800000000001</v>
      </c>
      <c r="J25" s="274">
        <f>SUM(J16:J24)</f>
        <v>2324.4839999999995</v>
      </c>
      <c r="K25" s="275">
        <f t="shared" si="7"/>
        <v>0</v>
      </c>
      <c r="L25" s="276">
        <f t="shared" si="7"/>
        <v>0</v>
      </c>
      <c r="M25" s="232">
        <f t="shared" si="7"/>
        <v>10589.316000000001</v>
      </c>
      <c r="N25" s="233">
        <f>SUM(N16:N24)</f>
        <v>2440.6779661016944</v>
      </c>
      <c r="O25" s="101">
        <f>SUM(O16:O24)</f>
        <v>65.149969830508468</v>
      </c>
      <c r="P25" s="113">
        <f>SUM(P16:P24)</f>
        <v>13095.143935932201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12913.800000000001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2324.4839999999995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10589.316000000003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2440.6779661016944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13029.993966101698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65.149969830508496</v>
      </c>
    </row>
    <row r="35" spans="2:16" ht="15.75" customHeight="1" thickBot="1" x14ac:dyDescent="0.4">
      <c r="N35" s="373" t="s">
        <v>88</v>
      </c>
      <c r="O35" s="374"/>
      <c r="P35" s="297">
        <f>+P33+P34</f>
        <v>13095.143935932207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1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46302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46301</v>
      </c>
      <c r="O5" s="393"/>
      <c r="P5" s="393"/>
      <c r="R5" s="85"/>
      <c r="S5" s="266"/>
    </row>
    <row r="6" spans="1:22 16383:16384" ht="15" customHeight="1" x14ac:dyDescent="0.4">
      <c r="A6" s="399" t="s">
        <v>544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3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517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545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546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opLeftCell="A8" workbookViewId="0">
      <selection activeCell="Q16" sqref="Q16:Q2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63281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46296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46295</v>
      </c>
      <c r="O5" s="393"/>
      <c r="P5" s="393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94" t="s">
        <v>69</v>
      </c>
      <c r="L6" s="394"/>
      <c r="M6" s="394"/>
      <c r="N6" s="396" t="s">
        <v>515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512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95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5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6">
        <v>0.18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5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09">
        <f>M16+N16+O16</f>
        <v>0</v>
      </c>
      <c r="Q16" s="312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0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0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0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0">
        <f t="shared" si="5"/>
        <v>0</v>
      </c>
      <c r="Q20" s="156"/>
      <c r="R20">
        <f>P20/21</f>
        <v>0</v>
      </c>
      <c r="S20" s="269">
        <f>+S19</f>
        <v>0.18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0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0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0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1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46306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46305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2026-10-10T05:04:34Z</dcterms:modified>
</cp:coreProperties>
</file>