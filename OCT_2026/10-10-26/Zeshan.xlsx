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3FECDD7-5F3B-46D3-AFB3-3904731329C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<sst xmlns="http://schemas.openxmlformats.org/spreadsheetml/2006/main" count="3948" uniqueCount="525">
  <si>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</si>
  <si>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</si>
  <si>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</si>
  <si>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</si>
  <si>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</si>
  <si>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</si>
  <si>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</si>
  <si>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</si>
  <si>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</si>
  <si>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</si>
  <si>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</si>
  <si>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</si>
  <si>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</si>
  <si>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</si>
  <si>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</si>
  <si>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</si>
  <si>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</si>
  <si>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</si>
  <si>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</si>
  <si>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</si>
  <si>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</si>
  <si>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</si>
  <si>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</si>
  <si>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</si>
  <si>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</si>
  <si>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</si>
  <si>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</si>
  <si>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</si>
  <si>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</si>
  <si>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</si>
  <si>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</si>
  <si>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</si>
  <si>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</si>
  <si>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</si>
  <si>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</si>
  <si>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</si>
  <si>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</si>
  <si>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</si>
  <si>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</si>
  <si>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</si>
  <si>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</si>
  <si>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</si>
  <si>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</si>
  <si>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</si>
  <si>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</si>
  <si>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</si>
  <si>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</si>
  <si>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</si>
  <si>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</si>
  <si>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</si>
  <si>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</si>
  <si>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</si>
  <si>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</si>
  <si>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</si>
  <si>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</si>
  <si>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</si>
  <si>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</si>
  <si>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</si>
  <si>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</si>
  <si>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</si>
  <si>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</si>
  <si>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</si>
  <si>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</si>
  <si>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</si>
  <si>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</si>
  <si>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</si>
  <si>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</si>
  <si>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</si>
  <si>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</si>
  <si>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</si>
  <si>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</si>
  <si>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</si>
  <si>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</si>
  <si>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</si>
  <si>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</si>
  <si>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</si>
  <si>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</si>
  <si>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</si>
  <si>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</si>
  <si>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</si>
  <si>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</si>
  <si>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</si>
  <si>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</si>
  <si>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</si>
  <si>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</si>
  <si>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</si>
  <si>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</si>
  <si>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</si>
  <si>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</si>
  <si>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</si>
  <si>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</si>
  <si>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</si>
  <si>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</si>
  <si>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</si>
  <si>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</si>
  <si>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</si>
  <si>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</si>
  <si>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</si>
  <si>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</si>
  <si>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</si>
  <si>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</si>
  <si>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</si>
  <si>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</si>
  <si>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</si>
  <si>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</si>
  <si>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</si>
  <si>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</si>
  <si>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</si>
  <si>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</si>
  <si>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</si>
  <si>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</si>
  <si>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</si>
  <si>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</si>
  <si>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</si>
  <si>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</si>
  <si>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</si>
  <si>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</si>
  <si>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</si>
  <si>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</si>
  <si>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</si>
  <si>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</si>
  <si>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</si>
  <si>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</si>
  <si>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</si>
  <si>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</si>
  <si>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</si>
  <si>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</si>
  <si>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</si>
  <si>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</si>
  <si>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</si>
  <si>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</si>
  <si>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</si>
  <si>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</si>
  <si>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</si>
  <si>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</si>
  <si>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</si>
  <si>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</si>
  <si>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</si>
  <si>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</si>
  <si>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</si>
  <si>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</si>
  <si>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</si>
  <si>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</si>
  <si>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</si>
  <si>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</si>
  <si>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</si>
  <si>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</si>
  <si>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</si>
  <si>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</si>
  <si>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</si>
  <si>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</si>
  <si>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</si>
  <si>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</si>
  <si>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</si>
  <si>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</si>
  <si>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</si>
  <si>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</si>
  <si>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</si>
  <si>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</si>
  <si>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</si>
  <si>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</si>
  <si>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</si>
  <si>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</si>
  <si>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</si>
  <si>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</si>
  <si>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</si>
  <si>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</si>
  <si>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</si>
  <si>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</si>
  <si>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</si>
  <si>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</si>
  <si>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</si>
  <si>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</si>
  <si>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</si>
  <si>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</si>
  <si>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</si>
  <si>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</si>
  <si>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</si>
  <si>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</si>
  <si>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</si>
  <si>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</si>
  <si>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</si>
  <si>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</si>
  <si>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</si>
  <si>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</si>
  <si>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</si>
  <si>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</si>
  <si>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</si>
  <si>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</si>
  <si>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</si>
  <si>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</si>
  <si>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</si>
  <si>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</si>
  <si>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</si>
  <si>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</si>
  <si>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</si>
  <si>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</si>
  <si>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</si>
  <si>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</si>
  <si>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</si>
  <si>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</si>
  <si>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</si>
  <si>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</si>
  <si>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</si>
  <si>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</si>
  <si>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</si>
  <si>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</si>
  <si>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</si>
  <si>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</si>
  <si>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</si>
  <si>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</si>
  <si>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</si>
  <si>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</si>
  <si>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</si>
  <si>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</si>
  <si>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</si>
  <si>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</si>
  <si>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</si>
  <si>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</si>
  <si>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</si>
  <si>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</si>
  <si>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</si>
  <si>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</si>
  <si>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</si>
  <si>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</si>
  <si>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</si>
  <si>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</si>
  <si>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</si>
  <si>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</si>
  <si>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</si>
  <si>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</si>
  <si>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</si>
  <si>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</si>
  <si>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</si>
  <si>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</si>
  <si>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</si>
  <si>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</si>
  <si>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</si>
  <si>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</si>
  <si>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</si>
  <si>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</si>
  <si>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</si>
  <si>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</si>
  <si>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</si>
  <si>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</si>
  <si>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</si>
  <si>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</si>
  <si>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</si>
  <si>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</si>
  <si>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</si>
  <si>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</si>
  <si>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</si>
  <si>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</si>
  <si>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</si>
  <si>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</si>
  <si>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</si>
  <si>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</si>
  <si>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</si>
  <si>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</si>
  <si>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</si>
  <si>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</si>
  <si>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</si>
  <si>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</si>
  <si>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</si>
  <si>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</si>
  <si>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</si>
  <si>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</si>
  <si>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</si>
  <si>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</si>
  <si>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</si>
  <si>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</si>
  <si>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</si>
  <si>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</si>
  <si>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</si>
  <si>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</si>
  <si>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</si>
  <si>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</si>
  <si>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</si>
  <si>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</si>
  <si>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</si>
  <si>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</si>
  <si>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</si>
  <si>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</si>
  <si>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</si>
  <si>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</si>
  <si>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</si>
  <si>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</si>
  <si>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</si>
  <si>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</si>
  <si>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</si>
  <si>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</si>
  <si>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</si>
  <si>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</si>
  <si>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</si>
  <si>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</si>
  <si>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</si>
  <si>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</si>
  <si>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</si>
  <si>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</si>
  <si>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</si>
  <si>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</si>
  <si>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</si>
  <si>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</si>
  <si>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</si>
  <si>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</si>
  <si>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</si>
  <si>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</si>
  <si>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</si>
  <si>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</si>
  <si>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</si>
  <si>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</si>
  <si>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</si>
  <si>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</si>
  <si>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</si>
  <si>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</si>
  <si>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</si>
  <si>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</si>
  <si>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</si>
  <si>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</si>
  <si>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</si>
  <si>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</si>
  <si>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</si>
  <si>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</si>
  <si>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</si>
  <si>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</si>
  <si>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</si>
  <si>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</si>
  <si>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</si>
  <si>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</si>
  <si>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</si>
  <si>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</si>
  <si>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</si>
  <si>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</si>
  <si>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</si>
  <si>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</si>
  <si>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</si>
  <si>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</si>
  <si>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</si>
  <si>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</si>
  <si>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</si>
  <si>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</si>
  <si>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</si>
  <si>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</si>
  <si>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</si>
  <si>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</si>
  <si>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</si>
  <si>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</si>
  <si>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</si>
  <si>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</si>
  <si>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</si>
  <si>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</si>
  <si>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</si>
  <si>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</si>
  <si>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</si>
  <si>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</si>
  <si>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</si>
  <si>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</si>
  <si>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</si>
  <si>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</si>
  <si>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</si>
  <si>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</si>
  <si>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</si>
  <si>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</si>
  <si>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</si>
  <si>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</si>
  <si>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</si>
  <si>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</si>
  <si>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</si>
  <si>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</si>
  <si>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</si>
  <si>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</si>
  <si>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</si>
  <si>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</si>
  <si>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</si>
  <si>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</si>
  <si>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</si>
  <si>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</si>
  <si>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</si>
  <si>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</si>
  <si>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</si>
  <si>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</si>
  <si>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</si>
  <si>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</si>
  <si>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</si>
  <si>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</si>
  <si>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</si>
  <si>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</si>
  <si>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</si>
  <si>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</si>
  <si>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</si>
  <si>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</si>
  <si>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</si>
  <si>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</si>
  <si>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</si>
  <si>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</si>
  <si>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</si>
  <si>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</si>
  <si>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</si>
  <si>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</si>
  <si>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</si>
  <si>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</si>
  <si>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</si>
  <si>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</si>
  <si>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</si>
  <si>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</si>
  <si>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</si>
  <si>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</si>
  <si>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</si>
  <si>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</si>
  <si>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</si>
  <si>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</si>
  <si>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</si>
  <si>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</si>
  <si>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</si>
  <si>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</si>
  <si>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</si>
  <si>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</si>
  <si>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</si>
  <si>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</si>
  <si>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</si>
  <si>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</si>
  <si>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</si>
  <si>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</si>
  <si>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</si>
  <si>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</si>
  <si>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</si>
  <si>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</si>
  <si>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</si>
  <si>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</si>
  <si>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</si>
  <si>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</si>
  <si>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</si>
  <si>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</si>
  <si>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</si>
  <si>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</si>
  <si>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</si>
  <si>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</si>
  <si>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</si>
  <si>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</si>
  <si>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</si>
  <si>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</si>
  <si>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</si>
  <si>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</si>
  <si>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</si>
  <si>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</si>
  <si>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</si>
  <si>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</si>
  <si>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</si>
  <si>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</si>
  <si>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</si>
  <si>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</si>
  <si>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</si>
  <si>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</si>
  <si>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</si>
  <si>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</si>
  <si>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</si>
  <si>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</si>
  <si>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</si>
  <si>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</si>
  <si>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</si>
  <si>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</si>
  <si>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</si>
  <si>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</si>
  <si>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</si>
  <si>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</si>
  <si>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</si>
  <si>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</si>
  <si>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</si>
  <si>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</si>
  <si>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</si>
  <si>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</si>
  <si>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</si>
  <si>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</si>
  <si>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</si>
  <si>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</si>
  <si>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</si>
  <si>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</si>
  <si>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</si>
  <si>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</si>
  <si>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</si>
  <si>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</si>
  <si>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</si>
  <si>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</si>
  <si>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</si>
  <si>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</si>
  <si>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</si>
  <si>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</si>
  <si>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</si>
  <si>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</si>
  <si>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</si>
  <si>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</si>
  <si>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</si>
  <si>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</si>
  <si>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</si>
  <si>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</si>
  <si>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</si>
  <si>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</si>
  <si>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</si>
  <si>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</si>
  <si>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</si>
  <si>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</si>
  <si>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</si>
  <si>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</si>
  <si>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</si>
  <si>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</si>
  <si>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</si>
  <si>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</si>
  <si>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</si>
  <si>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</si>
  <si>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</si>
  <si>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</si>
  <si>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</si>
  <si>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</si>
  <si>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</si>
  <si>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</si>
  <si>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Total Pump </t>
  </si>
  <si>
    <t>Address: DHA</t>
  </si>
  <si>
    <t>Hafiz Store</t>
  </si>
  <si>
    <t xml:space="preserve">Groccer Express </t>
  </si>
  <si>
    <t xml:space="preserve">Smart Mart </t>
  </si>
  <si>
    <t xml:space="preserve">Green Mart </t>
  </si>
  <si>
    <t>Address: Askari 11</t>
  </si>
  <si>
    <t xml:space="preserve">Omega Mart </t>
  </si>
  <si>
    <t>Noor Store</t>
  </si>
  <si>
    <t xml:space="preserve">Jalil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</si>
</sst>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Total Pump 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Hafiz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Groccer Express 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Smart Mart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Green Mart </v>
      </c>
      <c r="T7" s="301">
        <f>+'5'!P35</f>
        <v>19340.001088855934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Omega Mart </v>
      </c>
      <c r="T8" s="301">
        <f>+'6'!P35</f>
        <v>1132.5257914194915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90</v>
      </c>
      <c r="I9" s="236">
        <f t="shared" si="0"/>
        <v>4721.625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377.73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165.25687500000001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4178.6381249999995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892.37288135593167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25.35505503177966</v>
      </c>
      <c r="P9" s="311">
        <f t="shared" si="2"/>
        <v>5096.3660613877109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Noor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Jalil Mart 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</v>
      </c>
      <c r="H16" s="113">
        <f t="shared" ref="H16:M16" si="3">SUM(H7:H15)</f>
        <v>360</v>
      </c>
      <c r="I16" s="114">
        <f t="shared" si="3"/>
        <v>22114.9</v>
      </c>
      <c r="J16" s="274">
        <f>SUM(J7:J15)</f>
        <v>1769.192</v>
      </c>
      <c r="K16" s="275">
        <f t="shared" si="3"/>
        <v>774.02150000000017</v>
      </c>
      <c r="L16" s="276">
        <f t="shared" si="3"/>
        <v>0</v>
      </c>
      <c r="M16" s="232">
        <f t="shared" si="3"/>
        <v>19571.6865</v>
      </c>
      <c r="N16" s="233">
        <f>SUM(N7:N15)</f>
        <v>4179.6610169491514</v>
      </c>
      <c r="O16" s="101">
        <f>SUM(O7:O15)</f>
        <v>118.75673758474576</v>
      </c>
      <c r="P16" s="113">
        <f>SUM(P7:P15)</f>
        <v>23870.104254533897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22114.9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1769.192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774.02150000000017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19571.686500000003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4179.6610169491514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23751.347516949154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118.75673758474576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23870.104254533901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23870.104254533897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17917.900000000001</v>
      </c>
      <c r="J25" s="274">
        <f>SUM(J16:J24)</f>
        <v>1433.432</v>
      </c>
      <c r="K25" s="275">
        <f t="shared" si="7"/>
        <v>627.12650000000008</v>
      </c>
      <c r="L25" s="276">
        <f t="shared" si="7"/>
        <v>0</v>
      </c>
      <c r="M25" s="232">
        <f t="shared" si="7"/>
        <v>15857.3415</v>
      </c>
      <c r="N25" s="233">
        <f>SUM(N16:N24)</f>
        <v>3386.4406779661012</v>
      </c>
      <c r="O25" s="101">
        <f>SUM(O16:O24)</f>
        <v>96.218910889830511</v>
      </c>
      <c r="P25" s="234">
        <f>SUM(P16:P24)</f>
        <v>19340.001088855934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17917.900000000001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1433.432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627.12650000000008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15857.3415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3386.4406779661012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19243.782177966103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96.218910889830511</v>
      </c>
    </row>
    <row r="35" spans="2:16" ht="15.75" customHeight="1" thickBot="1" x14ac:dyDescent="0.4">
      <c r="N35" s="374" t="s">
        <v>88</v>
      </c>
      <c r="O35" s="375"/>
      <c r="P35" s="297">
        <f>+P33+P34</f>
        <v>19340.001088855934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2026-10-09T11:21:34Z</dcterms:modified>
</cp:coreProperties>
</file>