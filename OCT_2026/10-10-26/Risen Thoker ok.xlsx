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339185-C714-4255-A4E9-42C8A87280F6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<sst xmlns="http://schemas.openxmlformats.org/spreadsheetml/2006/main" count="3950" uniqueCount="521">
  <si>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</si>
  <si>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</si>
  <si>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</si>
  <si>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</si>
  <si>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</si>
  <si>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</si>
  <si>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</si>
  <si>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</si>
  <si>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</si>
  <si>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</si>
  <si>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</si>
  <si>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</si>
  <si>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</si>
  <si>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</si>
  <si>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</si>
  <si>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</si>
  <si>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</si>
  <si>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</si>
  <si>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</si>
  <si>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</si>
  <si>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</si>
  <si>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</si>
  <si>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</si>
  <si>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</si>
  <si>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</si>
  <si>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</si>
  <si>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</si>
  <si>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</si>
  <si>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</si>
  <si>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</si>
  <si>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</si>
  <si>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</si>
  <si>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</si>
  <si>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</si>
  <si>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</si>
  <si>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</si>
  <si>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</si>
  <si>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</si>
  <si>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</si>
  <si>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</si>
  <si>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</si>
  <si>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</si>
  <si>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</si>
  <si>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</si>
  <si>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</si>
  <si>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</si>
  <si>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</si>
  <si>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</si>
  <si>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</si>
  <si>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</si>
  <si>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</si>
  <si>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</si>
  <si>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</si>
  <si>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</si>
  <si>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</si>
  <si>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</si>
  <si>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</si>
  <si>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</si>
  <si>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</si>
  <si>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</si>
  <si>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</si>
  <si>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</si>
  <si>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</si>
  <si>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</si>
  <si>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</si>
  <si>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</si>
  <si>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</si>
  <si>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</si>
  <si>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</si>
  <si>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</si>
  <si>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</si>
  <si>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</si>
  <si>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</si>
  <si>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</si>
  <si>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</si>
  <si>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</si>
  <si>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</si>
  <si>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</si>
  <si>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</si>
  <si>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</si>
  <si>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</si>
  <si>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</si>
  <si>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</si>
  <si>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</si>
  <si>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</si>
  <si>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</si>
  <si>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</si>
  <si>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</si>
  <si>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</si>
  <si>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</si>
  <si>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</si>
  <si>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</si>
  <si>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</si>
  <si>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</si>
  <si>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</si>
  <si>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</si>
  <si>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</si>
  <si>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</si>
  <si>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</si>
  <si>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</si>
  <si>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</si>
  <si>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</si>
  <si>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</si>
  <si>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</si>
  <si>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</si>
  <si>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</si>
  <si>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</si>
  <si>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</si>
  <si>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</si>
  <si>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</si>
  <si>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</si>
  <si>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</si>
  <si>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</si>
  <si>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</si>
  <si>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</si>
  <si>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</si>
  <si>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</si>
  <si>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</si>
  <si>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</si>
  <si>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</si>
  <si>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</si>
  <si>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</si>
  <si>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</si>
  <si>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</si>
  <si>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</si>
  <si>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</si>
  <si>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</si>
  <si>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</si>
  <si>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</si>
  <si>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</si>
  <si>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</si>
  <si>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</si>
  <si>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</si>
  <si>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</si>
  <si>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</si>
  <si>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</si>
  <si>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</si>
  <si>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</si>
  <si>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</si>
  <si>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</si>
  <si>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</si>
  <si>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</si>
  <si>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</si>
  <si>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</si>
  <si>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</si>
  <si>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</si>
  <si>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</si>
  <si>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</si>
  <si>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</si>
  <si>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</si>
  <si>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</si>
  <si>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</si>
  <si>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</si>
  <si>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</si>
  <si>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</si>
  <si>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</si>
  <si>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</si>
  <si>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</si>
  <si>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</si>
  <si>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</si>
  <si>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</si>
  <si>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</si>
  <si>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</si>
  <si>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</si>
  <si>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</si>
  <si>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</si>
  <si>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</si>
  <si>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</si>
  <si>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</si>
  <si>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</si>
  <si>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</si>
  <si>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</si>
  <si>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</si>
  <si>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</si>
  <si>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</si>
  <si>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</si>
  <si>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</si>
  <si>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</si>
  <si>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</si>
  <si>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</si>
  <si>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</si>
  <si>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</si>
  <si>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</si>
  <si>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</si>
  <si>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</si>
  <si>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</si>
  <si>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</si>
  <si>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</si>
  <si>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</si>
  <si>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</si>
  <si>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</si>
  <si>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</si>
  <si>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</si>
  <si>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</si>
  <si>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</si>
  <si>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</si>
  <si>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</si>
  <si>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</si>
  <si>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</si>
  <si>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</si>
  <si>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</si>
  <si>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</si>
  <si>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</si>
  <si>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</si>
  <si>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</si>
  <si>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</si>
  <si>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</si>
  <si>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</si>
  <si>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</si>
  <si>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</si>
  <si>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</si>
  <si>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</si>
  <si>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</si>
  <si>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</si>
  <si>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</si>
  <si>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</si>
  <si>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</si>
  <si>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</si>
  <si>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</si>
  <si>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</si>
  <si>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</si>
  <si>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</si>
  <si>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</si>
  <si>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</si>
  <si>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</si>
  <si>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</si>
  <si>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</si>
  <si>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</si>
  <si>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</si>
  <si>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</si>
  <si>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</si>
  <si>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</si>
  <si>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</si>
  <si>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</si>
  <si>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</si>
  <si>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</si>
  <si>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</si>
  <si>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</si>
  <si>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</si>
  <si>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</si>
  <si>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</si>
  <si>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</si>
  <si>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</si>
  <si>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</si>
  <si>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</si>
  <si>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</si>
  <si>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</si>
  <si>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</si>
  <si>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</si>
  <si>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</si>
  <si>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</si>
  <si>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</si>
  <si>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</si>
  <si>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</si>
  <si>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</si>
  <si>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</si>
  <si>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</si>
  <si>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</si>
  <si>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</si>
  <si>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</si>
  <si>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</si>
  <si>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</si>
  <si>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</si>
  <si>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</si>
  <si>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</si>
  <si>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</si>
  <si>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</si>
  <si>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</si>
  <si>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</si>
  <si>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</si>
  <si>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</si>
  <si>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</si>
  <si>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</si>
  <si>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</si>
  <si>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</si>
  <si>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</si>
  <si>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</si>
  <si>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</si>
  <si>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</si>
  <si>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</si>
  <si>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</si>
  <si>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</si>
  <si>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</si>
  <si>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</si>
  <si>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</si>
  <si>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</si>
  <si>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</si>
  <si>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</si>
  <si>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</si>
  <si>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</si>
  <si>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</si>
  <si>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</si>
  <si>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</si>
  <si>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</si>
  <si>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</si>
  <si>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</si>
  <si>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</si>
  <si>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</si>
  <si>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</si>
  <si>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</si>
  <si>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</si>
  <si>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</si>
  <si>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</si>
  <si>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</si>
  <si>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</si>
  <si>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</si>
  <si>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</si>
  <si>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</si>
  <si>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</si>
  <si>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</si>
  <si>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</si>
  <si>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</si>
  <si>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</si>
  <si>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</si>
  <si>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</si>
  <si>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</si>
  <si>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</si>
  <si>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</si>
  <si>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</si>
  <si>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</si>
  <si>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</si>
  <si>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</si>
  <si>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</si>
  <si>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</si>
  <si>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</si>
  <si>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</si>
  <si>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</si>
  <si>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</si>
  <si>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</si>
  <si>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</si>
  <si>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</si>
  <si>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</si>
  <si>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</si>
  <si>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</si>
  <si>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</si>
  <si>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</si>
  <si>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</si>
  <si>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</si>
  <si>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</si>
  <si>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</si>
  <si>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</si>
  <si>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</si>
  <si>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</si>
  <si>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</si>
  <si>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</si>
  <si>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</si>
  <si>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</si>
  <si>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</si>
  <si>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</si>
  <si>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</si>
  <si>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</si>
  <si>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</si>
  <si>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</si>
  <si>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</si>
  <si>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</si>
  <si>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</si>
  <si>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</si>
  <si>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</si>
  <si>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</si>
  <si>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</si>
  <si>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</si>
  <si>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</si>
  <si>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</si>
  <si>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</si>
  <si>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</si>
  <si>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</si>
  <si>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</si>
  <si>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</si>
  <si>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</si>
  <si>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</si>
  <si>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</si>
  <si>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</si>
  <si>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</si>
  <si>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</si>
  <si>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</si>
  <si>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</si>
  <si>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</si>
  <si>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</si>
  <si>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</si>
  <si>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</si>
  <si>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</si>
  <si>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</si>
  <si>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</si>
  <si>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</si>
  <si>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</si>
  <si>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</si>
  <si>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</si>
  <si>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</si>
  <si>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</si>
  <si>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</si>
  <si>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</si>
  <si>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</si>
  <si>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</si>
  <si>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</si>
  <si>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</si>
  <si>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</si>
  <si>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</si>
  <si>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</si>
  <si>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</si>
  <si>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</si>
  <si>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</si>
  <si>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</si>
  <si>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</si>
  <si>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</si>
  <si>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</si>
  <si>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</si>
  <si>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</si>
  <si>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</si>
  <si>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</si>
  <si>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</si>
  <si>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</si>
  <si>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</si>
  <si>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</si>
  <si>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</si>
  <si>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</si>
  <si>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</si>
  <si>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</si>
  <si>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</si>
  <si>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</si>
  <si>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</si>
  <si>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</si>
  <si>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</si>
  <si>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</si>
  <si>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</si>
  <si>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</si>
  <si>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</si>
  <si>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</si>
  <si>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</si>
  <si>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</si>
  <si>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</si>
  <si>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</si>
  <si>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</si>
  <si>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</si>
  <si>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</si>
  <si>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</si>
  <si>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</si>
  <si>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</si>
  <si>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</si>
  <si>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</si>
  <si>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</si>
  <si>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</si>
  <si>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</si>
  <si>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</si>
  <si>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</si>
  <si>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</si>
  <si>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</si>
  <si>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</si>
  <si>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</si>
  <si>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</si>
  <si>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</si>
  <si>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</si>
  <si>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</si>
  <si>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</si>
  <si>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</si>
  <si>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</si>
  <si>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</si>
  <si>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</si>
  <si>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</si>
  <si>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</si>
  <si>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</si>
  <si>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</si>
  <si>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</si>
  <si>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</si>
  <si>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</si>
  <si>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</si>
  <si>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</si>
  <si>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</si>
  <si>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</si>
  <si>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</si>
  <si>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</si>
  <si>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</si>
  <si>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</si>
  <si>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</si>
  <si>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</si>
  <si>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</si>
  <si>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</si>
  <si>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</si>
  <si>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</si>
  <si>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</si>
  <si>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</si>
  <si>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</si>
  <si>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</si>
  <si>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</si>
  <si>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</si>
  <si>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</si>
  <si>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</si>
  <si>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</si>
  <si>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</si>
  <si>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</si>
  <si>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</si>
  <si>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</si>
  <si>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</si>
  <si>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</si>
  <si>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</si>
  <si>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</si>
  <si>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</si>
  <si>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</si>
  <si>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</si>
  <si>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</si>
  <si>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</si>
  <si>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</si>
  <si>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</si>
  <si>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</si>
  <si>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</si>
  <si>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</si>
  <si>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</si>
  <si>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</si>
  <si>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</si>
  <si>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</si>
  <si>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</si>
  <si>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</si>
  <si>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</si>
  <si>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</si>
  <si>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</si>
  <si>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</si>
  <si>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Number</t>
  </si>
  <si>
    <t>327787628553-1</t>
  </si>
  <si>
    <t>Address: Thoker Niaz Baig</t>
  </si>
  <si>
    <t xml:space="preserve">TN Traders </t>
  </si>
  <si>
    <t xml:space="preserve">NTN #: 9402653-2 STRN #: 327787628948-9 </t>
  </si>
  <si>
    <t>Invoice No # :00011563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</si>
</sst>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46305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TN Traders </v>
      </c>
      <c r="T3" s="301">
        <f>+'1'!P35</f>
        <v>10092.106274205507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TN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TN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TN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38</v>
      </c>
      <c r="I8" s="236">
        <f t="shared" ref="I8:I14" si="0">(G8*D8)*F8+H8*F8</f>
        <v>1993.575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279.10050000000001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69.775125000000003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1644.6993750000001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376.77966101694898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10.107395180084746</v>
      </c>
      <c r="P8" s="311">
        <f t="shared" ref="P8:P15" si="2">M8+N8+O8</f>
        <v>2031.5864311970338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 xml:space="preserve">TN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TN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TN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TN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TN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TN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TN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TN Traders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3.95</v>
      </c>
      <c r="H16" s="113">
        <f t="shared" ref="H16:M16" si="3">SUM(H7:H15)</f>
        <v>158</v>
      </c>
      <c r="I16" s="114">
        <f t="shared" si="3"/>
        <v>9903.2749999999996</v>
      </c>
      <c r="J16" s="274">
        <f>SUM(J7:J15)</f>
        <v>1386.4585000000002</v>
      </c>
      <c r="K16" s="275">
        <f t="shared" si="3"/>
        <v>346.61462500000005</v>
      </c>
      <c r="L16" s="276">
        <f t="shared" si="3"/>
        <v>0</v>
      </c>
      <c r="M16" s="232">
        <f t="shared" si="3"/>
        <v>8170.2018749999997</v>
      </c>
      <c r="N16" s="233">
        <f>SUM(N7:N15)</f>
        <v>1871.694915254237</v>
      </c>
      <c r="O16" s="101">
        <f>SUM(O7:O15)</f>
        <v>50.209483951271181</v>
      </c>
      <c r="P16" s="113">
        <f>SUM(P7:P15)</f>
        <v>10092.106274205507</v>
      </c>
      <c r="Q16" s="128">
        <f>SUM(Q7:Q15)</f>
        <v>2</v>
      </c>
      <c r="R16" s="314">
        <v>14</v>
      </c>
      <c r="S16" s="300" t="str">
        <f>+'14'!A6:A6</f>
        <v xml:space="preserve">TN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TN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TN Traders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9903.2749999999996</v>
      </c>
      <c r="R19" s="299">
        <v>17</v>
      </c>
      <c r="S19" s="300" t="str">
        <f>+'17'!A6:A6</f>
        <v xml:space="preserve">TN Traders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1386.4585000000002</v>
      </c>
      <c r="R20" s="299">
        <v>18</v>
      </c>
      <c r="S20" s="300" t="str">
        <f>+'18'!A6:A6</f>
        <v xml:space="preserve">TN Traders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346.61462500000005</v>
      </c>
      <c r="R21" s="299">
        <v>19</v>
      </c>
      <c r="S21" s="300" t="str">
        <f>+'19'!A6:A6</f>
        <v xml:space="preserve">TN Traders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8170.2018749999988</v>
      </c>
      <c r="R22" s="299">
        <v>20</v>
      </c>
      <c r="S22" s="300" t="str">
        <f>+'20'!A6:A6</f>
        <v xml:space="preserve">TN Traders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1871.694915254237</v>
      </c>
      <c r="R23" s="299">
        <v>21</v>
      </c>
      <c r="S23" s="300" t="str">
        <f>+'21'!A6:A6</f>
        <v xml:space="preserve">TN Traders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10041.896790254235</v>
      </c>
      <c r="R24" s="299">
        <v>22</v>
      </c>
      <c r="S24" s="300" t="str">
        <f>+'22'!A6:A6</f>
        <v xml:space="preserve">TN Traders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50.209483951271181</v>
      </c>
      <c r="R25" s="299">
        <v>23</v>
      </c>
      <c r="S25" s="300" t="str">
        <f>+'23'!A6:A6</f>
        <v xml:space="preserve">TN Traders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10092.106274205507</v>
      </c>
      <c r="R26" s="299">
        <v>24</v>
      </c>
      <c r="S26" s="300" t="str">
        <f>+'24'!A6:A6</f>
        <v xml:space="preserve">TN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TN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TN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TN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TN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TN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TN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10092.106274205507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2" sqref="F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46304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515</v>
      </c>
      <c r="B13" t="s">
        <v>516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38</v>
      </c>
      <c r="I17" s="236">
        <f t="shared" ref="I17:I23" si="0">(G17*D17)*F17+H17*F17</f>
        <v>1993.575</v>
      </c>
      <c r="J17" s="272">
        <f t="shared" ref="J17:L24" si="1">$I17*S17</f>
        <v>279.10050000000001</v>
      </c>
      <c r="K17" s="128">
        <f>$I17*T17</f>
        <v>69.775125000000003</v>
      </c>
      <c r="L17" s="119">
        <f>$I17*U17</f>
        <v>0</v>
      </c>
      <c r="M17" s="230">
        <f t="shared" ref="M17:M24" si="2">I17-SUM(J17:L17)</f>
        <v>1644.6993750000001</v>
      </c>
      <c r="N17" s="277">
        <f t="shared" ref="N17:N24" si="3">+(G17*D17+H17)*V17</f>
        <v>376.77966101694898</v>
      </c>
      <c r="O17" s="239">
        <f t="shared" ref="O17:O24" si="4">(N17+M17)*$O$15</f>
        <v>10.107395180084746</v>
      </c>
      <c r="P17" s="311">
        <f t="shared" ref="P17:P24" si="5">M17+N17+O17</f>
        <v>2031.5864311970338</v>
      </c>
      <c r="Q17" s="156">
        <v>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158</v>
      </c>
      <c r="I25" s="114">
        <f t="shared" ref="I25:M25" si="10">SUM(I16:I24)</f>
        <v>9903.2749999999996</v>
      </c>
      <c r="J25" s="274">
        <f>SUM(J16:J24)</f>
        <v>1386.4585000000002</v>
      </c>
      <c r="K25" s="275">
        <f t="shared" si="10"/>
        <v>346.61462500000005</v>
      </c>
      <c r="L25" s="276">
        <f t="shared" si="10"/>
        <v>0</v>
      </c>
      <c r="M25" s="232">
        <f t="shared" si="10"/>
        <v>8170.2018749999997</v>
      </c>
      <c r="N25" s="233">
        <f>SUM(N16:N24)</f>
        <v>1871.694915254237</v>
      </c>
      <c r="O25" s="101">
        <f>SUM(O16:O24)</f>
        <v>50.209483951271181</v>
      </c>
      <c r="P25" s="113">
        <f>SUM(P16:P24)</f>
        <v>10092.106274205507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9903.2749999999996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1386.4585000000002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346.61462500000005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8170.2018749999988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1871.694915254237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10041.896790254235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50.209483951271181</v>
      </c>
    </row>
    <row r="35" spans="2:16" ht="15.75" customHeight="1" thickBot="1" x14ac:dyDescent="0.4">
      <c r="N35" s="344" t="s">
        <v>88</v>
      </c>
      <c r="O35" s="345"/>
      <c r="P35" s="297">
        <f>+P33+P34</f>
        <v>10092.106274205507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5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2026-10-10T11:24:05Z</dcterms:modified>
</cp:coreProperties>
</file>