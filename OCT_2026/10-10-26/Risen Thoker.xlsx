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976692A-F04C-4020-81FB-7DF407D3F014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<sst xmlns="http://schemas.openxmlformats.org/spreadsheetml/2006/main" count="3950" uniqueCount="521">
  <si>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</si>
  <si>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</si>
  <si>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</si>
  <si>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</si>
  <si>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</si>
  <si>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</si>
  <si>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</si>
  <si>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</si>
  <si>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</si>
  <si>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</si>
  <si>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</si>
  <si>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</si>
  <si>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</si>
  <si>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</si>
  <si>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</si>
  <si>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</si>
  <si>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</si>
  <si>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</si>
  <si>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</si>
  <si>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</si>
  <si>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</si>
  <si>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</si>
  <si>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</si>
  <si>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</si>
  <si>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</si>
  <si>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</si>
  <si>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</si>
  <si>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</si>
  <si>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</si>
  <si>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</si>
  <si>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</si>
  <si>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</si>
  <si>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</si>
  <si>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</si>
  <si>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</si>
  <si>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</si>
  <si>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</si>
  <si>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</si>
  <si>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</si>
  <si>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</si>
  <si>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</si>
  <si>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</si>
  <si>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</si>
  <si>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</si>
  <si>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</si>
  <si>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</si>
  <si>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</si>
  <si>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</si>
  <si>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</si>
  <si>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</si>
  <si>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</si>
  <si>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</si>
  <si>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</si>
  <si>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</si>
  <si>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</si>
  <si>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</si>
  <si>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</si>
  <si>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</si>
  <si>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</si>
  <si>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</si>
  <si>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</si>
  <si>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</si>
  <si>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</si>
  <si>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</si>
  <si>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</si>
  <si>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</si>
  <si>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</si>
  <si>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</si>
  <si>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</si>
  <si>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</si>
  <si>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</si>
  <si>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</si>
  <si>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</si>
  <si>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</si>
  <si>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</si>
  <si>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</si>
  <si>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</si>
  <si>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</si>
  <si>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</si>
  <si>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</si>
  <si>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</si>
  <si>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</si>
  <si>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</si>
  <si>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</si>
  <si>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</si>
  <si>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</si>
  <si>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</si>
  <si>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</si>
  <si>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</si>
  <si>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</si>
  <si>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</si>
  <si>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</si>
  <si>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</si>
  <si>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</si>
  <si>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</si>
  <si>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</si>
  <si>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</si>
  <si>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</si>
  <si>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</si>
  <si>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</si>
  <si>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</si>
  <si>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</si>
  <si>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</si>
  <si>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</si>
  <si>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</si>
  <si>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</si>
  <si>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</si>
  <si>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</si>
  <si>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</si>
  <si>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</si>
  <si>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</si>
  <si>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</si>
  <si>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</si>
  <si>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</si>
  <si>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</si>
  <si>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</si>
  <si>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</si>
  <si>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</si>
  <si>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</si>
  <si>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</si>
  <si>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</si>
  <si>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</si>
  <si>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</si>
  <si>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</si>
  <si>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</si>
  <si>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</si>
  <si>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</si>
  <si>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</si>
  <si>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</si>
  <si>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</si>
  <si>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</si>
  <si>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</si>
  <si>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</si>
  <si>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</si>
  <si>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</si>
  <si>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</si>
  <si>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</si>
  <si>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</si>
  <si>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</si>
  <si>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</si>
  <si>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</si>
  <si>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</si>
  <si>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</si>
  <si>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</si>
  <si>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</si>
  <si>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</si>
  <si>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</si>
  <si>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</si>
  <si>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</si>
  <si>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</si>
  <si>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</si>
  <si>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</si>
  <si>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</si>
  <si>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</si>
  <si>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</si>
  <si>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</si>
  <si>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</si>
  <si>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</si>
  <si>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</si>
  <si>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</si>
  <si>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</si>
  <si>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</si>
  <si>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</si>
  <si>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</si>
  <si>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</si>
  <si>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</si>
  <si>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</si>
  <si>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</si>
  <si>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</si>
  <si>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</si>
  <si>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</si>
  <si>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</si>
  <si>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</si>
  <si>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</si>
  <si>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</si>
  <si>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</si>
  <si>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</si>
  <si>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</si>
  <si>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</si>
  <si>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</si>
  <si>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</si>
  <si>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</si>
  <si>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</si>
  <si>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</si>
  <si>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</si>
  <si>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</si>
  <si>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</si>
  <si>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</si>
  <si>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</si>
  <si>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</si>
  <si>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</si>
  <si>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</si>
  <si>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</si>
  <si>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</si>
  <si>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</si>
  <si>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</si>
  <si>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</si>
  <si>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</si>
  <si>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</si>
  <si>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</si>
  <si>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</si>
  <si>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</si>
  <si>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</si>
  <si>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</si>
  <si>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</si>
  <si>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</si>
  <si>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</si>
  <si>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</si>
  <si>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</si>
  <si>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</si>
  <si>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</si>
  <si>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</si>
  <si>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</si>
  <si>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</si>
  <si>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</si>
  <si>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</si>
  <si>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</si>
  <si>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</si>
  <si>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</si>
  <si>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</si>
  <si>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</si>
  <si>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</si>
  <si>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</si>
  <si>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</si>
  <si>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</si>
  <si>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</si>
  <si>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</si>
  <si>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</si>
  <si>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</si>
  <si>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</si>
  <si>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</si>
  <si>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</si>
  <si>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</si>
  <si>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</si>
  <si>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</si>
  <si>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</si>
  <si>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</si>
  <si>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</si>
  <si>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</si>
  <si>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</si>
  <si>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</si>
  <si>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</si>
  <si>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</si>
  <si>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</si>
  <si>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</si>
  <si>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</si>
  <si>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</si>
  <si>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</si>
  <si>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</si>
  <si>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</si>
  <si>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</si>
  <si>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</si>
  <si>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</si>
  <si>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</si>
  <si>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</si>
  <si>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</si>
  <si>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</si>
  <si>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</si>
  <si>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</si>
  <si>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</si>
  <si>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</si>
  <si>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</si>
  <si>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</si>
  <si>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</si>
  <si>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</si>
  <si>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</si>
  <si>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</si>
  <si>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</si>
  <si>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</si>
  <si>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</si>
  <si>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</si>
  <si>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</si>
  <si>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</si>
  <si>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</si>
  <si>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</si>
  <si>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</si>
  <si>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</si>
  <si>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</si>
  <si>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</si>
  <si>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</si>
  <si>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</si>
  <si>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</si>
  <si>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</si>
  <si>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</si>
  <si>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</si>
  <si>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</si>
  <si>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</si>
  <si>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</si>
  <si>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</si>
  <si>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</si>
  <si>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</si>
  <si>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</si>
  <si>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</si>
  <si>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</si>
  <si>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</si>
  <si>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</si>
  <si>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</si>
  <si>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</si>
  <si>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</si>
  <si>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</si>
  <si>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</si>
  <si>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</si>
  <si>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</si>
  <si>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</si>
  <si>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</si>
  <si>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</si>
  <si>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</si>
  <si>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</si>
  <si>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</si>
  <si>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</si>
  <si>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</si>
  <si>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</si>
  <si>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</si>
  <si>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</si>
  <si>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</si>
  <si>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</si>
  <si>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</si>
  <si>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</si>
  <si>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</si>
  <si>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</si>
  <si>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</si>
  <si>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</si>
  <si>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</si>
  <si>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</si>
  <si>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</si>
  <si>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</si>
  <si>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</si>
  <si>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</si>
  <si>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</si>
  <si>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</si>
  <si>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</si>
  <si>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</si>
  <si>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</si>
  <si>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</si>
  <si>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</si>
  <si>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</si>
  <si>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</si>
  <si>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</si>
  <si>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</si>
  <si>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</si>
  <si>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</si>
  <si>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</si>
  <si>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</si>
  <si>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</si>
  <si>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</si>
  <si>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</si>
  <si>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</si>
  <si>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</si>
  <si>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</si>
  <si>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</si>
  <si>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</si>
  <si>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</si>
  <si>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</si>
  <si>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</si>
  <si>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</si>
  <si>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</si>
  <si>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</si>
  <si>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</si>
  <si>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</si>
  <si>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</si>
  <si>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</si>
  <si>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</si>
  <si>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</si>
  <si>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</si>
  <si>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</si>
  <si>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</si>
  <si>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</si>
  <si>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</si>
  <si>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</si>
  <si>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</si>
  <si>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</si>
  <si>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</si>
  <si>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</si>
  <si>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</si>
  <si>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</si>
  <si>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</si>
  <si>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</si>
  <si>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</si>
  <si>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</si>
  <si>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</si>
  <si>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</si>
  <si>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</si>
  <si>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</si>
  <si>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</si>
  <si>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</si>
  <si>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</si>
  <si>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</si>
  <si>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</si>
  <si>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</si>
  <si>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</si>
  <si>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</si>
  <si>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</si>
  <si>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</si>
  <si>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</si>
  <si>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</si>
  <si>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</si>
  <si>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</si>
  <si>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</si>
  <si>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</si>
  <si>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</si>
  <si>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</si>
  <si>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</si>
  <si>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</si>
  <si>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</si>
  <si>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</si>
  <si>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</si>
  <si>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</si>
  <si>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</si>
  <si>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</si>
  <si>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</si>
  <si>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</si>
  <si>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</si>
  <si>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</si>
  <si>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</si>
  <si>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</si>
  <si>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</si>
  <si>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</si>
  <si>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</si>
  <si>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</si>
  <si>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</si>
  <si>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</si>
  <si>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</si>
  <si>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</si>
  <si>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</si>
  <si>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</si>
  <si>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</si>
  <si>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</si>
  <si>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</si>
  <si>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</si>
  <si>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</si>
  <si>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</si>
  <si>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</si>
  <si>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</si>
  <si>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</si>
  <si>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</si>
  <si>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</si>
  <si>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</si>
  <si>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</si>
  <si>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</si>
  <si>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</si>
  <si>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</si>
  <si>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</si>
  <si>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</si>
  <si>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</si>
  <si>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</si>
  <si>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</si>
  <si>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</si>
  <si>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</si>
  <si>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</si>
  <si>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</si>
  <si>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</si>
  <si>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</si>
  <si>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</si>
  <si>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</si>
  <si>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</si>
  <si>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</si>
  <si>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</si>
  <si>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</si>
  <si>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</si>
  <si>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</si>
  <si>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</si>
  <si>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</si>
  <si>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</si>
  <si>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</si>
  <si>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</si>
  <si>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</si>
  <si>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</si>
  <si>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</si>
  <si>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</si>
  <si>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</si>
  <si>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</si>
  <si>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</si>
  <si>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</si>
  <si>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</si>
  <si>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</si>
  <si>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</si>
  <si>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</si>
  <si>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</si>
  <si>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</si>
  <si>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</si>
  <si>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</si>
  <si>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</si>
  <si>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</si>
  <si>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</si>
  <si>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</si>
  <si>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</si>
  <si>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</si>
  <si>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</si>
  <si>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</si>
  <si>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</si>
  <si>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</si>
  <si>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</si>
  <si>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</si>
  <si>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</si>
  <si>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</si>
  <si>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</si>
  <si>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</si>
  <si>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</si>
  <si>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</si>
  <si>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</si>
  <si>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</si>
  <si>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</si>
  <si>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</si>
  <si>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</si>
  <si>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</si>
  <si>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</si>
  <si>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</si>
  <si>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</si>
  <si>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</si>
  <si>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</si>
  <si>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</si>
  <si>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</si>
  <si>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</si>
  <si>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</si>
  <si>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</si>
  <si>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Number</t>
  </si>
  <si>
    <t>327787628553-1</t>
  </si>
  <si>
    <t>Address: Thoker Niaz Baig</t>
  </si>
  <si>
    <t xml:space="preserve">TN Traders </t>
  </si>
  <si>
    <t xml:space="preserve">NTN #: 9402653-2 STRN #: 327787628948-9 </t>
  </si>
  <si>
    <t>Invoice No # :00011563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</si>
</sst>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46305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TN Traders </v>
      </c>
      <c r="T3" s="301">
        <f>+'1'!P35</f>
        <v>10199.031875847457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TN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TN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TN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TN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TN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TN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TN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TN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TN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TN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TN Traders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</v>
      </c>
      <c r="H16" s="113">
        <f t="shared" ref="H16:M16" si="3">SUM(H7:H15)</f>
        <v>160</v>
      </c>
      <c r="I16" s="114">
        <f t="shared" si="3"/>
        <v>10008.200000000001</v>
      </c>
      <c r="J16" s="274">
        <f>SUM(J7:J15)</f>
        <v>1401.1480000000001</v>
      </c>
      <c r="K16" s="275">
        <f t="shared" si="3"/>
        <v>350.28700000000003</v>
      </c>
      <c r="L16" s="276">
        <f t="shared" si="3"/>
        <v>0</v>
      </c>
      <c r="M16" s="232">
        <f t="shared" si="3"/>
        <v>8256.7649999999994</v>
      </c>
      <c r="N16" s="233">
        <f>SUM(N7:N15)</f>
        <v>1891.5254237288132</v>
      </c>
      <c r="O16" s="101">
        <f>SUM(O7:O15)</f>
        <v>50.741452118644062</v>
      </c>
      <c r="P16" s="113">
        <f>SUM(P7:P15)</f>
        <v>10199.031875847457</v>
      </c>
      <c r="Q16" s="128">
        <f>SUM(Q7:Q15)</f>
        <v>0</v>
      </c>
      <c r="R16" s="314">
        <v>14</v>
      </c>
      <c r="S16" s="300" t="str">
        <f>+'14'!A6:A6</f>
        <v xml:space="preserve">TN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TN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TN Traders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10008.200000000001</v>
      </c>
      <c r="R19" s="299">
        <v>17</v>
      </c>
      <c r="S19" s="300" t="str">
        <f>+'17'!A6:A6</f>
        <v xml:space="preserve">TN Traders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1401.1480000000001</v>
      </c>
      <c r="R20" s="299">
        <v>18</v>
      </c>
      <c r="S20" s="300" t="str">
        <f>+'18'!A6:A6</f>
        <v xml:space="preserve">TN Traders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350.28700000000003</v>
      </c>
      <c r="R21" s="299">
        <v>19</v>
      </c>
      <c r="S21" s="300" t="str">
        <f>+'19'!A6:A6</f>
        <v xml:space="preserve">TN Traders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8256.7649999999994</v>
      </c>
      <c r="R22" s="299">
        <v>20</v>
      </c>
      <c r="S22" s="300" t="str">
        <f>+'20'!A6:A6</f>
        <v xml:space="preserve">TN Traders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1891.5254237288132</v>
      </c>
      <c r="R23" s="299">
        <v>21</v>
      </c>
      <c r="S23" s="300" t="str">
        <f>+'21'!A6:A6</f>
        <v xml:space="preserve">TN Traders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10148.290423728813</v>
      </c>
      <c r="R24" s="299">
        <v>22</v>
      </c>
      <c r="S24" s="300" t="str">
        <f>+'22'!A6:A6</f>
        <v xml:space="preserve">TN Traders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50.741452118644062</v>
      </c>
      <c r="R25" s="299">
        <v>23</v>
      </c>
      <c r="S25" s="300" t="str">
        <f>+'23'!A6:A6</f>
        <v xml:space="preserve">TN Traders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10199.031875847457</v>
      </c>
      <c r="R26" s="299">
        <v>24</v>
      </c>
      <c r="S26" s="300" t="str">
        <f>+'24'!A6:A6</f>
        <v xml:space="preserve">TN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TN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TN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TN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TN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TN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TN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10199.031875847457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46304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515</v>
      </c>
      <c r="B13" t="s">
        <v>516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1401.1480000000001</v>
      </c>
      <c r="K25" s="275">
        <f t="shared" si="10"/>
        <v>350.28700000000003</v>
      </c>
      <c r="L25" s="276">
        <f t="shared" si="10"/>
        <v>0</v>
      </c>
      <c r="M25" s="232">
        <f t="shared" si="10"/>
        <v>8256.7649999999994</v>
      </c>
      <c r="N25" s="233">
        <f>SUM(N16:N24)</f>
        <v>1891.5254237288132</v>
      </c>
      <c r="O25" s="101">
        <f>SUM(O16:O24)</f>
        <v>50.741452118644062</v>
      </c>
      <c r="P25" s="113">
        <f>SUM(P16:P24)</f>
        <v>10199.031875847457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10008.200000000001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1401.1480000000001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350.28700000000003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8256.7649999999994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10148.290423728813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73" t="s">
        <v>88</v>
      </c>
      <c r="O35" s="374"/>
      <c r="P35" s="297">
        <f>+P33+P34</f>
        <v>10199.031875847457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5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46306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46305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2026-10-10T04:32:11Z</dcterms:modified>
</cp:coreProperties>
</file>