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E63DD8-C548-4EA7-A1C4-84B967C14CC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50"/>
  <c r="O20" i="50" s="1"/>
  <c r="P20" i="50" s="1"/>
  <c r="R20" i="50" s="1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<sst xmlns="http://schemas.openxmlformats.org/spreadsheetml/2006/main" count="3948" uniqueCount="526">
  <si>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</si>
  <si>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</si>
  <si>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</si>
  <si>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</si>
  <si>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</si>
  <si>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</si>
  <si>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</si>
  <si>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</si>
  <si>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</si>
  <si>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</si>
  <si>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</si>
  <si>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</si>
  <si>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</si>
  <si>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</si>
  <si>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</si>
  <si>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</si>
  <si>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</si>
  <si>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</si>
  <si>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</si>
  <si>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</si>
  <si>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</si>
  <si>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</si>
  <si>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</si>
  <si>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</si>
  <si>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</si>
  <si>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</si>
  <si>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</si>
  <si>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</si>
  <si>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</si>
  <si>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</si>
  <si>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</si>
  <si>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</si>
  <si>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</si>
  <si>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</si>
  <si>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</si>
  <si>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</si>
  <si>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</si>
  <si>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</si>
  <si>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</si>
  <si>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</si>
  <si>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</si>
  <si>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</si>
  <si>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</si>
  <si>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</si>
  <si>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</si>
  <si>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</si>
  <si>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</si>
  <si>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</si>
  <si>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</si>
  <si>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</si>
  <si>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</si>
  <si>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</si>
  <si>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</si>
  <si>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</si>
  <si>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</si>
  <si>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</si>
  <si>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</si>
  <si>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</si>
  <si>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</si>
  <si>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</si>
  <si>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</si>
  <si>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</si>
  <si>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</si>
  <si>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</si>
  <si>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</si>
  <si>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</si>
  <si>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</si>
  <si>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</si>
  <si>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</si>
  <si>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</si>
  <si>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</si>
  <si>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</si>
  <si>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</si>
  <si>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</si>
  <si>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</si>
  <si>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</si>
  <si>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</si>
  <si>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</si>
  <si>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</si>
  <si>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</si>
  <si>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</si>
  <si>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</si>
  <si>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</si>
  <si>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</si>
  <si>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</si>
  <si>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</si>
  <si>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</si>
  <si>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</si>
  <si>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</si>
  <si>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</si>
  <si>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</si>
  <si>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</si>
  <si>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</si>
  <si>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</si>
  <si>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</si>
  <si>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</si>
  <si>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</si>
  <si>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</si>
  <si>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</si>
  <si>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</si>
  <si>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</si>
  <si>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</si>
  <si>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</si>
  <si>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</si>
  <si>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</si>
  <si>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</si>
  <si>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</si>
  <si>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</si>
  <si>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</si>
  <si>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</si>
  <si>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</si>
  <si>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</si>
  <si>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</si>
  <si>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</si>
  <si>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</si>
  <si>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</si>
  <si>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</si>
  <si>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</si>
  <si>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</si>
  <si>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</si>
  <si>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</si>
  <si>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</si>
  <si>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</si>
  <si>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</si>
  <si>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</si>
  <si>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</si>
  <si>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</si>
  <si>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</si>
  <si>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</si>
  <si>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</si>
  <si>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</si>
  <si>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</si>
  <si>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</si>
  <si>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</si>
  <si>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</si>
  <si>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</si>
  <si>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</si>
  <si>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</si>
  <si>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</si>
  <si>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</si>
  <si>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</si>
  <si>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</si>
  <si>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</si>
  <si>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</si>
  <si>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</si>
  <si>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</si>
  <si>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</si>
  <si>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</si>
  <si>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</si>
  <si>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</si>
  <si>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</si>
  <si>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</si>
  <si>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</si>
  <si>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</si>
  <si>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</si>
  <si>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</si>
  <si>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</si>
  <si>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</si>
  <si>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</si>
  <si>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</si>
  <si>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</si>
  <si>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</si>
  <si>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</si>
  <si>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</si>
  <si>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</si>
  <si>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</si>
  <si>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</si>
  <si>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</si>
  <si>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</si>
  <si>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</si>
  <si>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</si>
  <si>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</si>
  <si>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</si>
  <si>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</si>
  <si>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</si>
  <si>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</si>
  <si>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</si>
  <si>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</si>
  <si>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</si>
  <si>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</si>
  <si>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</si>
  <si>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</si>
  <si>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</si>
  <si>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</si>
  <si>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</si>
  <si>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</si>
  <si>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</si>
  <si>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</si>
  <si>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</si>
  <si>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</si>
  <si>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</si>
  <si>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</si>
  <si>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</si>
  <si>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</si>
  <si>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</si>
  <si>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</si>
  <si>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</si>
  <si>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</si>
  <si>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</si>
  <si>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</si>
  <si>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</si>
  <si>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</si>
  <si>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</si>
  <si>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</si>
  <si>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</si>
  <si>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</si>
  <si>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</si>
  <si>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</si>
  <si>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</si>
  <si>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</si>
  <si>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</si>
  <si>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</si>
  <si>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</si>
  <si>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</si>
  <si>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</si>
  <si>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</si>
  <si>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</si>
  <si>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</si>
  <si>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</si>
  <si>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</si>
  <si>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</si>
  <si>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</si>
  <si>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</si>
  <si>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</si>
  <si>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</si>
  <si>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</si>
  <si>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</si>
  <si>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</si>
  <si>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</si>
  <si>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</si>
  <si>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</si>
  <si>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</si>
  <si>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</si>
  <si>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</si>
  <si>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</si>
  <si>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</si>
  <si>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</si>
  <si>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</si>
  <si>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</si>
  <si>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</si>
  <si>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</si>
  <si>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</si>
  <si>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</si>
  <si>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</si>
  <si>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</si>
  <si>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</si>
  <si>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</si>
  <si>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</si>
  <si>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</si>
  <si>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</si>
  <si>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</si>
  <si>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</si>
  <si>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</si>
  <si>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</si>
  <si>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</si>
  <si>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</si>
  <si>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</si>
  <si>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</si>
  <si>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</si>
  <si>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</si>
  <si>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</si>
  <si>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</si>
  <si>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</si>
  <si>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</si>
  <si>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</si>
  <si>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</si>
  <si>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</si>
  <si>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</si>
  <si>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</si>
  <si>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</si>
  <si>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</si>
  <si>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</si>
  <si>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</si>
  <si>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</si>
  <si>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</si>
  <si>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</si>
  <si>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</si>
  <si>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</si>
  <si>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</si>
  <si>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</si>
  <si>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</si>
  <si>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</si>
  <si>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</si>
  <si>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</si>
  <si>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</si>
  <si>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</si>
  <si>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</si>
  <si>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</si>
  <si>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</si>
  <si>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</si>
  <si>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</si>
  <si>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</si>
  <si>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</si>
  <si>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</si>
  <si>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</si>
  <si>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</si>
  <si>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</si>
  <si>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</si>
  <si>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</si>
  <si>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</si>
  <si>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</si>
  <si>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</si>
  <si>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</si>
  <si>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</si>
  <si>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</si>
  <si>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</si>
  <si>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</si>
  <si>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</si>
  <si>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</si>
  <si>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</si>
  <si>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</si>
  <si>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</si>
  <si>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</si>
  <si>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</si>
  <si>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</si>
  <si>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</si>
  <si>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</si>
  <si>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</si>
  <si>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</si>
  <si>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</si>
  <si>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</si>
  <si>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</si>
  <si>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</si>
  <si>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</si>
  <si>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</si>
  <si>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</si>
  <si>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</si>
  <si>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</si>
  <si>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</si>
  <si>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</si>
  <si>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</si>
  <si>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</si>
  <si>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</si>
  <si>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</si>
  <si>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</si>
  <si>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</si>
  <si>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</si>
  <si>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</si>
  <si>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</si>
  <si>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</si>
  <si>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</si>
  <si>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</si>
  <si>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</si>
  <si>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</si>
  <si>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</si>
  <si>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</si>
  <si>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</si>
  <si>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</si>
  <si>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</si>
  <si>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</si>
  <si>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</si>
  <si>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</si>
  <si>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</si>
  <si>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</si>
  <si>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</si>
  <si>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</si>
  <si>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</si>
  <si>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</si>
  <si>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</si>
  <si>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</si>
  <si>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</si>
  <si>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</si>
  <si>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</si>
  <si>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</si>
  <si>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</si>
  <si>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</si>
  <si>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</si>
  <si>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</si>
  <si>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</si>
  <si>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</si>
  <si>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</si>
  <si>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</si>
  <si>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</si>
  <si>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</si>
  <si>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</si>
  <si>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</si>
  <si>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</si>
  <si>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</si>
  <si>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</si>
  <si>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</si>
  <si>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</si>
  <si>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</si>
  <si>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</si>
  <si>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</si>
  <si>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</si>
  <si>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</si>
  <si>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</si>
  <si>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</si>
  <si>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</si>
  <si>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</si>
  <si>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</si>
  <si>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</si>
  <si>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</si>
  <si>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</si>
  <si>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</si>
  <si>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</si>
  <si>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</si>
  <si>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</si>
  <si>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</si>
  <si>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</si>
  <si>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</si>
  <si>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</si>
  <si>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</si>
  <si>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</si>
  <si>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</si>
  <si>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</si>
  <si>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</si>
  <si>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</si>
  <si>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</si>
  <si>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</si>
  <si>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</si>
  <si>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</si>
  <si>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</si>
  <si>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</si>
  <si>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</si>
  <si>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</si>
  <si>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</si>
  <si>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</si>
  <si>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</si>
  <si>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</si>
  <si>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</si>
  <si>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</si>
  <si>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</si>
  <si>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</si>
  <si>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</si>
  <si>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</si>
  <si>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</si>
  <si>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</si>
  <si>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</si>
  <si>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</si>
  <si>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</si>
  <si>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</si>
  <si>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</si>
  <si>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</si>
  <si>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</si>
  <si>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</si>
  <si>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</si>
  <si>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</si>
  <si>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</si>
  <si>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</si>
  <si>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</si>
  <si>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</si>
  <si>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</si>
  <si>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</si>
  <si>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</si>
  <si>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</si>
  <si>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</si>
  <si>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</si>
  <si>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</si>
  <si>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</si>
  <si>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</si>
  <si>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</si>
  <si>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</si>
  <si>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</si>
  <si>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</si>
  <si>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</si>
  <si>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</si>
  <si>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</si>
  <si>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</si>
  <si>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</si>
  <si>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</si>
  <si>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</si>
  <si>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</si>
  <si>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</si>
  <si>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</si>
  <si>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</si>
  <si>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</si>
  <si>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</si>
  <si>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</si>
  <si>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</si>
  <si>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</si>
  <si>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</si>
  <si>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</si>
  <si>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</si>
  <si>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</si>
  <si>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</si>
  <si>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</si>
  <si>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</si>
  <si>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</si>
  <si>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</si>
  <si>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</si>
  <si>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</si>
  <si>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</si>
  <si>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</si>
  <si>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</si>
  <si>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</si>
  <si>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</si>
  <si>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</si>
  <si>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</si>
  <si>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</si>
  <si>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</si>
  <si>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</si>
  <si>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</si>
  <si>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</si>
  <si>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</si>
  <si>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</si>
  <si>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</si>
  <si>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</si>
  <si>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</si>
  <si>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</si>
  <si>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</si>
  <si>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</si>
  <si>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</si>
  <si>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</si>
  <si>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</si>
  <si>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</si>
  <si>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</si>
  <si>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</si>
  <si>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</si>
  <si>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</si>
  <si>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</si>
  <si>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</si>
  <si>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</si>
  <si>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</si>
  <si>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</si>
  <si>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Shah Jamal</t>
  </si>
  <si>
    <t>Mian Tent Service</t>
  </si>
  <si>
    <t>Iqbal Store</t>
  </si>
  <si>
    <t>Bismillah Store</t>
  </si>
  <si>
    <t>MD Store</t>
  </si>
  <si>
    <t>Poma Haji</t>
  </si>
  <si>
    <t xml:space="preserve">Address: Ahata Morchan </t>
  </si>
  <si>
    <t xml:space="preserve">New Rana </t>
  </si>
  <si>
    <t>Data Store</t>
  </si>
  <si>
    <t>Shezad Store</t>
  </si>
  <si>
    <t xml:space="preserve">Bilal Book Depot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</si>
</sst>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F36" sqref="F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Mian Tent Service</v>
      </c>
      <c r="T3" s="301">
        <f>+'1'!P35</f>
        <v>2482.841583400424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Iqbal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Bismillah Store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MD Store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Poma Haji</v>
      </c>
      <c r="T7" s="301">
        <f>+'5'!P35</f>
        <v>940.86347552542372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New Rana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Data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93</v>
      </c>
      <c r="I10" s="236">
        <f t="shared" si="0"/>
        <v>6755.52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540.44159999999999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236.44320000000005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5978.6352000000006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1276.7796610169489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36.277074305084739</v>
      </c>
      <c r="P10" s="311">
        <f t="shared" si="2"/>
        <v>7291.6919353220346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Shezad Store</v>
      </c>
      <c r="T10" s="301">
        <f>+'8'!P35</f>
        <v>940.86347552542372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49</v>
      </c>
      <c r="I11" s="236">
        <f t="shared" si="0"/>
        <v>3559.36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284.74880000000002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124.57760000000002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3150.0336000000002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672.71186440677968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19.113727322033899</v>
      </c>
      <c r="P11" s="311">
        <f t="shared" si="2"/>
        <v>3841.8591917288136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Bilal Book Depot </v>
      </c>
      <c r="T11" s="301">
        <f>+'9'!P35</f>
        <v>1881.7269510508474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152</v>
      </c>
      <c r="I12" s="236">
        <f t="shared" si="0"/>
        <v>11041.28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883.30240000000015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386.44480000000004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9771.5328000000009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2086.7796610169494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59.291562305084753</v>
      </c>
      <c r="P12" s="311">
        <f t="shared" si="2"/>
        <v>11917.604023322036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8.1</v>
      </c>
      <c r="H16" s="113">
        <f t="shared" ref="H16:M16" si="3">SUM(H7:H15)</f>
        <v>324</v>
      </c>
      <c r="I16" s="114">
        <f t="shared" si="3"/>
        <v>22930.035000000003</v>
      </c>
      <c r="J16" s="274">
        <f>SUM(J7:J15)</f>
        <v>1834.4028000000003</v>
      </c>
      <c r="K16" s="275">
        <f t="shared" si="3"/>
        <v>802.55122500000016</v>
      </c>
      <c r="L16" s="276">
        <f t="shared" si="3"/>
        <v>0</v>
      </c>
      <c r="M16" s="232">
        <f t="shared" si="3"/>
        <v>20293.080975000004</v>
      </c>
      <c r="N16" s="233">
        <f>SUM(N7:N15)</f>
        <v>4333.7288135593217</v>
      </c>
      <c r="O16" s="101">
        <f>SUM(O7:O15)</f>
        <v>123.13404894279661</v>
      </c>
      <c r="P16" s="113">
        <f>SUM(P7:P15)</f>
        <v>24749.94383750212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22930.035000000003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1834.4028000000003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802.55122500000016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20293.080975000004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4333.7288135593217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24626.809788559327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123.13404894279661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24749.943837502124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24749.94383750212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2300.2750000000001</v>
      </c>
      <c r="J25" s="274">
        <f>SUM(J16:J24)</f>
        <v>184.02200000000002</v>
      </c>
      <c r="K25" s="275">
        <f t="shared" si="10"/>
        <v>80.509625000000014</v>
      </c>
      <c r="L25" s="276">
        <f t="shared" si="10"/>
        <v>0</v>
      </c>
      <c r="M25" s="232">
        <f t="shared" si="10"/>
        <v>2035.743375</v>
      </c>
      <c r="N25" s="233">
        <f>SUM(N16:N24)</f>
        <v>434.74576271186424</v>
      </c>
      <c r="O25" s="101">
        <f>SUM(O16:O24)</f>
        <v>12.352445688559321</v>
      </c>
      <c r="P25" s="234">
        <f>SUM(P16:P24)</f>
        <v>2482.8415834004236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2300.2750000000001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184.02200000000002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80.509625000000014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2035.7433750000002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434.74576271186424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2470.4891377118647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12.352445688559325</v>
      </c>
    </row>
    <row r="35" spans="2:16" ht="15.75" customHeight="1" thickBot="1" x14ac:dyDescent="0.4">
      <c r="N35" s="345" t="s">
        <v>88</v>
      </c>
      <c r="O35" s="346"/>
      <c r="P35" s="297">
        <f>+P33+P34</f>
        <v>2482.841583400424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2026-10-09T11:42:15Z</dcterms:modified>
</cp:coreProperties>
</file>