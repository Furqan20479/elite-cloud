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3EC60E3-EE1E-4CBE-882E-DC26049999D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O15" i="11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<sst xmlns="http://schemas.openxmlformats.org/spreadsheetml/2006/main" count="3948" uniqueCount="522">
  <si>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</si>
  <si>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</si>
  <si>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</si>
  <si>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</si>
  <si>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</si>
  <si>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</si>
  <si>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</si>
  <si>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</si>
  <si>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</si>
  <si>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</si>
  <si>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</si>
  <si>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</si>
  <si>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</si>
  <si>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</si>
  <si>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</si>
  <si>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</si>
  <si>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</si>
  <si>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</si>
  <si>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</si>
  <si>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</si>
  <si>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</si>
  <si>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</si>
  <si>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</si>
  <si>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</si>
  <si>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</si>
  <si>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</si>
  <si>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</si>
  <si>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</si>
  <si>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</si>
  <si>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</si>
  <si>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</si>
  <si>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</si>
  <si>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</si>
  <si>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</si>
  <si>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</si>
  <si>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</si>
  <si>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</si>
  <si>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</si>
  <si>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</si>
  <si>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</si>
  <si>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</si>
  <si>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</si>
  <si>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</si>
  <si>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</si>
  <si>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</si>
  <si>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</si>
  <si>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</si>
  <si>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</si>
  <si>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</si>
  <si>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</si>
  <si>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</si>
  <si>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</si>
  <si>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</si>
  <si>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</si>
  <si>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</si>
  <si>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</si>
  <si>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</si>
  <si>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</si>
  <si>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</si>
  <si>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</si>
  <si>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</si>
  <si>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</si>
  <si>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</si>
  <si>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</si>
  <si>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</si>
  <si>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</si>
  <si>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</si>
  <si>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</si>
  <si>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</si>
  <si>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</si>
  <si>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</si>
  <si>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</si>
  <si>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</si>
  <si>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</si>
  <si>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</si>
  <si>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</si>
  <si>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</si>
  <si>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</si>
  <si>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</si>
  <si>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</si>
  <si>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</si>
  <si>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</si>
  <si>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</si>
  <si>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</si>
  <si>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</si>
  <si>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</si>
  <si>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</si>
  <si>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</si>
  <si>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</si>
  <si>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</si>
  <si>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</si>
  <si>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</si>
  <si>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</si>
  <si>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</si>
  <si>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</si>
  <si>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</si>
  <si>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</si>
  <si>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</si>
  <si>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</si>
  <si>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</si>
  <si>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</si>
  <si>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</si>
  <si>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</si>
  <si>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</si>
  <si>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</si>
  <si>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</si>
  <si>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</si>
  <si>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</si>
  <si>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</si>
  <si>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</si>
  <si>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</si>
  <si>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</si>
  <si>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</si>
  <si>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</si>
  <si>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</si>
  <si>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</si>
  <si>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</si>
  <si>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</si>
  <si>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</si>
  <si>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</si>
  <si>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</si>
  <si>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</si>
  <si>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</si>
  <si>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</si>
  <si>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</si>
  <si>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</si>
  <si>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</si>
  <si>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</si>
  <si>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</si>
  <si>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</si>
  <si>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</si>
  <si>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</si>
  <si>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</si>
  <si>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</si>
  <si>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</si>
  <si>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</si>
  <si>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</si>
  <si>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</si>
  <si>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</si>
  <si>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</si>
  <si>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</si>
  <si>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</si>
  <si>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</si>
  <si>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</si>
  <si>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</si>
  <si>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</si>
  <si>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</si>
  <si>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</si>
  <si>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</si>
  <si>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</si>
  <si>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</si>
  <si>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</si>
  <si>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</si>
  <si>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</si>
  <si>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</si>
  <si>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</si>
  <si>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</si>
  <si>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</si>
  <si>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</si>
  <si>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</si>
  <si>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</si>
  <si>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</si>
  <si>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</si>
  <si>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</si>
  <si>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</si>
  <si>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</si>
  <si>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</si>
  <si>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</si>
  <si>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</si>
  <si>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</si>
  <si>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</si>
  <si>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</si>
  <si>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</si>
  <si>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</si>
  <si>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</si>
  <si>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</si>
  <si>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</si>
  <si>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</si>
  <si>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</si>
  <si>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</si>
  <si>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</si>
  <si>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</si>
  <si>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</si>
  <si>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</si>
  <si>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</si>
  <si>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</si>
  <si>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</si>
  <si>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</si>
  <si>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</si>
  <si>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</si>
  <si>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</si>
  <si>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</si>
  <si>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</si>
  <si>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</si>
  <si>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</si>
  <si>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</si>
  <si>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</si>
  <si>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</si>
  <si>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</si>
  <si>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</si>
  <si>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</si>
  <si>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</si>
  <si>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</si>
  <si>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</si>
  <si>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</si>
  <si>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</si>
  <si>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</si>
  <si>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</si>
  <si>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</si>
  <si>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</si>
  <si>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</si>
  <si>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</si>
  <si>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</si>
  <si>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</si>
  <si>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</si>
  <si>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</si>
  <si>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</si>
  <si>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</si>
  <si>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</si>
  <si>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</si>
  <si>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</si>
  <si>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</si>
  <si>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</si>
  <si>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</si>
  <si>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</si>
  <si>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</si>
  <si>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</si>
  <si>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</si>
  <si>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</si>
  <si>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</si>
  <si>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</si>
  <si>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</si>
  <si>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</si>
  <si>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</si>
  <si>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</si>
  <si>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</si>
  <si>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</si>
  <si>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</si>
  <si>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</si>
  <si>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</si>
  <si>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</si>
  <si>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</si>
  <si>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</si>
  <si>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</si>
  <si>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</si>
  <si>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</si>
  <si>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</si>
  <si>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</si>
  <si>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</si>
  <si>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</si>
  <si>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</si>
  <si>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</si>
  <si>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</si>
  <si>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</si>
  <si>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</si>
  <si>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</si>
  <si>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</si>
  <si>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</si>
  <si>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</si>
  <si>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</si>
  <si>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</si>
  <si>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</si>
  <si>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</si>
  <si>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</si>
  <si>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</si>
  <si>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</si>
  <si>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</si>
  <si>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</si>
  <si>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</si>
  <si>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</si>
  <si>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</si>
  <si>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</si>
  <si>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</si>
  <si>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</si>
  <si>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</si>
  <si>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</si>
  <si>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</si>
  <si>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</si>
  <si>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</si>
  <si>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</si>
  <si>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</si>
  <si>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</si>
  <si>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</si>
  <si>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</si>
  <si>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</si>
  <si>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</si>
  <si>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</si>
  <si>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</si>
  <si>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</si>
  <si>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</si>
  <si>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</si>
  <si>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</si>
  <si>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</si>
  <si>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</si>
  <si>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</si>
  <si>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</si>
  <si>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</si>
  <si>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</si>
  <si>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</si>
  <si>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</si>
  <si>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</si>
  <si>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</si>
  <si>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</si>
  <si>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</si>
  <si>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</si>
  <si>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</si>
  <si>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</si>
  <si>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</si>
  <si>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</si>
  <si>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</si>
  <si>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</si>
  <si>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</si>
  <si>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</si>
  <si>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</si>
  <si>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</si>
  <si>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</si>
  <si>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</si>
  <si>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</si>
  <si>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</si>
  <si>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</si>
  <si>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</si>
  <si>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</si>
  <si>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</si>
  <si>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</si>
  <si>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</si>
  <si>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</si>
  <si>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</si>
  <si>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</si>
  <si>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</si>
  <si>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</si>
  <si>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</si>
  <si>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</si>
  <si>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</si>
  <si>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</si>
  <si>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</si>
  <si>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</si>
  <si>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</si>
  <si>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</si>
  <si>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</si>
  <si>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</si>
  <si>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</si>
  <si>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</si>
  <si>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</si>
  <si>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</si>
  <si>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</si>
  <si>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</si>
  <si>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</si>
  <si>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</si>
  <si>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</si>
  <si>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</si>
  <si>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</si>
  <si>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</si>
  <si>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</si>
  <si>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</si>
  <si>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</si>
  <si>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</si>
  <si>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</si>
  <si>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</si>
  <si>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</si>
  <si>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</si>
  <si>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</si>
  <si>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</si>
  <si>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</si>
  <si>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</si>
  <si>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</si>
  <si>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</si>
  <si>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</si>
  <si>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</si>
  <si>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</si>
  <si>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</si>
  <si>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</si>
  <si>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</si>
  <si>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</si>
  <si>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</si>
  <si>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</si>
  <si>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</si>
  <si>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</si>
  <si>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</si>
  <si>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</si>
  <si>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</si>
  <si>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</si>
  <si>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</si>
  <si>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</si>
  <si>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</si>
  <si>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</si>
  <si>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</si>
  <si>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</si>
  <si>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</si>
  <si>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</si>
  <si>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</si>
  <si>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</si>
  <si>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</si>
  <si>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</si>
  <si>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</si>
  <si>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</si>
  <si>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</si>
  <si>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</si>
  <si>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</si>
  <si>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</si>
  <si>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</si>
  <si>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</si>
  <si>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</si>
  <si>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</si>
  <si>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</si>
  <si>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</si>
  <si>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</si>
  <si>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</si>
  <si>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</si>
  <si>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</si>
  <si>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</si>
  <si>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</si>
  <si>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</si>
  <si>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</si>
  <si>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</si>
  <si>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</si>
  <si>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</si>
  <si>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</si>
  <si>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</si>
  <si>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</si>
  <si>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</si>
  <si>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</si>
  <si>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</si>
  <si>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</si>
  <si>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</si>
  <si>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</si>
  <si>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</si>
  <si>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</si>
  <si>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</si>
  <si>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</si>
  <si>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</si>
  <si>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</si>
  <si>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</si>
  <si>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</si>
  <si>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</si>
  <si>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</si>
  <si>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</si>
  <si>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</si>
  <si>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</si>
  <si>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</si>
  <si>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</si>
  <si>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</si>
  <si>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</si>
  <si>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</si>
  <si>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</si>
  <si>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</si>
  <si>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</si>
  <si>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</si>
  <si>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</si>
  <si>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</si>
  <si>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</si>
  <si>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</si>
  <si>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</si>
  <si>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</si>
  <si>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</si>
  <si>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</si>
  <si>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</si>
  <si>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</si>
  <si>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</si>
  <si>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</si>
  <si>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</si>
  <si>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</si>
  <si>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</si>
  <si>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</si>
  <si>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</si>
  <si>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</si>
  <si>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</si>
  <si>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</si>
  <si>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</si>
  <si>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</si>
  <si>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</si>
  <si>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</si>
  <si>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</si>
  <si>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</si>
  <si>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</si>
  <si>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</si>
  <si>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</si>
  <si>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</si>
  <si>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</si>
  <si>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</si>
  <si>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</si>
  <si>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</si>
  <si>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</si>
  <si>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</si>
  <si>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</si>
  <si>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</si>
  <si>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</si>
  <si>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</si>
  <si>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</si>
  <si>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</si>
  <si>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</si>
  <si>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</si>
  <si>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</si>
  <si>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</si>
  <si>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</si>
  <si>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</si>
  <si>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</si>
  <si>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</si>
  <si>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</si>
  <si>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</si>
  <si>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</si>
  <si>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</si>
  <si>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</si>
  <si>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</si>
  <si>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</si>
  <si>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</si>
  <si>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</si>
  <si>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</si>
  <si>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</si>
  <si>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</si>
  <si>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</si>
  <si>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</si>
  <si>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</si>
  <si>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</si>
  <si>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</si>
  <si>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</si>
  <si>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Haider Stroe</t>
  </si>
  <si>
    <t xml:space="preserve">Address: Al noor Town </t>
  </si>
  <si>
    <t>Imran Store</t>
  </si>
  <si>
    <t>Shere Rubani Store</t>
  </si>
  <si>
    <t>Rana Anas Store</t>
  </si>
  <si>
    <t xml:space="preserve">Noor Traders </t>
  </si>
  <si>
    <t>Khan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</si>
</sst>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I5" sqref="I5: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Haider Stroe</v>
      </c>
      <c r="T3" s="301">
        <f>+'1'!P35</f>
        <v>2310.1272362288132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Imran Store</v>
      </c>
      <c r="T4" s="301">
        <f>+'2'!P35</f>
        <v>509.63660613877113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Shere Rubani Store</v>
      </c>
      <c r="T5" s="301">
        <f>+'3'!P35</f>
        <v>3049.104479110169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Rana Anas Store</v>
      </c>
      <c r="T6" s="301">
        <f>+'4'!P35</f>
        <v>2970.6991894830512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48</v>
      </c>
      <c r="I7" s="235">
        <f>(G7*D7)*F7+H7*F7</f>
        <v>2518.1999999999998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201.45599999999999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88.137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2228.607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475.93220338983031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36.060522711864408</v>
      </c>
      <c r="P7" s="310">
        <f>M7+N7+O7</f>
        <v>2740.5997261016946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Noor Traders </v>
      </c>
      <c r="T7" s="301">
        <f>+'5'!P35</f>
        <v>2526.3995835127116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33</v>
      </c>
      <c r="I8" s="236">
        <f t="shared" ref="I8:I14" si="0">(G8*D8)*F8+H8*F8</f>
        <v>1731.2625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138.501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60.594187500000004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1532.1673125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327.20338983050834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9.296853511652543</v>
      </c>
      <c r="P8" s="311">
        <f t="shared" ref="P8:P15" si="2">M8+N8+O8</f>
        <v>1868.6675558421607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>Khan GS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76</v>
      </c>
      <c r="I9" s="236">
        <f t="shared" si="0"/>
        <v>3987.15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318.97199999999998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139.55025000000001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3528.6277500000001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753.55932203389796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43.948762055084742</v>
      </c>
      <c r="P9" s="311">
        <f t="shared" si="2"/>
        <v>4326.1358340889828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30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</v>
      </c>
      <c r="I10" s="236">
        <f t="shared" si="0"/>
        <v>944.32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75.545600000000007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33.051200000000001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835.72320000000002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178.47457627118644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5.0709888813559321</v>
      </c>
      <c r="P10" s="311">
        <f t="shared" si="2"/>
        <v>1019.2687651525424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</v>
      </c>
      <c r="I11" s="236">
        <f t="shared" si="0"/>
        <v>217.92000000000002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17.433600000000002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7.6272000000000011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192.85920000000002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41.186440677966104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1.1702282033898306</v>
      </c>
      <c r="P11" s="311">
        <f t="shared" si="2"/>
        <v>235.21586888135593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87.168000000000006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5.8511410169491533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4.7</v>
      </c>
      <c r="H16" s="113">
        <f t="shared" ref="H16:M16" si="3">SUM(H7:H15)</f>
        <v>188</v>
      </c>
      <c r="I16" s="114">
        <f t="shared" si="3"/>
        <v>10488.452499999999</v>
      </c>
      <c r="J16" s="274">
        <f>SUM(J7:J15)</f>
        <v>839.07619999999997</v>
      </c>
      <c r="K16" s="275">
        <f t="shared" si="3"/>
        <v>367.09583750000007</v>
      </c>
      <c r="L16" s="276">
        <f t="shared" si="3"/>
        <v>0</v>
      </c>
      <c r="M16" s="232">
        <f t="shared" si="3"/>
        <v>9282.2804625000008</v>
      </c>
      <c r="N16" s="233">
        <f>SUM(N7:N15)</f>
        <v>1982.2881355932195</v>
      </c>
      <c r="O16" s="101">
        <f>SUM(O7:O15)</f>
        <v>101.39849638029661</v>
      </c>
      <c r="P16" s="113">
        <f>SUM(P7:P15)</f>
        <v>11365.967094473517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10488.452499999999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839.07619999999997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367.09583750000007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9282.280462499999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1982.2881355932195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11264.568598093218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101.39849638029661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11365.967094473513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11365.967094473517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2.5000000000000001E-2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28.172283368644067</v>
      </c>
      <c r="P16" s="118">
        <f>M16+N16+O16</f>
        <v>1155.0636181144066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28.172283368644067</v>
      </c>
      <c r="P18" s="119">
        <f t="shared" si="5"/>
        <v>1155.0636181144066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56.344566737288133</v>
      </c>
      <c r="P25" s="234">
        <f>SUM(P16:P24)</f>
        <v>2310.1272362288132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2.5000000000000001E-2</v>
      </c>
      <c r="P34" s="140">
        <f>O34*P33</f>
        <v>56.344566737288133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2310.1272362288132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</v>
      </c>
      <c r="I25" s="114">
        <f t="shared" si="7"/>
        <v>472.16249999999997</v>
      </c>
      <c r="J25" s="274">
        <f>SUM(J16:J24)</f>
        <v>37.772999999999996</v>
      </c>
      <c r="K25" s="275">
        <f t="shared" si="7"/>
        <v>16.5256875</v>
      </c>
      <c r="L25" s="276">
        <f t="shared" si="7"/>
        <v>0</v>
      </c>
      <c r="M25" s="232">
        <f t="shared" si="7"/>
        <v>417.86381249999999</v>
      </c>
      <c r="N25" s="233">
        <f>SUM(N16:N24)</f>
        <v>89.23728813559319</v>
      </c>
      <c r="O25" s="101">
        <f>SUM(O16:O24)</f>
        <v>2.5355055031779656</v>
      </c>
      <c r="P25" s="234">
        <f>SUM(P16:P24)</f>
        <v>509.63660613877119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472.16249999999997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37.772999999999996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16.5256875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417.86381249999999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89.23728813559319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507.10110063559318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2.5355055031779661</v>
      </c>
    </row>
    <row r="35" spans="2:16" ht="15.75" customHeight="1" thickBot="1" x14ac:dyDescent="0.4">
      <c r="N35" s="374" t="s">
        <v>88</v>
      </c>
      <c r="O35" s="375"/>
      <c r="P35" s="297">
        <f>+P33+P34</f>
        <v>509.63660613877113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50</v>
      </c>
      <c r="I25" s="114">
        <f t="shared" si="7"/>
        <v>2824.9</v>
      </c>
      <c r="J25" s="274">
        <f>SUM(J16:J24)</f>
        <v>225.99199999999999</v>
      </c>
      <c r="K25" s="275">
        <f t="shared" si="7"/>
        <v>98.871500000000026</v>
      </c>
      <c r="L25" s="276">
        <f t="shared" si="7"/>
        <v>0</v>
      </c>
      <c r="M25" s="232">
        <f t="shared" si="7"/>
        <v>2500.0365000000002</v>
      </c>
      <c r="N25" s="233">
        <f>SUM(N16:N24)</f>
        <v>533.89830508474563</v>
      </c>
      <c r="O25" s="101">
        <f>SUM(O16:O24)</f>
        <v>15.169674025423728</v>
      </c>
      <c r="P25" s="234">
        <f>SUM(P16:P24)</f>
        <v>3049.104479110169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2824.9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225.99199999999999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98.871500000000026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2500.0364999999997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533.89830508474563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3033.9348050847452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15.169674025423726</v>
      </c>
    </row>
    <row r="35" spans="2:16" ht="15.75" customHeight="1" thickBot="1" x14ac:dyDescent="0.4">
      <c r="N35" s="374" t="s">
        <v>88</v>
      </c>
      <c r="O35" s="375"/>
      <c r="P35" s="297">
        <f>+P33+P34</f>
        <v>3049.104479110169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49</v>
      </c>
      <c r="I25" s="114">
        <f t="shared" si="7"/>
        <v>2752.26</v>
      </c>
      <c r="J25" s="274">
        <f>SUM(J16:J24)</f>
        <v>220.18080000000003</v>
      </c>
      <c r="K25" s="275">
        <f t="shared" si="7"/>
        <v>96.329100000000011</v>
      </c>
      <c r="L25" s="276">
        <f t="shared" si="7"/>
        <v>0</v>
      </c>
      <c r="M25" s="232">
        <f t="shared" si="7"/>
        <v>2435.7500999999997</v>
      </c>
      <c r="N25" s="233">
        <f>SUM(N16:N24)</f>
        <v>520.16949152542361</v>
      </c>
      <c r="O25" s="101">
        <f>SUM(O16:O24)</f>
        <v>14.77959795762712</v>
      </c>
      <c r="P25" s="234">
        <f>SUM(P16:P24)</f>
        <v>2970.6991894830512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2752.26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220.18080000000003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96.329100000000011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2435.7501000000002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520.16949152542361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2955.919591525424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14.77959795762712</v>
      </c>
    </row>
    <row r="35" spans="2:16" ht="15.75" customHeight="1" thickBot="1" x14ac:dyDescent="0.4">
      <c r="N35" s="374" t="s">
        <v>88</v>
      </c>
      <c r="O35" s="375"/>
      <c r="P35" s="297">
        <f>+P33+P34</f>
        <v>2970.6991894830512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18</v>
      </c>
      <c r="I18" s="236">
        <f t="shared" si="0"/>
        <v>944.32499999999993</v>
      </c>
      <c r="J18" s="272">
        <f t="shared" si="1"/>
        <v>75.545999999999992</v>
      </c>
      <c r="K18" s="128">
        <f t="shared" si="1"/>
        <v>33.051375</v>
      </c>
      <c r="L18" s="119">
        <f t="shared" si="1"/>
        <v>0</v>
      </c>
      <c r="M18" s="230">
        <f t="shared" si="2"/>
        <v>835.72762499999999</v>
      </c>
      <c r="N18" s="277">
        <f t="shared" si="3"/>
        <v>178.47457627118638</v>
      </c>
      <c r="O18" s="239">
        <f t="shared" si="4"/>
        <v>5.0710110063559322</v>
      </c>
      <c r="P18" s="119">
        <f t="shared" si="5"/>
        <v>1019.2732122775423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2340.63</v>
      </c>
      <c r="J25" s="274">
        <f>SUM(J16:J24)</f>
        <v>187.25040000000001</v>
      </c>
      <c r="K25" s="275">
        <f t="shared" si="7"/>
        <v>81.922050000000013</v>
      </c>
      <c r="L25" s="276">
        <f t="shared" si="7"/>
        <v>0</v>
      </c>
      <c r="M25" s="232">
        <f t="shared" si="7"/>
        <v>2071.4575500000001</v>
      </c>
      <c r="N25" s="233">
        <f>SUM(N16:N24)</f>
        <v>442.37288135593212</v>
      </c>
      <c r="O25" s="101">
        <f>SUM(O16:O24)</f>
        <v>12.569152156779662</v>
      </c>
      <c r="P25" s="234">
        <f>SUM(P16:P24)</f>
        <v>2526.3995835127116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2340.63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187.25040000000001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81.922050000000013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2071.4575500000001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442.37288135593212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2513.830431355932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12.56915215677966</v>
      </c>
    </row>
    <row r="35" spans="2:16" ht="15.75" customHeight="1" thickBot="1" x14ac:dyDescent="0.4">
      <c r="N35" s="374" t="s">
        <v>88</v>
      </c>
      <c r="O35" s="375"/>
      <c r="P35" s="297">
        <f>+P33+P34</f>
        <v>2526.3995835127116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8" sqref="H17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30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2026-10-10T08:23:01Z</dcterms:modified>
</cp:coreProperties>
</file>