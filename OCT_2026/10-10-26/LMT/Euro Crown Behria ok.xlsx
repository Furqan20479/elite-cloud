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4A5953-6267-41A2-A065-3C01056FA3BD}" xr6:coauthVersionLast="47" xr6:coauthVersionMax="47" xr10:uidLastSave="{00000000-0000-0000-0000-000000000000}"/>
  <bookViews>
    <workbookView xWindow="-110" yWindow="-110" windowWidth="19420" windowHeight="10420" tabRatio="887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<sst xmlns="http://schemas.openxmlformats.org/spreadsheetml/2006/main" count="3977" uniqueCount="517">
  <si>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</si>
  <si>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</si>
  <si>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</si>
  <si>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</si>
  <si>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</si>
  <si>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</si>
  <si>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</si>
  <si>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</si>
  <si>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</si>
  <si>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</si>
  <si>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</si>
  <si>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</si>
  <si>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</si>
  <si>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</si>
  <si>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</si>
  <si>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</si>
  <si>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</si>
  <si>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</si>
  <si>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</si>
  <si>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</si>
  <si>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</si>
  <si>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</si>
  <si>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</si>
  <si>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</si>
  <si>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</si>
  <si>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</si>
  <si>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</si>
  <si>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</si>
  <si>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</si>
  <si>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</si>
  <si>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</si>
  <si>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</si>
  <si>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</si>
  <si>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</si>
  <si>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</si>
  <si>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</si>
  <si>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</si>
  <si>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</si>
  <si>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</si>
  <si>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</si>
  <si>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</si>
  <si>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</si>
  <si>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</si>
  <si>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</si>
  <si>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</si>
  <si>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</si>
  <si>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</si>
  <si>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</si>
  <si>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</si>
  <si>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</si>
  <si>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</si>
  <si>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</si>
  <si>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</si>
  <si>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</si>
  <si>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</si>
  <si>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</si>
  <si>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</si>
  <si>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</si>
  <si>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</si>
  <si>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</si>
  <si>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</si>
  <si>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</si>
  <si>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</si>
  <si>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</si>
  <si>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</si>
  <si>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</si>
  <si>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</si>
  <si>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</si>
  <si>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</si>
  <si>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</si>
  <si>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</si>
  <si>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</si>
  <si>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</si>
  <si>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</si>
  <si>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</si>
  <si>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</si>
  <si>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</si>
  <si>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</si>
  <si>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</si>
  <si>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</si>
  <si>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</si>
  <si>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</si>
  <si>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</si>
  <si>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</si>
  <si>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</si>
  <si>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</si>
  <si>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</si>
  <si>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</si>
  <si>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</si>
  <si>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</si>
  <si>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</si>
  <si>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</si>
  <si>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</si>
  <si>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</si>
  <si>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</si>
  <si>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</si>
  <si>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</si>
  <si>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</si>
  <si>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</si>
  <si>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</si>
  <si>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</si>
  <si>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</si>
  <si>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</si>
  <si>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</si>
  <si>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</si>
  <si>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</si>
  <si>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</si>
  <si>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</si>
  <si>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</si>
  <si>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</si>
  <si>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</si>
  <si>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</si>
  <si>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</si>
  <si>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</si>
  <si>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</si>
  <si>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</si>
  <si>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</si>
  <si>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</si>
  <si>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</si>
  <si>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</si>
  <si>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</si>
  <si>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</si>
  <si>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</si>
  <si>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</si>
  <si>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</si>
  <si>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</si>
  <si>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</si>
  <si>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</si>
  <si>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</si>
  <si>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</si>
  <si>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</si>
  <si>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</si>
  <si>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</si>
  <si>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</si>
  <si>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</si>
  <si>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</si>
  <si>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</si>
  <si>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</si>
  <si>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</si>
  <si>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</si>
  <si>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</si>
  <si>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</si>
  <si>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</si>
  <si>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</si>
  <si>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</si>
  <si>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</si>
  <si>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</si>
  <si>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</si>
  <si>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</si>
  <si>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</si>
  <si>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</si>
  <si>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</si>
  <si>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</si>
  <si>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</si>
  <si>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</si>
  <si>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</si>
  <si>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</si>
  <si>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</si>
  <si>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</si>
  <si>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</si>
  <si>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</si>
  <si>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</si>
  <si>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</si>
  <si>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</si>
  <si>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</si>
  <si>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</si>
  <si>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</si>
  <si>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</si>
  <si>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</si>
  <si>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</si>
  <si>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</si>
  <si>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</si>
  <si>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</si>
  <si>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</si>
  <si>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</si>
  <si>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</si>
  <si>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</si>
  <si>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</si>
  <si>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</si>
  <si>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</si>
  <si>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</si>
  <si>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</si>
  <si>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</si>
  <si>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</si>
  <si>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</si>
  <si>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</si>
  <si>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</si>
  <si>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</si>
  <si>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</si>
  <si>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</si>
  <si>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</si>
  <si>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</si>
  <si>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</si>
  <si>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</si>
  <si>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</si>
  <si>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</si>
  <si>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</si>
  <si>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</si>
  <si>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</si>
  <si>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</si>
  <si>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</si>
  <si>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</si>
  <si>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</si>
  <si>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</si>
  <si>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</si>
  <si>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</si>
  <si>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</si>
  <si>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</si>
  <si>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</si>
  <si>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</si>
  <si>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</si>
  <si>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</si>
  <si>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</si>
  <si>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</si>
  <si>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</si>
  <si>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</si>
  <si>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</si>
  <si>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</si>
  <si>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</si>
  <si>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</si>
  <si>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</si>
  <si>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</si>
  <si>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</si>
  <si>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</si>
  <si>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</si>
  <si>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</si>
  <si>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</si>
  <si>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</si>
  <si>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</si>
  <si>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</si>
  <si>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</si>
  <si>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</si>
  <si>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</si>
  <si>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</si>
  <si>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</si>
  <si>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</si>
  <si>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</si>
  <si>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</si>
  <si>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</si>
  <si>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</si>
  <si>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</si>
  <si>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</si>
  <si>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</si>
  <si>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</si>
  <si>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</si>
  <si>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</si>
  <si>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</si>
  <si>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</si>
  <si>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</si>
  <si>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</si>
  <si>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</si>
  <si>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</si>
  <si>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</si>
  <si>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</si>
  <si>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</si>
  <si>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</si>
  <si>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</si>
  <si>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</si>
  <si>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</si>
  <si>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</si>
  <si>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</si>
  <si>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</si>
  <si>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</si>
  <si>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</si>
  <si>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</si>
  <si>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</si>
  <si>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</si>
  <si>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</si>
  <si>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</si>
  <si>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</si>
  <si>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</si>
  <si>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</si>
  <si>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</si>
  <si>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</si>
  <si>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</si>
  <si>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</si>
  <si>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</si>
  <si>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</si>
  <si>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</si>
  <si>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</si>
  <si>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</si>
  <si>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</si>
  <si>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</si>
  <si>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</si>
  <si>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</si>
  <si>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</si>
  <si>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</si>
  <si>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</si>
  <si>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</si>
  <si>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</si>
  <si>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</si>
  <si>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</si>
  <si>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</si>
  <si>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</si>
  <si>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</si>
  <si>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</si>
  <si>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</si>
  <si>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</si>
  <si>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</si>
  <si>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</si>
  <si>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</si>
  <si>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</si>
  <si>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</si>
  <si>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</si>
  <si>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</si>
  <si>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</si>
  <si>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</si>
  <si>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</si>
  <si>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</si>
  <si>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</si>
  <si>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</si>
  <si>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</si>
  <si>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</si>
  <si>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</si>
  <si>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</si>
  <si>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</si>
  <si>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</si>
  <si>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</si>
  <si>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</si>
  <si>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</si>
  <si>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</si>
  <si>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</si>
  <si>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</si>
  <si>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</si>
  <si>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</si>
  <si>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</si>
  <si>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</si>
  <si>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</si>
  <si>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</si>
  <si>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</si>
  <si>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</si>
  <si>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</si>
  <si>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</si>
  <si>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</si>
  <si>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</si>
  <si>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</si>
  <si>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</si>
  <si>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</si>
  <si>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</si>
  <si>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</si>
  <si>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</si>
  <si>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</si>
  <si>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</si>
  <si>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</si>
  <si>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</si>
  <si>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</si>
  <si>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</si>
  <si>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</si>
  <si>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</si>
  <si>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</si>
  <si>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</si>
  <si>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</si>
  <si>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</si>
  <si>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</si>
  <si>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</si>
  <si>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</si>
  <si>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</si>
  <si>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</si>
  <si>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</si>
  <si>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</si>
  <si>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</si>
  <si>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</si>
  <si>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</si>
  <si>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</si>
  <si>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</si>
  <si>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</si>
  <si>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</si>
  <si>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</si>
  <si>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</si>
  <si>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</si>
  <si>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</si>
  <si>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</si>
  <si>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</si>
  <si>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</si>
  <si>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</si>
  <si>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</si>
  <si>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</si>
  <si>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</si>
  <si>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</si>
  <si>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</si>
  <si>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</si>
  <si>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</si>
  <si>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</si>
  <si>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</si>
  <si>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</si>
  <si>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</si>
  <si>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</si>
  <si>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</si>
  <si>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</si>
  <si>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</si>
  <si>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</si>
  <si>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</si>
  <si>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</si>
  <si>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</si>
  <si>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</si>
  <si>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</si>
  <si>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</si>
  <si>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</si>
  <si>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</si>
  <si>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</si>
  <si>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</si>
  <si>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</si>
  <si>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</si>
  <si>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</si>
  <si>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</si>
  <si>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</si>
  <si>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</si>
  <si>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</si>
  <si>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</si>
  <si>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</si>
  <si>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</si>
  <si>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</si>
  <si>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</si>
  <si>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</si>
  <si>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</si>
  <si>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</si>
  <si>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</si>
  <si>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</si>
  <si>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</si>
  <si>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</si>
  <si>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</si>
  <si>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</si>
  <si>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</si>
  <si>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</si>
  <si>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</si>
  <si>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</si>
  <si>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</si>
  <si>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</si>
  <si>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</si>
  <si>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</si>
  <si>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</si>
  <si>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</si>
  <si>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</si>
  <si>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</si>
  <si>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</si>
  <si>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</si>
  <si>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</si>
  <si>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</si>
  <si>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</si>
  <si>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</si>
  <si>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</si>
  <si>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</si>
  <si>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</si>
  <si>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</si>
  <si>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</si>
  <si>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</si>
  <si>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</si>
  <si>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</si>
  <si>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</si>
  <si>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</si>
  <si>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</si>
  <si>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</si>
  <si>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</si>
  <si>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</si>
  <si>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</si>
  <si>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</si>
  <si>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</si>
  <si>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</si>
  <si>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</si>
  <si>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</si>
  <si>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</si>
  <si>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</si>
  <si>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</si>
  <si>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</si>
  <si>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</si>
  <si>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</si>
  <si>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</si>
  <si>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</si>
  <si>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</si>
  <si>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</si>
  <si>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</si>
  <si>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</si>
  <si>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</si>
  <si>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</si>
  <si>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</si>
  <si>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</si>
  <si>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</si>
  <si>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</si>
  <si>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</si>
  <si>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</si>
  <si>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</si>
  <si>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</si>
  <si>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</si>
  <si>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</si>
  <si>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</si>
  <si>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</si>
  <si>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</si>
  <si>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</si>
  <si>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</si>
  <si>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</si>
  <si>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</si>
  <si>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</si>
  <si>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</si>
  <si>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</si>
  <si>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</si>
  <si>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</si>
  <si>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</si>
  <si>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</si>
  <si>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</si>
  <si>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</si>
  <si>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</si>
  <si>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</si>
  <si>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</si>
  <si>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</si>
  <si>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</si>
  <si>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</si>
  <si>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</si>
  <si>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</si>
  <si>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</si>
  <si>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</si>
  <si>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</si>
  <si>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</si>
  <si>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</si>
  <si>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 7341430-4</t>
  </si>
  <si>
    <t>Invoice No # :451564</t>
  </si>
  <si>
    <t>EURO STORE CROWN BEHRIA TOWN</t>
  </si>
  <si>
    <t xml:space="preserve">Address: Behria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</si>
</sst>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46307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 STORE CROWN BEHRIA TOWN</v>
      </c>
      <c r="T3" s="301">
        <f>+'1'!P35</f>
        <v>152985.47813771185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CROWN BEHRIA TOWN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 CROWN BEHRIA TOWN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 CROWN BEHRIA TOWN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310">
        <f>M7+N7+O7</f>
        <v>21385.120328389832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CROWN BEHRIA TOWN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311">
        <f t="shared" ref="P8:P15" si="2">M8+N8+O8</f>
        <v>21385.120328389832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 CROWN BEHRIA TOWN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400</v>
      </c>
      <c r="I9" s="236">
        <f t="shared" si="0"/>
        <v>20985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2937.9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734.47500000000002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17312.625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3966.1016949152527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106.39363347457628</v>
      </c>
      <c r="P9" s="311">
        <f t="shared" si="2"/>
        <v>21385.120328389832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 CROWN BEHRIA TOWN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23971.199999999997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147.31362711864406</v>
      </c>
      <c r="P10" s="311">
        <f t="shared" si="2"/>
        <v>29610.039050847456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 CROWN BEHRIA TOWN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4067.8400000000006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23971.199999999997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147.31362711864406</v>
      </c>
      <c r="P11" s="311">
        <f t="shared" si="2"/>
        <v>29610.039050847456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 CROWN BEHRIA TOWN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147.31362711864406</v>
      </c>
      <c r="P12" s="311">
        <f t="shared" si="2"/>
        <v>29610.039050847456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 CROWN BEHRIA TOWN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 CROWN BEHRIA TOWN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 CROWN BEHRIA TOWN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 CROWN BEHRIA TOWN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60</v>
      </c>
      <c r="H16" s="113">
        <f t="shared" ref="H16:M16" si="3">SUM(H7:H15)</f>
        <v>2400</v>
      </c>
      <c r="I16" s="114">
        <f t="shared" si="3"/>
        <v>150123</v>
      </c>
      <c r="J16" s="274">
        <f>SUM(J7:J15)</f>
        <v>21017.22</v>
      </c>
      <c r="K16" s="275">
        <f t="shared" si="3"/>
        <v>5254.3050000000003</v>
      </c>
      <c r="L16" s="276">
        <f t="shared" si="3"/>
        <v>0</v>
      </c>
      <c r="M16" s="232">
        <f t="shared" si="3"/>
        <v>123851.47499999999</v>
      </c>
      <c r="N16" s="233">
        <f>SUM(N7:N15)</f>
        <v>28372.881355932201</v>
      </c>
      <c r="O16" s="101">
        <f>SUM(O7:O15)</f>
        <v>761.12178177966098</v>
      </c>
      <c r="P16" s="113">
        <f>SUM(P7:P15)</f>
        <v>152985.47813771185</v>
      </c>
      <c r="Q16" s="128">
        <f>SUM(Q7:Q15)</f>
        <v>0</v>
      </c>
      <c r="R16" s="314">
        <v>14</v>
      </c>
      <c r="S16" s="300" t="str">
        <f>+'14'!A6:A6</f>
        <v>EURO STORE CROWN BEHRIA TOWN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CROWN BEHRIA TOWN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CROWN BEHRIA TOWN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150123</v>
      </c>
      <c r="R19" s="299">
        <v>17</v>
      </c>
      <c r="S19" s="300" t="str">
        <f>+'17'!A6:A6</f>
        <v>EURO STORE CROWN BEHRIA TOWN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21017.22</v>
      </c>
      <c r="R20" s="299">
        <v>18</v>
      </c>
      <c r="S20" s="300" t="str">
        <f>+'18'!A6:A6</f>
        <v>EURO STORE CROWN BEHRIA TOWN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5254.3050000000003</v>
      </c>
      <c r="R21" s="299">
        <v>19</v>
      </c>
      <c r="S21" s="300" t="str">
        <f>+'19'!A6:A6</f>
        <v>EURO STORE CROWN BEHRIA TOWN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123851.47500000001</v>
      </c>
      <c r="R22" s="299">
        <v>20</v>
      </c>
      <c r="S22" s="300" t="str">
        <f>+'20'!A6:A6</f>
        <v>EURO STORE CROWN BEHRIA TOWN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28372.881355932201</v>
      </c>
      <c r="R23" s="299">
        <v>21</v>
      </c>
      <c r="S23" s="300" t="str">
        <f>+'21'!A6:A6</f>
        <v>EURO STORE CROWN BEHRIA TOWN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152224.35635593219</v>
      </c>
      <c r="R24" s="299">
        <v>22</v>
      </c>
      <c r="S24" s="300" t="str">
        <f>+'22'!A6:A6</f>
        <v>EURO STORE CROWN BEHRIA TOWN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761.12178177966098</v>
      </c>
      <c r="R25" s="299">
        <v>23</v>
      </c>
      <c r="S25" s="300" t="str">
        <f>+'23'!A6:A6</f>
        <v>EURO STORE CROWN BEHRIA TOWN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152985.47813771185</v>
      </c>
      <c r="R26" s="299">
        <v>24</v>
      </c>
      <c r="S26" s="300" t="str">
        <f>+'24'!A6:A6</f>
        <v>EURO STORE CROWN BEHRIA TOWN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EURO STORE CROWN BEHRIA TOWN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CROWN BEHRIA TOWN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CROWN BEHRIA TOWN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CROWN BEHRIA TOWN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CROWN BEHRIA TOWN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CROWN BEHRIA TOWN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152985.47813771185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310">
        <f>M16+N16+O16</f>
        <v>21385.120328389832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400</v>
      </c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311">
        <f t="shared" ref="P17:P24" si="5">M17+N17+O17</f>
        <v>21385.120328389832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400</v>
      </c>
      <c r="I18" s="236">
        <f t="shared" ref="I18:I21" si="7">(G18*D18)*F18+H18*F18</f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311">
        <f t="shared" si="5"/>
        <v>21385.120328389832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311">
        <f t="shared" si="5"/>
        <v>29610.039050847456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400</v>
      </c>
      <c r="I20" s="236">
        <f t="shared" si="7"/>
        <v>29056</v>
      </c>
      <c r="J20" s="272">
        <f t="shared" si="1"/>
        <v>4067.8400000000006</v>
      </c>
      <c r="K20" s="128">
        <f t="shared" si="1"/>
        <v>1016.9600000000002</v>
      </c>
      <c r="L20" s="119">
        <f t="shared" si="1"/>
        <v>0</v>
      </c>
      <c r="M20" s="230">
        <f t="shared" si="2"/>
        <v>23971.199999999997</v>
      </c>
      <c r="N20" s="277">
        <f t="shared" si="3"/>
        <v>5491.5254237288136</v>
      </c>
      <c r="O20" s="239">
        <f t="shared" si="4"/>
        <v>147.31362711864406</v>
      </c>
      <c r="P20" s="311">
        <f t="shared" si="5"/>
        <v>29610.039050847456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311">
        <f t="shared" si="5"/>
        <v>29610.039050847456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150123</v>
      </c>
      <c r="J25" s="274">
        <f>SUM(J16:J24)</f>
        <v>21017.22</v>
      </c>
      <c r="K25" s="275">
        <f t="shared" si="10"/>
        <v>5254.3050000000003</v>
      </c>
      <c r="L25" s="276">
        <f t="shared" si="10"/>
        <v>0</v>
      </c>
      <c r="M25" s="232">
        <f t="shared" si="10"/>
        <v>123851.47499999999</v>
      </c>
      <c r="N25" s="233">
        <f>SUM(N16:N24)</f>
        <v>28372.881355932201</v>
      </c>
      <c r="O25" s="101">
        <f>SUM(O16:O24)</f>
        <v>761.12178177966098</v>
      </c>
      <c r="P25" s="113">
        <f>SUM(P16:P24)</f>
        <v>152985.47813771185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21017.22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5254.3050000000003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123851.47500000001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28372.881355932201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152224.35635593219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761.12178177966098</v>
      </c>
    </row>
    <row r="35" spans="2:16" ht="15.75" customHeight="1" thickBot="1" x14ac:dyDescent="0.4">
      <c r="N35" s="343" t="s">
        <v>88</v>
      </c>
      <c r="O35" s="344"/>
      <c r="P35" s="297">
        <f>+P33+P34</f>
        <v>152985.47813771185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8.7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8.7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46304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46307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2026-10-12T05:04:02Z</dcterms:modified>
</cp:coreProperties>
</file>