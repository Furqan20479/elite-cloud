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583C7F7-46E9-4D4F-AE7D-ED0FABEE8780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5" l="1"/>
  <c r="N4" i="59"/>
  <c r="N4" i="58"/>
  <c r="N4" i="61"/>
  <c r="N5" i="61" s="1"/>
  <c r="N4" i="68"/>
  <c r="N5" i="68" s="1"/>
  <c r="N4" i="63"/>
  <c r="N5" i="11"/>
  <c r="N4" i="51"/>
  <c r="N5" i="51" s="1"/>
  <c r="N4" i="50"/>
  <c r="N4" i="57"/>
  <c r="N4" i="55"/>
  <c r="N5" i="55" s="1"/>
  <c r="N4" i="64"/>
  <c r="N5" i="64" s="1"/>
  <c r="N4" i="70"/>
  <c r="N5" i="70" s="1"/>
  <c r="N4" i="67"/>
  <c r="N5" i="67" s="1"/>
  <c r="N4" i="46"/>
  <c r="N5" i="46" s="1"/>
  <c r="N4" i="53"/>
  <c r="N5" i="53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<sst xmlns="http://schemas.openxmlformats.org/spreadsheetml/2006/main" count="3947" uniqueCount="518">
  <si>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</si>
  <si>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</si>
  <si>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</si>
  <si>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</si>
  <si>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</si>
  <si>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</si>
  <si>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</si>
  <si>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</si>
  <si>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</si>
  <si>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</si>
  <si>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</si>
  <si>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</si>
  <si>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</si>
  <si>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</si>
  <si>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</si>
  <si>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</si>
  <si>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</si>
  <si>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</si>
  <si>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</si>
  <si>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</si>
  <si>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</si>
  <si>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</si>
  <si>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</si>
  <si>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</si>
  <si>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</si>
  <si>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</si>
  <si>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</si>
  <si>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</si>
  <si>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</si>
  <si>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</si>
  <si>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</si>
  <si>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</si>
  <si>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</si>
  <si>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</si>
  <si>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</si>
  <si>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</si>
  <si>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</si>
  <si>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</si>
  <si>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</si>
  <si>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</si>
  <si>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</si>
  <si>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</si>
  <si>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</si>
  <si>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</si>
  <si>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</si>
  <si>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</si>
  <si>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</si>
  <si>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</si>
  <si>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</si>
  <si>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</si>
  <si>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</si>
  <si>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</si>
  <si>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</si>
  <si>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</si>
  <si>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</si>
  <si>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</si>
  <si>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</si>
  <si>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</si>
  <si>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</si>
  <si>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</si>
  <si>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</si>
  <si>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</si>
  <si>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</si>
  <si>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</si>
  <si>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</si>
  <si>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</si>
  <si>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</si>
  <si>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</si>
  <si>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</si>
  <si>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</si>
  <si>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</si>
  <si>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</si>
  <si>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</si>
  <si>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</si>
  <si>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</si>
  <si>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</si>
  <si>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</si>
  <si>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</si>
  <si>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</si>
  <si>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</si>
  <si>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</si>
  <si>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</si>
  <si>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</si>
  <si>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</si>
  <si>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</si>
  <si>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</si>
  <si>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</si>
  <si>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</si>
  <si>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</si>
  <si>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</si>
  <si>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</si>
  <si>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</si>
  <si>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</si>
  <si>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</si>
  <si>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</si>
  <si>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</si>
  <si>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</si>
  <si>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</si>
  <si>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</si>
  <si>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</si>
  <si>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</si>
  <si>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</si>
  <si>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</si>
  <si>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</si>
  <si>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</si>
  <si>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</si>
  <si>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</si>
  <si>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</si>
  <si>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</si>
  <si>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</si>
  <si>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</si>
  <si>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</si>
  <si>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</si>
  <si>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</si>
  <si>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</si>
  <si>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</si>
  <si>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</si>
  <si>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</si>
  <si>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</si>
  <si>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</si>
  <si>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</si>
  <si>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</si>
  <si>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</si>
  <si>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</si>
  <si>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</si>
  <si>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</si>
  <si>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</si>
  <si>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</si>
  <si>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</si>
  <si>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</si>
  <si>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</si>
  <si>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</si>
  <si>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</si>
  <si>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</si>
  <si>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</si>
  <si>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</si>
  <si>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</si>
  <si>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</si>
  <si>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</si>
  <si>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</si>
  <si>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</si>
  <si>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</si>
  <si>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</si>
  <si>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</si>
  <si>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</si>
  <si>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</si>
  <si>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</si>
  <si>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</si>
  <si>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</si>
  <si>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</si>
  <si>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</si>
  <si>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</si>
  <si>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</si>
  <si>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</si>
  <si>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</si>
  <si>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</si>
  <si>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</si>
  <si>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</si>
  <si>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</si>
  <si>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</si>
  <si>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</si>
  <si>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</si>
  <si>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</si>
  <si>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</si>
  <si>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</si>
  <si>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</si>
  <si>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</si>
  <si>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</si>
  <si>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</si>
  <si>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</si>
  <si>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</si>
  <si>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</si>
  <si>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</si>
  <si>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</si>
  <si>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</si>
  <si>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</si>
  <si>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</si>
  <si>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</si>
  <si>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</si>
  <si>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</si>
  <si>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</si>
  <si>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</si>
  <si>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</si>
  <si>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</si>
  <si>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</si>
  <si>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</si>
  <si>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</si>
  <si>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</si>
  <si>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</si>
  <si>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</si>
  <si>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</si>
  <si>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</si>
  <si>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</si>
  <si>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</si>
  <si>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</si>
  <si>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</si>
  <si>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</si>
  <si>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</si>
  <si>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</si>
  <si>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</si>
  <si>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</si>
  <si>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</si>
  <si>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</si>
  <si>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</si>
  <si>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</si>
  <si>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</si>
  <si>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</si>
  <si>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</si>
  <si>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</si>
  <si>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</si>
  <si>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</si>
  <si>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</si>
  <si>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</si>
  <si>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</si>
  <si>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</si>
  <si>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</si>
  <si>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</si>
  <si>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</si>
  <si>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</si>
  <si>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</si>
  <si>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</si>
  <si>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</si>
  <si>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</si>
  <si>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</si>
  <si>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</si>
  <si>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</si>
  <si>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</si>
  <si>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</si>
  <si>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</si>
  <si>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</si>
  <si>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</si>
  <si>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</si>
  <si>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</si>
  <si>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</si>
  <si>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</si>
  <si>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</si>
  <si>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</si>
  <si>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</si>
  <si>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</si>
  <si>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</si>
  <si>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</si>
  <si>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</si>
  <si>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</si>
  <si>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</si>
  <si>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</si>
  <si>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</si>
  <si>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</si>
  <si>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</si>
  <si>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</si>
  <si>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</si>
  <si>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</si>
  <si>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</si>
  <si>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</si>
  <si>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</si>
  <si>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</si>
  <si>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</si>
  <si>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</si>
  <si>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</si>
  <si>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</si>
  <si>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</si>
  <si>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</si>
  <si>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</si>
  <si>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</si>
  <si>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</si>
  <si>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</si>
  <si>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</si>
  <si>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</si>
  <si>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</si>
  <si>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</si>
  <si>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</si>
  <si>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</si>
  <si>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</si>
  <si>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</si>
  <si>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</si>
  <si>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</si>
  <si>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</si>
  <si>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</si>
  <si>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</si>
  <si>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</si>
  <si>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</si>
  <si>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</si>
  <si>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</si>
  <si>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</si>
  <si>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</si>
  <si>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</si>
  <si>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</si>
  <si>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</si>
  <si>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</si>
  <si>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</si>
  <si>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</si>
  <si>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</si>
  <si>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</si>
  <si>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</si>
  <si>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</si>
  <si>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</si>
  <si>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</si>
  <si>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</si>
  <si>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</si>
  <si>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</si>
  <si>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</si>
  <si>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</si>
  <si>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</si>
  <si>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</si>
  <si>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</si>
  <si>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</si>
  <si>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</si>
  <si>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</si>
  <si>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</si>
  <si>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</si>
  <si>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</si>
  <si>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</si>
  <si>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</si>
  <si>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</si>
  <si>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</si>
  <si>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</si>
  <si>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</si>
  <si>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</si>
  <si>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</si>
  <si>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</si>
  <si>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</si>
  <si>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</si>
  <si>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</si>
  <si>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</si>
  <si>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</si>
  <si>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</si>
  <si>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</si>
  <si>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</si>
  <si>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</si>
  <si>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</si>
  <si>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</si>
  <si>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</si>
  <si>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</si>
  <si>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</si>
  <si>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</si>
  <si>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</si>
  <si>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</si>
  <si>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</si>
  <si>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</si>
  <si>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</si>
  <si>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</si>
  <si>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</si>
  <si>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</si>
  <si>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</si>
  <si>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</si>
  <si>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</si>
  <si>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</si>
  <si>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</si>
  <si>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</si>
  <si>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</si>
  <si>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</si>
  <si>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</si>
  <si>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</si>
  <si>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</si>
  <si>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</si>
  <si>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</si>
  <si>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</si>
  <si>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</si>
  <si>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</si>
  <si>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</si>
  <si>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</si>
  <si>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</si>
  <si>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</si>
  <si>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</si>
  <si>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</si>
  <si>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</si>
  <si>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</si>
  <si>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</si>
  <si>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</si>
  <si>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</si>
  <si>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</si>
  <si>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</si>
  <si>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</si>
  <si>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</si>
  <si>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</si>
  <si>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</si>
  <si>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</si>
  <si>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</si>
  <si>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</si>
  <si>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</si>
  <si>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</si>
  <si>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</si>
  <si>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</si>
  <si>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</si>
  <si>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</si>
  <si>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</si>
  <si>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</si>
  <si>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</si>
  <si>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</si>
  <si>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</si>
  <si>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</si>
  <si>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</si>
  <si>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</si>
  <si>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</si>
  <si>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</si>
  <si>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</si>
  <si>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</si>
  <si>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</si>
  <si>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</si>
  <si>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</si>
  <si>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</si>
  <si>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</si>
  <si>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</si>
  <si>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</si>
  <si>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</si>
  <si>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</si>
  <si>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</si>
  <si>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</si>
  <si>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</si>
  <si>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</si>
  <si>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</si>
  <si>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</si>
  <si>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</si>
  <si>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</si>
  <si>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</si>
  <si>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</si>
  <si>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</si>
  <si>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</si>
  <si>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</si>
  <si>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</si>
  <si>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</si>
  <si>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</si>
  <si>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</si>
  <si>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</si>
  <si>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</si>
  <si>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</si>
  <si>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</si>
  <si>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</si>
  <si>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</si>
  <si>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</si>
  <si>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</si>
  <si>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</si>
  <si>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</si>
  <si>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</si>
  <si>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</si>
  <si>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</si>
  <si>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</si>
  <si>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</si>
  <si>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</si>
  <si>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</si>
  <si>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</si>
  <si>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</si>
  <si>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</si>
  <si>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</si>
  <si>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</si>
  <si>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</si>
  <si>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</si>
  <si>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</si>
  <si>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</si>
  <si>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</si>
  <si>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</si>
  <si>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</si>
  <si>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</si>
  <si>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</si>
  <si>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</si>
  <si>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</si>
  <si>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</si>
  <si>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</si>
  <si>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</si>
  <si>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</si>
  <si>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</si>
  <si>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</si>
  <si>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</si>
  <si>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</si>
  <si>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</si>
  <si>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</si>
  <si>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</si>
  <si>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</si>
  <si>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</si>
  <si>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</si>
  <si>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</si>
  <si>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</si>
  <si>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</si>
  <si>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</si>
  <si>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</si>
  <si>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</si>
  <si>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</si>
  <si>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</si>
  <si>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</si>
  <si>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</si>
  <si>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</si>
  <si>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</si>
  <si>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</si>
  <si>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</si>
  <si>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</si>
  <si>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</si>
  <si>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</si>
  <si>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</si>
  <si>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</si>
  <si>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</si>
  <si>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</si>
  <si>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</si>
  <si>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</si>
  <si>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</si>
  <si>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</si>
  <si>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</si>
  <si>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</si>
  <si>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</si>
  <si>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</si>
  <si>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</si>
  <si>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</si>
  <si>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</si>
  <si>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</si>
  <si>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</si>
  <si>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</si>
  <si>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</si>
  <si>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</si>
  <si>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</si>
  <si>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</si>
  <si>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</si>
  <si>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</si>
  <si>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</si>
  <si>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</si>
  <si>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Address: Adress </t>
  </si>
  <si>
    <t xml:space="preserve">Al Rehmat </t>
  </si>
  <si>
    <t>Al Rehmat Store</t>
  </si>
  <si>
    <t>NTN #: 2167476-7</t>
  </si>
  <si>
    <t>Invoice No # :413</t>
  </si>
  <si>
    <t xml:space="preserve">Address: EME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</si>
</sst>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513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46307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Al Rehmat Store</v>
      </c>
      <c r="T3" s="301">
        <f>+'1'!P35</f>
        <v>5300.6807579237293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Rehmat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Rehmat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Rehmat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Rehmat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Rehmat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Rehmat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Rehmat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Rehmat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Rehmat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Rehmat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Rehmat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 Rehmat Store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2</v>
      </c>
      <c r="H16" s="113">
        <f t="shared" ref="H16:M16" si="3">SUM(H7:H15)</f>
        <v>80</v>
      </c>
      <c r="I16" s="114">
        <f t="shared" si="3"/>
        <v>5004.1000000000004</v>
      </c>
      <c r="J16" s="274">
        <f>SUM(J7:J15)</f>
        <v>500.41</v>
      </c>
      <c r="K16" s="275">
        <f t="shared" si="3"/>
        <v>175.14350000000002</v>
      </c>
      <c r="L16" s="276">
        <f t="shared" si="3"/>
        <v>0</v>
      </c>
      <c r="M16" s="232">
        <f t="shared" si="3"/>
        <v>4328.5465000000004</v>
      </c>
      <c r="N16" s="233">
        <f>SUM(N7:N15)</f>
        <v>945.76271186440658</v>
      </c>
      <c r="O16" s="101">
        <f>SUM(O7:O15)</f>
        <v>26.371546059322032</v>
      </c>
      <c r="P16" s="113">
        <f>SUM(P7:P15)</f>
        <v>5300.6807579237284</v>
      </c>
      <c r="Q16" s="128">
        <f>SUM(Q7:Q15)</f>
        <v>0</v>
      </c>
      <c r="R16" s="313">
        <v>14</v>
      </c>
      <c r="S16" s="315" t="str">
        <f>+'14'!A6:A6</f>
        <v>Al Rehmat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Rehmat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 Rehmat Store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5004.1000000000004</v>
      </c>
      <c r="R19" s="299">
        <v>17</v>
      </c>
      <c r="S19" s="300" t="str">
        <f>+'17'!A6:A6</f>
        <v>Al Rehmat Store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500.41</v>
      </c>
      <c r="R20" s="299">
        <v>18</v>
      </c>
      <c r="S20" s="300" t="str">
        <f>+'18'!A6:A6</f>
        <v>Al Rehmat Store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175.14350000000002</v>
      </c>
      <c r="R21" s="299">
        <v>19</v>
      </c>
      <c r="S21" s="300" t="str">
        <f>+'19'!A6:A6</f>
        <v>Al Rehmat Store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4328.5465000000004</v>
      </c>
      <c r="R22" s="299">
        <v>20</v>
      </c>
      <c r="S22" s="300" t="str">
        <f>+'20'!A6:A6</f>
        <v>Al Rehmat Store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945.76271186440658</v>
      </c>
      <c r="R23" s="299">
        <v>21</v>
      </c>
      <c r="S23" s="300" t="str">
        <f>+'21'!A6:A6</f>
        <v>Al Rehmat Store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5274.3092118644072</v>
      </c>
      <c r="R24" s="299">
        <v>22</v>
      </c>
      <c r="S24" s="300" t="str">
        <f>+'22'!A6:A6</f>
        <v>Al Rehmat Store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26.371546059322032</v>
      </c>
      <c r="R25" s="299">
        <v>23</v>
      </c>
      <c r="S25" s="300" t="str">
        <f>+'23'!A6:A6</f>
        <v>Al Rehmat Store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5300.6807579237293</v>
      </c>
      <c r="R26" s="299">
        <v>24</v>
      </c>
      <c r="S26" s="300" t="str">
        <f>+'24'!A6:A6</f>
        <v>Al Rehmat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Al Rehmat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Al Rehmat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Al Rehmat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Al Rehmat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Al Rehmat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Al Rehmat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5300.6807579237293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500.41</v>
      </c>
      <c r="K25" s="275">
        <f t="shared" si="10"/>
        <v>175.14350000000002</v>
      </c>
      <c r="L25" s="276">
        <f t="shared" si="10"/>
        <v>0</v>
      </c>
      <c r="M25" s="232">
        <f t="shared" si="10"/>
        <v>4328.5465000000004</v>
      </c>
      <c r="N25" s="233">
        <f>SUM(N16:N24)</f>
        <v>945.76271186440658</v>
      </c>
      <c r="O25" s="101">
        <f>SUM(O16:O24)</f>
        <v>26.371546059322032</v>
      </c>
      <c r="P25" s="234">
        <f>SUM(P16:P24)</f>
        <v>5300.6807579237284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5004.1000000000004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500.41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175.14350000000002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4328.5465000000004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5274.3092118644072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26.371546059322036</v>
      </c>
    </row>
    <row r="35" spans="2:16" ht="15.75" customHeight="1" thickBot="1" x14ac:dyDescent="0.4">
      <c r="N35" s="375" t="s">
        <v>88</v>
      </c>
      <c r="O35" s="376"/>
      <c r="P35" s="297">
        <f>+P33+P34</f>
        <v>5300.6807579237293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46304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 xml:space="preserve">Al Rehmat 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46308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46307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2026-10-12T05:03:18Z</dcterms:modified>
</cp:coreProperties>
</file>