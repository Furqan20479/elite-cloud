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02D3C80-A29E-4036-9648-28D6F887F1A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K12" i="62"/>
  <c r="M20" i="47"/>
  <c r="O20" i="47" s="1"/>
  <c r="P20" i="47" s="1"/>
  <c r="M21" i="47"/>
  <c r="O21" i="47" s="1"/>
  <c r="P21" i="47" s="1"/>
  <c r="J7" i="62"/>
  <c r="M17" i="44"/>
  <c r="O17" i="44" s="1"/>
  <c r="P17" i="44" s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<sst xmlns="http://schemas.openxmlformats.org/spreadsheetml/2006/main" count="3948" uniqueCount="529">
  <si>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</si>
  <si>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</si>
  <si>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</si>
  <si>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</si>
  <si>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</si>
  <si>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</si>
  <si>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</si>
  <si>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</si>
  <si>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</si>
  <si>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</si>
  <si>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</si>
  <si>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</si>
  <si>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</si>
  <si>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</si>
  <si>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</si>
  <si>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</si>
  <si>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</si>
  <si>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</si>
  <si>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</si>
  <si>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</si>
  <si>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</si>
  <si>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</si>
  <si>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</si>
  <si>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</si>
  <si>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</si>
  <si>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</si>
  <si>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</si>
  <si>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</si>
  <si>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</si>
  <si>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</si>
  <si>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</si>
  <si>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</si>
  <si>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</si>
  <si>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</si>
  <si>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</si>
  <si>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</si>
  <si>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</si>
  <si>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</si>
  <si>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</si>
  <si>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</si>
  <si>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</si>
  <si>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</si>
  <si>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</si>
  <si>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</si>
  <si>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</si>
  <si>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</si>
  <si>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</si>
  <si>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</si>
  <si>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</si>
  <si>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</si>
  <si>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</si>
  <si>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</si>
  <si>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</si>
  <si>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</si>
  <si>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</si>
  <si>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</si>
  <si>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</si>
  <si>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</si>
  <si>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</si>
  <si>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</si>
  <si>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</si>
  <si>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</si>
  <si>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</si>
  <si>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</si>
  <si>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</si>
  <si>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</si>
  <si>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</si>
  <si>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</si>
  <si>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</si>
  <si>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</si>
  <si>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</si>
  <si>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</si>
  <si>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</si>
  <si>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</si>
  <si>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</si>
  <si>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</si>
  <si>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</si>
  <si>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</si>
  <si>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</si>
  <si>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</si>
  <si>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</si>
  <si>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</si>
  <si>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</si>
  <si>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</si>
  <si>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</si>
  <si>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</si>
  <si>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</si>
  <si>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</si>
  <si>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</si>
  <si>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</si>
  <si>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</si>
  <si>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</si>
  <si>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</si>
  <si>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</si>
  <si>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</si>
  <si>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</si>
  <si>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</si>
  <si>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</si>
  <si>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</si>
  <si>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</si>
  <si>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</si>
  <si>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</si>
  <si>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</si>
  <si>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</si>
  <si>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</si>
  <si>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</si>
  <si>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</si>
  <si>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</si>
  <si>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</si>
  <si>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</si>
  <si>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</si>
  <si>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</si>
  <si>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</si>
  <si>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</si>
  <si>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</si>
  <si>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</si>
  <si>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</si>
  <si>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</si>
  <si>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</si>
  <si>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</si>
  <si>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</si>
  <si>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</si>
  <si>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</si>
  <si>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</si>
  <si>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</si>
  <si>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</si>
  <si>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</si>
  <si>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</si>
  <si>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</si>
  <si>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</si>
  <si>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</si>
  <si>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</si>
  <si>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</si>
  <si>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</si>
  <si>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</si>
  <si>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</si>
  <si>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</si>
  <si>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</si>
  <si>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</si>
  <si>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</si>
  <si>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</si>
  <si>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</si>
  <si>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</si>
  <si>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</si>
  <si>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</si>
  <si>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</si>
  <si>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</si>
  <si>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</si>
  <si>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</si>
  <si>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</si>
  <si>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</si>
  <si>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</si>
  <si>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</si>
  <si>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</si>
  <si>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</si>
  <si>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</si>
  <si>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</si>
  <si>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</si>
  <si>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</si>
  <si>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</si>
  <si>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</si>
  <si>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</si>
  <si>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</si>
  <si>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</si>
  <si>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</si>
  <si>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</si>
  <si>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</si>
  <si>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</si>
  <si>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</si>
  <si>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</si>
  <si>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</si>
  <si>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</si>
  <si>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</si>
  <si>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</si>
  <si>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</si>
  <si>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</si>
  <si>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</si>
  <si>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</si>
  <si>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</si>
  <si>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</si>
  <si>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</si>
  <si>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</si>
  <si>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</si>
  <si>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</si>
  <si>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</si>
  <si>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</si>
  <si>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</si>
  <si>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</si>
  <si>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</si>
  <si>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</si>
  <si>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</si>
  <si>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</si>
  <si>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</si>
  <si>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</si>
  <si>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</si>
  <si>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</si>
  <si>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</si>
  <si>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</si>
  <si>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</si>
  <si>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</si>
  <si>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</si>
  <si>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</si>
  <si>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</si>
  <si>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</si>
  <si>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</si>
  <si>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</si>
  <si>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</si>
  <si>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</si>
  <si>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</si>
  <si>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</si>
  <si>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</si>
  <si>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</si>
  <si>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</si>
  <si>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</si>
  <si>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</si>
  <si>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</si>
  <si>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</si>
  <si>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</si>
  <si>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</si>
  <si>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</si>
  <si>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</si>
  <si>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</si>
  <si>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</si>
  <si>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</si>
  <si>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</si>
  <si>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</si>
  <si>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</si>
  <si>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</si>
  <si>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</si>
  <si>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</si>
  <si>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</si>
  <si>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</si>
  <si>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</si>
  <si>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</si>
  <si>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</si>
  <si>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</si>
  <si>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</si>
  <si>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</si>
  <si>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</si>
  <si>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</si>
  <si>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</si>
  <si>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</si>
  <si>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</si>
  <si>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</si>
  <si>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</si>
  <si>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</si>
  <si>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</si>
  <si>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</si>
  <si>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</si>
  <si>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</si>
  <si>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</si>
  <si>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</si>
  <si>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</si>
  <si>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</si>
  <si>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</si>
  <si>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</si>
  <si>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</si>
  <si>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</si>
  <si>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</si>
  <si>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</si>
  <si>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</si>
  <si>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</si>
  <si>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</si>
  <si>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</si>
  <si>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</si>
  <si>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</si>
  <si>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</si>
  <si>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</si>
  <si>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</si>
  <si>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</si>
  <si>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</si>
  <si>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</si>
  <si>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</si>
  <si>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</si>
  <si>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</si>
  <si>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</si>
  <si>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</si>
  <si>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</si>
  <si>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</si>
  <si>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</si>
  <si>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</si>
  <si>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</si>
  <si>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</si>
  <si>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</si>
  <si>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</si>
  <si>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</si>
  <si>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</si>
  <si>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</si>
  <si>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</si>
  <si>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</si>
  <si>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</si>
  <si>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</si>
  <si>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</si>
  <si>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</si>
  <si>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</si>
  <si>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</si>
  <si>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</si>
  <si>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</si>
  <si>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</si>
  <si>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</si>
  <si>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</si>
  <si>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</si>
  <si>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</si>
  <si>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</si>
  <si>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</si>
  <si>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</si>
  <si>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</si>
  <si>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</si>
  <si>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</si>
  <si>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</si>
  <si>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</si>
  <si>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</si>
  <si>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</si>
  <si>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</si>
  <si>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</si>
  <si>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</si>
  <si>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</si>
  <si>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</si>
  <si>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</si>
  <si>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</si>
  <si>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</si>
  <si>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</si>
  <si>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</si>
  <si>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</si>
  <si>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</si>
  <si>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</si>
  <si>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</si>
  <si>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</si>
  <si>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</si>
  <si>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</si>
  <si>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</si>
  <si>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</si>
  <si>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</si>
  <si>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</si>
  <si>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</si>
  <si>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</si>
  <si>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</si>
  <si>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</si>
  <si>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</si>
  <si>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</si>
  <si>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</si>
  <si>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</si>
  <si>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</si>
  <si>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</si>
  <si>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</si>
  <si>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</si>
  <si>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</si>
  <si>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</si>
  <si>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</si>
  <si>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</si>
  <si>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</si>
  <si>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</si>
  <si>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</si>
  <si>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</si>
  <si>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</si>
  <si>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</si>
  <si>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</si>
  <si>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</si>
  <si>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</si>
  <si>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</si>
  <si>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</si>
  <si>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</si>
  <si>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</si>
  <si>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</si>
  <si>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</si>
  <si>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</si>
  <si>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</si>
  <si>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</si>
  <si>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</si>
  <si>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</si>
  <si>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</si>
  <si>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</si>
  <si>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</si>
  <si>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</si>
  <si>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</si>
  <si>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</si>
  <si>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</si>
  <si>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</si>
  <si>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</si>
  <si>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</si>
  <si>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</si>
  <si>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</si>
  <si>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</si>
  <si>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</si>
  <si>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</si>
  <si>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</si>
  <si>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</si>
  <si>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</si>
  <si>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</si>
  <si>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</si>
  <si>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</si>
  <si>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</si>
  <si>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</si>
  <si>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</si>
  <si>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</si>
  <si>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</si>
  <si>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</si>
  <si>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</si>
  <si>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</si>
  <si>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</si>
  <si>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</si>
  <si>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</si>
  <si>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</si>
  <si>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</si>
  <si>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</si>
  <si>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</si>
  <si>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</si>
  <si>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</si>
  <si>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</si>
  <si>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</si>
  <si>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</si>
  <si>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</si>
  <si>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</si>
  <si>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</si>
  <si>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</si>
  <si>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</si>
  <si>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</si>
  <si>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</si>
  <si>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</si>
  <si>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</si>
  <si>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</si>
  <si>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</si>
  <si>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</si>
  <si>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</si>
  <si>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</si>
  <si>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</si>
  <si>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</si>
  <si>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</si>
  <si>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</si>
  <si>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</si>
  <si>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</si>
  <si>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</si>
  <si>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</si>
  <si>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</si>
  <si>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</si>
  <si>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</si>
  <si>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</si>
  <si>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</si>
  <si>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</si>
  <si>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</si>
  <si>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</si>
  <si>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</si>
  <si>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</si>
  <si>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</si>
  <si>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</si>
  <si>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</si>
  <si>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</si>
  <si>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</si>
  <si>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</si>
  <si>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</si>
  <si>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</si>
  <si>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</si>
  <si>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</si>
  <si>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</si>
  <si>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</si>
  <si>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</si>
  <si>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</si>
  <si>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</si>
  <si>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</si>
  <si>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</si>
  <si>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</si>
  <si>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</si>
  <si>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</si>
  <si>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</si>
  <si>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</si>
  <si>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</si>
  <si>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</si>
  <si>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</si>
  <si>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</si>
  <si>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</si>
  <si>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</si>
  <si>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</si>
  <si>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</si>
  <si>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</si>
  <si>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</si>
  <si>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</si>
  <si>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</si>
  <si>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</si>
  <si>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</si>
  <si>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</si>
  <si>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</si>
  <si>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</si>
  <si>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</si>
  <si>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</si>
  <si>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</si>
  <si>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</si>
  <si>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</si>
  <si>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</si>
  <si>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</si>
  <si>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</si>
  <si>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</si>
  <si>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</si>
  <si>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</si>
  <si>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</si>
  <si>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</si>
  <si>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</si>
  <si>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</si>
  <si>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</si>
  <si>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</si>
  <si>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</si>
  <si>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</si>
  <si>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</si>
  <si>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</si>
  <si>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</si>
  <si>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</si>
  <si>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</si>
  <si>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</si>
  <si>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</si>
  <si>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</si>
  <si>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</si>
  <si>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</si>
  <si>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</si>
  <si>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</si>
  <si>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</si>
  <si>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</si>
  <si>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Address: Central Park </t>
  </si>
  <si>
    <t xml:space="preserve">Bajwa Center </t>
  </si>
  <si>
    <t xml:space="preserve">S.A Cash &amp; Carry </t>
  </si>
  <si>
    <t xml:space="preserve">Bajwa Mart </t>
  </si>
  <si>
    <t xml:space="preserve">Al Taj Mart </t>
  </si>
  <si>
    <t>Hafiz Super Store</t>
  </si>
  <si>
    <t xml:space="preserve">Altaf Cash &amp; Carry </t>
  </si>
  <si>
    <t xml:space="preserve">Al Faisal Mart </t>
  </si>
  <si>
    <t xml:space="preserve">Address: Behria Nasheman </t>
  </si>
  <si>
    <t>Euro Store</t>
  </si>
  <si>
    <t xml:space="preserve">Address: Walton </t>
  </si>
  <si>
    <t xml:space="preserve">Al Noor Bakery </t>
  </si>
  <si>
    <t xml:space="preserve">Address: G Block Market </t>
  </si>
  <si>
    <t>Sufiyan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</si>
</sst>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D40" sqref="D4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Bajwa Center </v>
      </c>
      <c r="T3" s="301">
        <f>+'1'!P35</f>
        <v>7666.3147507627118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S.A Cash &amp; Carry </v>
      </c>
      <c r="T4" s="301">
        <f>+'2'!P35</f>
        <v>5401.2631679237275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Bajwa Mart </v>
      </c>
      <c r="T5" s="301">
        <f>+'3'!P35</f>
        <v>2038.5464245550845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Al Taj Mart 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212</v>
      </c>
      <c r="I7" s="235">
        <f>(G7*D7)*F7+H7*F7</f>
        <v>11122.05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994.68899999999996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389.27175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9738.0892499999991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2102.0338983050838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59.200615741525425</v>
      </c>
      <c r="P7" s="310">
        <f>M7+N7+O7</f>
        <v>11899.323764046609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Hafiz Super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122</v>
      </c>
      <c r="I8" s="236">
        <f t="shared" ref="I8:I14" si="0">(G8*D8)*F8+H8*F8</f>
        <v>6400.4250000000002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574.98900000000003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224.01487500000002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5601.4211249999998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1209.6610169491519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34.055410709745765</v>
      </c>
      <c r="P8" s="311">
        <f t="shared" ref="P8:P15" si="2">M8+N8+O8</f>
        <v>6845.1375526588972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Altaf Cash &amp; Carry </v>
      </c>
      <c r="T8" s="301">
        <f>+'6'!P35</f>
        <v>13679.170540932206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262</v>
      </c>
      <c r="I9" s="236">
        <f t="shared" si="0"/>
        <v>13745.174999999999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1204.5389999999998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481.08112499999999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12059.554875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2597.7966101694901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73.286757425847455</v>
      </c>
      <c r="P9" s="311">
        <f t="shared" si="2"/>
        <v>14730.638242595336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Al Faisal Mart </v>
      </c>
      <c r="T9" s="301">
        <f>+'7'!P35</f>
        <v>4530.103165677966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165</v>
      </c>
      <c r="I10" s="236">
        <f t="shared" si="0"/>
        <v>11985.6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1104.1279999999999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419.49600000000009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10461.976000000001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2265.2542372881358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63.636151186440671</v>
      </c>
      <c r="P10" s="311">
        <f t="shared" si="2"/>
        <v>12790.866388474578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Euro Store</v>
      </c>
      <c r="T10" s="301">
        <f>+'8'!P35</f>
        <v>15751.168658771187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105</v>
      </c>
      <c r="I11" s="236">
        <f t="shared" si="0"/>
        <v>7627.2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755.45600000000002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266.952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6604.7919999999995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1441.5254237288136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40.231587118644072</v>
      </c>
      <c r="P11" s="311">
        <f t="shared" si="2"/>
        <v>8086.5490108474569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Al Noor Bakery 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130</v>
      </c>
      <c r="I12" s="236">
        <f t="shared" si="0"/>
        <v>9443.2000000000007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900.73599999999999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330.51200000000006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8211.9520000000011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1784.7457627118647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49.983488813559319</v>
      </c>
      <c r="P12" s="311">
        <f t="shared" si="2"/>
        <v>10046.681251525424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Sufiyan Mart</v>
      </c>
      <c r="T12" s="301">
        <f>+'10'!P35</f>
        <v>7666.3147507627118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24.9</v>
      </c>
      <c r="H16" s="113">
        <f t="shared" ref="H16:M16" si="3">SUM(H7:H15)</f>
        <v>996</v>
      </c>
      <c r="I16" s="114">
        <f t="shared" si="3"/>
        <v>60323.649999999994</v>
      </c>
      <c r="J16" s="274">
        <f>SUM(J7:J15)</f>
        <v>5534.5369999999994</v>
      </c>
      <c r="K16" s="275">
        <f t="shared" si="3"/>
        <v>2111.3277499999999</v>
      </c>
      <c r="L16" s="276">
        <f t="shared" si="3"/>
        <v>0</v>
      </c>
      <c r="M16" s="232">
        <f t="shared" si="3"/>
        <v>52677.785250000001</v>
      </c>
      <c r="N16" s="233">
        <f>SUM(N7:N15)</f>
        <v>11401.016949152541</v>
      </c>
      <c r="O16" s="101">
        <f>SUM(O7:O15)</f>
        <v>320.39401099576276</v>
      </c>
      <c r="P16" s="113">
        <f>SUM(P7:P15)</f>
        <v>64399.196210148293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60323.649999999994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5534.5369999999994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2111.3277499999999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52677.785250000001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11401.016949152541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64078.802199152546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320.39401099576276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64399.196210148308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64399.196210148308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7102.6</v>
      </c>
      <c r="J25" s="274">
        <f>SUM(J16:J24)</f>
        <v>568.20799999999997</v>
      </c>
      <c r="K25" s="275">
        <f t="shared" si="10"/>
        <v>248.59100000000001</v>
      </c>
      <c r="L25" s="276">
        <f t="shared" si="10"/>
        <v>0</v>
      </c>
      <c r="M25" s="232">
        <f t="shared" si="10"/>
        <v>6285.8010000000013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7102.6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568.20799999999997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248.59100000000001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6285.8010000000004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7628.1738813559323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74" t="s">
        <v>88</v>
      </c>
      <c r="O35" s="375"/>
      <c r="P35" s="297">
        <f>+P33+P34</f>
        <v>7666.3147507627118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26.871956059322038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5004.0999999999995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4428.6284999999989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5374.3912118644057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234">
        <f>SUM(P16:P24)</f>
        <v>2038.5464245550847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1888.6499999999999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151.09199999999998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66.10275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1671.45525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2028.4044025423727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74" t="s">
        <v>88</v>
      </c>
      <c r="O35" s="375"/>
      <c r="P35" s="297">
        <f>+P33+P34</f>
        <v>2038.5464245550845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1291.3799999999999</v>
      </c>
      <c r="K25" s="275">
        <f t="shared" si="7"/>
        <v>451.98300000000006</v>
      </c>
      <c r="L25" s="276">
        <f t="shared" si="7"/>
        <v>0</v>
      </c>
      <c r="M25" s="232">
        <f t="shared" si="7"/>
        <v>11170.437000000002</v>
      </c>
      <c r="N25" s="233">
        <f>SUM(N16:N24)</f>
        <v>2440.6779661016944</v>
      </c>
      <c r="O25" s="101">
        <f>SUM(O16:O24)</f>
        <v>68.055574830508476</v>
      </c>
      <c r="P25" s="234">
        <f>SUM(P16:P24)</f>
        <v>13679.170540932202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12913.800000000001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1291.3799999999999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451.98300000000006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11170.437000000002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13611.114966101697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68.05557483050849</v>
      </c>
    </row>
    <row r="35" spans="2:16" ht="15.75" customHeight="1" thickBot="1" x14ac:dyDescent="0.4">
      <c r="N35" s="374" t="s">
        <v>88</v>
      </c>
      <c r="O35" s="375"/>
      <c r="P35" s="297">
        <f>+P33+P34</f>
        <v>13679.170540932206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335.76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146.89500000000001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3714.3449999999998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4507.5653389830504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4" t="s">
        <v>88</v>
      </c>
      <c r="O35" s="375"/>
      <c r="P35" s="297">
        <f>+P33+P34</f>
        <v>4530.103165677966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230.83500000000001</v>
      </c>
      <c r="K16" s="127">
        <f>$I16*T16</f>
        <v>73.447500000000005</v>
      </c>
      <c r="L16" s="118">
        <f>$I16*U16</f>
        <v>0</v>
      </c>
      <c r="M16" s="229">
        <f>I16-SUM(J16:L16)</f>
        <v>1794.2175</v>
      </c>
      <c r="N16" s="248">
        <f>+(G16*D16+H16)*V16</f>
        <v>396.61016949152526</v>
      </c>
      <c r="O16" s="238">
        <f>(N16+M16)*$O$15</f>
        <v>10.954138347457627</v>
      </c>
      <c r="P16" s="118">
        <f>M16+N16+O16</f>
        <v>2201.7818078389828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230.83500000000001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1794.2175</v>
      </c>
      <c r="N17" s="277">
        <f t="shared" ref="N17:N24" si="3">+(G17*D17+H17)*V17</f>
        <v>396.61016949152526</v>
      </c>
      <c r="O17" s="239">
        <f t="shared" ref="O17:O24" si="4">(N17+M17)*$O$15</f>
        <v>10.954138347457627</v>
      </c>
      <c r="P17" s="119">
        <f t="shared" ref="P17:P24" si="5">M17+N17+O17</f>
        <v>2201.7818078389828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230.83500000000001</v>
      </c>
      <c r="K18" s="128">
        <f t="shared" si="1"/>
        <v>73.447500000000005</v>
      </c>
      <c r="L18" s="119">
        <f t="shared" si="1"/>
        <v>0</v>
      </c>
      <c r="M18" s="230">
        <f t="shared" si="2"/>
        <v>1794.2175</v>
      </c>
      <c r="N18" s="277">
        <f t="shared" si="3"/>
        <v>396.61016949152526</v>
      </c>
      <c r="O18" s="239">
        <f t="shared" si="4"/>
        <v>10.954138347457627</v>
      </c>
      <c r="P18" s="119">
        <f t="shared" si="5"/>
        <v>2201.7818078389828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1651.3530000000001</v>
      </c>
      <c r="K25" s="275">
        <f t="shared" si="7"/>
        <v>525.43050000000005</v>
      </c>
      <c r="L25" s="276">
        <f t="shared" si="7"/>
        <v>0</v>
      </c>
      <c r="M25" s="232">
        <f t="shared" si="7"/>
        <v>12835.516500000002</v>
      </c>
      <c r="N25" s="233">
        <f>SUM(N16:N24)</f>
        <v>2837.2881355932195</v>
      </c>
      <c r="O25" s="101">
        <f>SUM(O16:O24)</f>
        <v>78.364023177966104</v>
      </c>
      <c r="P25" s="234">
        <f>SUM(P16:P24)</f>
        <v>15751.168658771187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1651.3530000000001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12835.5165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15672.80463559322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78.364023177966104</v>
      </c>
    </row>
    <row r="35" spans="2:16" ht="15.75" customHeight="1" thickBot="1" x14ac:dyDescent="0.4">
      <c r="N35" s="374" t="s">
        <v>88</v>
      </c>
      <c r="O35" s="375"/>
      <c r="P35" s="297">
        <f>+P33+P34</f>
        <v>15751.168658771187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568.20799999999997</v>
      </c>
      <c r="K25" s="275">
        <f t="shared" si="7"/>
        <v>248.59100000000001</v>
      </c>
      <c r="L25" s="276">
        <f t="shared" si="7"/>
        <v>0</v>
      </c>
      <c r="M25" s="232">
        <f t="shared" si="7"/>
        <v>6285.8010000000004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7102.6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568.20799999999997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248.59100000000001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6285.8010000000004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7628.1738813559323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74" t="s">
        <v>88</v>
      </c>
      <c r="O35" s="375"/>
      <c r="P35" s="297">
        <f>+P33+P34</f>
        <v>7666.3147507627118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2026-10-12T05:30:10Z</dcterms:modified>
</cp:coreProperties>
</file>