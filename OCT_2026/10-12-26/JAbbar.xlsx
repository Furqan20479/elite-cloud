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150524B-22E8-4178-9F24-4F2FB6B0FBF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<sst xmlns="http://schemas.openxmlformats.org/spreadsheetml/2006/main" count="3948" uniqueCount="527">
  <si>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</si>
  <si>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</si>
  <si>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</si>
  <si>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</si>
  <si>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</si>
  <si>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</si>
  <si>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</si>
  <si>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</si>
  <si>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</si>
  <si>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</si>
  <si>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</si>
  <si>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</si>
  <si>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</si>
  <si>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</si>
  <si>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</si>
  <si>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</si>
  <si>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</si>
  <si>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</si>
  <si>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</si>
  <si>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</si>
  <si>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</si>
  <si>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</si>
  <si>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</si>
  <si>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</si>
  <si>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</si>
  <si>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</si>
  <si>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</si>
  <si>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</si>
  <si>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</si>
  <si>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</si>
  <si>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</si>
  <si>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</si>
  <si>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</si>
  <si>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</si>
  <si>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</si>
  <si>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</si>
  <si>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</si>
  <si>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</si>
  <si>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</si>
  <si>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</si>
  <si>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</si>
  <si>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</si>
  <si>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</si>
  <si>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</si>
  <si>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</si>
  <si>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</si>
  <si>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</si>
  <si>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</si>
  <si>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</si>
  <si>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</si>
  <si>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</si>
  <si>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</si>
  <si>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</si>
  <si>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</si>
  <si>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</si>
  <si>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</si>
  <si>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</si>
  <si>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</si>
  <si>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</si>
  <si>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</si>
  <si>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</si>
  <si>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</si>
  <si>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</si>
  <si>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</si>
  <si>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</si>
  <si>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</si>
  <si>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</si>
  <si>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</si>
  <si>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</si>
  <si>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</si>
  <si>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</si>
  <si>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</si>
  <si>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</si>
  <si>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</si>
  <si>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</si>
  <si>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</si>
  <si>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</si>
  <si>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</si>
  <si>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</si>
  <si>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</si>
  <si>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</si>
  <si>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</si>
  <si>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</si>
  <si>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</si>
  <si>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</si>
  <si>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</si>
  <si>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</si>
  <si>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</si>
  <si>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</si>
  <si>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</si>
  <si>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</si>
  <si>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</si>
  <si>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</si>
  <si>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</si>
  <si>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</si>
  <si>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</si>
  <si>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</si>
  <si>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</si>
  <si>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</si>
  <si>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</si>
  <si>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</si>
  <si>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</si>
  <si>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</si>
  <si>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</si>
  <si>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</si>
  <si>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</si>
  <si>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</si>
  <si>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</si>
  <si>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</si>
  <si>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</si>
  <si>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</si>
  <si>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</si>
  <si>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</si>
  <si>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</si>
  <si>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</si>
  <si>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</si>
  <si>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</si>
  <si>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</si>
  <si>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</si>
  <si>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</si>
  <si>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</si>
  <si>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</si>
  <si>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</si>
  <si>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</si>
  <si>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</si>
  <si>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</si>
  <si>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</si>
  <si>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</si>
  <si>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</si>
  <si>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</si>
  <si>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</si>
  <si>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</si>
  <si>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</si>
  <si>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</si>
  <si>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</si>
  <si>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</si>
  <si>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</si>
  <si>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</si>
  <si>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</si>
  <si>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</si>
  <si>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</si>
  <si>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</si>
  <si>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</si>
  <si>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</si>
  <si>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</si>
  <si>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</si>
  <si>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</si>
  <si>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</si>
  <si>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</si>
  <si>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</si>
  <si>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</si>
  <si>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</si>
  <si>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</si>
  <si>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</si>
  <si>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</si>
  <si>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</si>
  <si>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</si>
  <si>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</si>
  <si>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</si>
  <si>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</si>
  <si>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</si>
  <si>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</si>
  <si>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</si>
  <si>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</si>
  <si>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</si>
  <si>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</si>
  <si>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</si>
  <si>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</si>
  <si>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</si>
  <si>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</si>
  <si>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</si>
  <si>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</si>
  <si>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</si>
  <si>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</si>
  <si>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</si>
  <si>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</si>
  <si>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</si>
  <si>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</si>
  <si>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</si>
  <si>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</si>
  <si>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</si>
  <si>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</si>
  <si>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</si>
  <si>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</si>
  <si>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</si>
  <si>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</si>
  <si>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</si>
  <si>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</si>
  <si>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</si>
  <si>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</si>
  <si>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</si>
  <si>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</si>
  <si>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</si>
  <si>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</si>
  <si>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</si>
  <si>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</si>
  <si>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</si>
  <si>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</si>
  <si>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</si>
  <si>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</si>
  <si>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</si>
  <si>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</si>
  <si>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</si>
  <si>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</si>
  <si>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</si>
  <si>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</si>
  <si>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</si>
  <si>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</si>
  <si>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</si>
  <si>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</si>
  <si>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</si>
  <si>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</si>
  <si>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</si>
  <si>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</si>
  <si>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</si>
  <si>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</si>
  <si>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</si>
  <si>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</si>
  <si>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</si>
  <si>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</si>
  <si>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</si>
  <si>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</si>
  <si>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</si>
  <si>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</si>
  <si>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</si>
  <si>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</si>
  <si>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</si>
  <si>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</si>
  <si>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</si>
  <si>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</si>
  <si>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</si>
  <si>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</si>
  <si>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</si>
  <si>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</si>
  <si>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</si>
  <si>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</si>
  <si>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</si>
  <si>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</si>
  <si>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</si>
  <si>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</si>
  <si>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</si>
  <si>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</si>
  <si>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</si>
  <si>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</si>
  <si>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</si>
  <si>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</si>
  <si>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</si>
  <si>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</si>
  <si>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</si>
  <si>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</si>
  <si>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</si>
  <si>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</si>
  <si>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</si>
  <si>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</si>
  <si>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</si>
  <si>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</si>
  <si>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</si>
  <si>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</si>
  <si>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</si>
  <si>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</si>
  <si>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</si>
  <si>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</si>
  <si>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</si>
  <si>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</si>
  <si>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</si>
  <si>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</si>
  <si>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</si>
  <si>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</si>
  <si>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</si>
  <si>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</si>
  <si>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</si>
  <si>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</si>
  <si>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</si>
  <si>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</si>
  <si>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</si>
  <si>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</si>
  <si>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</si>
  <si>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</si>
  <si>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</si>
  <si>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</si>
  <si>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</si>
  <si>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</si>
  <si>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</si>
  <si>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</si>
  <si>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</si>
  <si>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</si>
  <si>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</si>
  <si>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</si>
  <si>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</si>
  <si>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</si>
  <si>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</si>
  <si>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</si>
  <si>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</si>
  <si>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</si>
  <si>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</si>
  <si>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</si>
  <si>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</si>
  <si>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</si>
  <si>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</si>
  <si>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</si>
  <si>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</si>
  <si>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</si>
  <si>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</si>
  <si>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</si>
  <si>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</si>
  <si>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</si>
  <si>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</si>
  <si>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</si>
  <si>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</si>
  <si>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</si>
  <si>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</si>
  <si>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</si>
  <si>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</si>
  <si>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</si>
  <si>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</si>
  <si>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</si>
  <si>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</si>
  <si>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</si>
  <si>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</si>
  <si>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</si>
  <si>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</si>
  <si>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</si>
  <si>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</si>
  <si>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</si>
  <si>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</si>
  <si>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</si>
  <si>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</si>
  <si>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</si>
  <si>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</si>
  <si>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</si>
  <si>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</si>
  <si>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</si>
  <si>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</si>
  <si>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</si>
  <si>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</si>
  <si>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</si>
  <si>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</si>
  <si>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</si>
  <si>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</si>
  <si>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</si>
  <si>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</si>
  <si>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</si>
  <si>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</si>
  <si>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</si>
  <si>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</si>
  <si>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</si>
  <si>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</si>
  <si>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</si>
  <si>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</si>
  <si>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</si>
  <si>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</si>
  <si>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</si>
  <si>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</si>
  <si>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</si>
  <si>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</si>
  <si>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</si>
  <si>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</si>
  <si>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</si>
  <si>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</si>
  <si>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</si>
  <si>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</si>
  <si>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</si>
  <si>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</si>
  <si>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</si>
  <si>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</si>
  <si>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</si>
  <si>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</si>
  <si>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</si>
  <si>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</si>
  <si>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</si>
  <si>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</si>
  <si>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</si>
  <si>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</si>
  <si>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</si>
  <si>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</si>
  <si>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</si>
  <si>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</si>
  <si>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</si>
  <si>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</si>
  <si>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</si>
  <si>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</si>
  <si>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</si>
  <si>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</si>
  <si>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</si>
  <si>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</si>
  <si>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</si>
  <si>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</si>
  <si>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</si>
  <si>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</si>
  <si>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</si>
  <si>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</si>
  <si>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</si>
  <si>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</si>
  <si>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</si>
  <si>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</si>
  <si>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</si>
  <si>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</si>
  <si>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</si>
  <si>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</si>
  <si>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</si>
  <si>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</si>
  <si>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</si>
  <si>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</si>
  <si>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</si>
  <si>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</si>
  <si>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</si>
  <si>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</si>
  <si>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</si>
  <si>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</si>
  <si>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</si>
  <si>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</si>
  <si>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</si>
  <si>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</si>
  <si>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</si>
  <si>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</si>
  <si>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</si>
  <si>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</si>
  <si>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</si>
  <si>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</si>
  <si>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</si>
  <si>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</si>
  <si>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</si>
  <si>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</si>
  <si>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</si>
  <si>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</si>
  <si>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</si>
  <si>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</si>
  <si>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</si>
  <si>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</si>
  <si>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</si>
  <si>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</si>
  <si>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</si>
  <si>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</si>
  <si>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</si>
  <si>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</si>
  <si>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</si>
  <si>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</si>
  <si>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</si>
  <si>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</si>
  <si>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</si>
  <si>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</si>
  <si>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</si>
  <si>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</si>
  <si>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</si>
  <si>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</si>
  <si>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</si>
  <si>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</si>
  <si>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</si>
  <si>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</si>
  <si>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</si>
  <si>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</si>
  <si>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</si>
  <si>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</si>
  <si>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</si>
  <si>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</si>
  <si>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</si>
  <si>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</si>
  <si>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</si>
  <si>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</si>
  <si>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</si>
  <si>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</si>
  <si>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</si>
  <si>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</si>
  <si>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</si>
  <si>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</si>
  <si>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</si>
  <si>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</si>
  <si>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</si>
  <si>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</si>
  <si>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</si>
  <si>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</si>
  <si>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</si>
  <si>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</si>
  <si>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</si>
  <si>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</si>
  <si>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</si>
  <si>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</si>
  <si>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</si>
  <si>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</si>
  <si>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</si>
  <si>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</si>
  <si>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</si>
  <si>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</si>
  <si>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</si>
  <si>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</si>
  <si>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</si>
  <si>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</si>
  <si>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</si>
  <si>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</si>
  <si>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</si>
  <si>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</si>
  <si>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</si>
  <si>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</si>
  <si>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</si>
  <si>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</si>
  <si>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</si>
  <si>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</si>
  <si>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</si>
  <si>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</si>
  <si>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</si>
  <si>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</si>
  <si>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</si>
  <si>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</si>
  <si>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</si>
  <si>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</si>
  <si>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</si>
  <si>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</si>
  <si>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</si>
  <si>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</si>
  <si>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</si>
  <si>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</si>
  <si>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</si>
  <si>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</si>
  <si>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</si>
  <si>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</si>
  <si>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Shell Pump</t>
  </si>
  <si>
    <t xml:space="preserve">Address: Shimla Pahari </t>
  </si>
  <si>
    <t xml:space="preserve">Nazeer Sons </t>
  </si>
  <si>
    <t xml:space="preserve">Address: Qilla Gujjer Singh </t>
  </si>
  <si>
    <t>Mehboob Store</t>
  </si>
  <si>
    <t>Sheikh store</t>
  </si>
  <si>
    <t xml:space="preserve">Address: Gealmandi </t>
  </si>
  <si>
    <t>Al Mehboob Store</t>
  </si>
  <si>
    <t>Haris Store</t>
  </si>
  <si>
    <t>Araf Store</t>
  </si>
  <si>
    <t>Arfan Store</t>
  </si>
  <si>
    <t>Arham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</si>
</sst>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J33" sqref="J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Shell Pump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Nazeer Sons </v>
      </c>
      <c r="T4" s="301">
        <f>+'2'!P35</f>
        <v>1960.136687802966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Mehboob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Sheikh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Mehboob Store</v>
      </c>
      <c r="T7" s="301">
        <f>+'5'!P35</f>
        <v>1568.1057925423729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Haris Store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</v>
      </c>
      <c r="I9" s="236">
        <f t="shared" si="0"/>
        <v>314.77499999999998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25.181999999999999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11.017125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278.575875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59.491525423728788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1.6903370021186439</v>
      </c>
      <c r="P9" s="311">
        <f t="shared" si="2"/>
        <v>339.75773742584744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Araf Store</v>
      </c>
      <c r="T9" s="301">
        <f>+'7'!P35</f>
        <v>1019.2687651525424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53</v>
      </c>
      <c r="I10" s="236">
        <f t="shared" si="0"/>
        <v>3849.92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307.99360000000001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134.74720000000002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3407.1792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727.62711864406788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20.674031593220342</v>
      </c>
      <c r="P10" s="311">
        <f t="shared" si="2"/>
        <v>4155.4803502372879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Arfan Store</v>
      </c>
      <c r="T10" s="301">
        <f>+'8'!P35</f>
        <v>1019.2687651525424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53</v>
      </c>
      <c r="I11" s="236">
        <f t="shared" si="0"/>
        <v>3849.92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307.99360000000001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134.74720000000002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3407.1792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727.62711864406788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20.674031593220342</v>
      </c>
      <c r="P11" s="311">
        <f t="shared" si="2"/>
        <v>4155.4803502372879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Arham Store</v>
      </c>
      <c r="T11" s="301">
        <f>+'9'!P35</f>
        <v>1097.674054779661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106</v>
      </c>
      <c r="I12" s="236">
        <f t="shared" si="0"/>
        <v>7699.84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615.98720000000003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269.49440000000004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6814.3584000000001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1455.2542372881355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41.348063186440676</v>
      </c>
      <c r="P12" s="311">
        <f t="shared" si="2"/>
        <v>8310.9607004745758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5.75</v>
      </c>
      <c r="H16" s="113">
        <f t="shared" ref="H16:M16" si="3">SUM(H7:H15)</f>
        <v>230</v>
      </c>
      <c r="I16" s="114">
        <f t="shared" si="3"/>
        <v>16344.005000000001</v>
      </c>
      <c r="J16" s="274">
        <f>SUM(J7:J15)</f>
        <v>1307.5204000000001</v>
      </c>
      <c r="K16" s="275">
        <f t="shared" si="3"/>
        <v>572.04017500000009</v>
      </c>
      <c r="L16" s="276">
        <f t="shared" si="3"/>
        <v>0</v>
      </c>
      <c r="M16" s="232">
        <f t="shared" si="3"/>
        <v>14464.444425000002</v>
      </c>
      <c r="N16" s="233">
        <f>SUM(N7:N15)</f>
        <v>3088.9830508474579</v>
      </c>
      <c r="O16" s="101">
        <f>SUM(O7:O15)</f>
        <v>87.767137379237283</v>
      </c>
      <c r="P16" s="113">
        <f>SUM(P7:P15)</f>
        <v>17641.194613226697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16344.005000000001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1307.5204000000001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572.04017500000009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14464.444425000002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3088.9830508474579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17553.42747584746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87.767137379237283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17641.194613226697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17641.1946132267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464.89600000000002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1816.0050000000001</v>
      </c>
      <c r="J25" s="274">
        <f>SUM(J16:J24)</f>
        <v>145.28039999999999</v>
      </c>
      <c r="K25" s="275">
        <f t="shared" si="7"/>
        <v>63.560175000000001</v>
      </c>
      <c r="L25" s="276">
        <f t="shared" si="7"/>
        <v>0</v>
      </c>
      <c r="M25" s="232">
        <f t="shared" si="7"/>
        <v>1607.1644249999999</v>
      </c>
      <c r="N25" s="233">
        <f>SUM(N16:N24)</f>
        <v>343.22033898305079</v>
      </c>
      <c r="O25" s="101">
        <f>SUM(O16:O24)</f>
        <v>9.7519238199152536</v>
      </c>
      <c r="P25" s="234">
        <f>SUM(P16:P24)</f>
        <v>1960.1366878029662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1816.0050000000001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145.28039999999999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63.560175000000001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1607.1644249999999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343.22033898305079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1950.3847639830508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9.7519238199152536</v>
      </c>
    </row>
    <row r="35" spans="2:16" ht="15.75" customHeight="1" thickBot="1" x14ac:dyDescent="0.4">
      <c r="N35" s="374" t="s">
        <v>88</v>
      </c>
      <c r="O35" s="375"/>
      <c r="P35" s="297">
        <f>+P33+P34</f>
        <v>1960.136687802966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13</v>
      </c>
      <c r="I25" s="114">
        <f t="shared" si="7"/>
        <v>944.32</v>
      </c>
      <c r="J25" s="274">
        <f>SUM(J16:J24)</f>
        <v>75.545600000000007</v>
      </c>
      <c r="K25" s="275">
        <f t="shared" si="7"/>
        <v>33.051200000000001</v>
      </c>
      <c r="L25" s="276">
        <f t="shared" si="7"/>
        <v>0</v>
      </c>
      <c r="M25" s="232">
        <f t="shared" si="7"/>
        <v>835.72320000000002</v>
      </c>
      <c r="N25" s="233">
        <f>SUM(N16:N24)</f>
        <v>178.47457627118644</v>
      </c>
      <c r="O25" s="101">
        <f>SUM(O16:O24)</f>
        <v>5.070988881355933</v>
      </c>
      <c r="P25" s="234">
        <f>SUM(P16:P24)</f>
        <v>1019.2687651525424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75.545600000000007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33.051200000000001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835.72320000000002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178.47457627118644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1014.1977762711865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5.070988881355933</v>
      </c>
    </row>
    <row r="35" spans="2:16" ht="15.75" customHeight="1" thickBot="1" x14ac:dyDescent="0.4">
      <c r="N35" s="374" t="s">
        <v>88</v>
      </c>
      <c r="O35" s="375"/>
      <c r="P35" s="297">
        <f>+P33+P34</f>
        <v>1019.2687651525424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13</v>
      </c>
      <c r="I25" s="114">
        <f t="shared" si="7"/>
        <v>944.32</v>
      </c>
      <c r="J25" s="274">
        <f>SUM(J16:J24)</f>
        <v>75.545600000000007</v>
      </c>
      <c r="K25" s="275">
        <f t="shared" si="7"/>
        <v>33.051200000000001</v>
      </c>
      <c r="L25" s="276">
        <f t="shared" si="7"/>
        <v>0</v>
      </c>
      <c r="M25" s="232">
        <f t="shared" si="7"/>
        <v>835.72320000000002</v>
      </c>
      <c r="N25" s="233">
        <f>SUM(N16:N24)</f>
        <v>178.47457627118644</v>
      </c>
      <c r="O25" s="101">
        <f>SUM(O16:O24)</f>
        <v>5.070988881355933</v>
      </c>
      <c r="P25" s="234">
        <f>SUM(P16:P24)</f>
        <v>1019.2687651525424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75.545600000000007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33.051200000000001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835.72320000000002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178.47457627118644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1014.1977762711865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5.070988881355933</v>
      </c>
    </row>
    <row r="35" spans="2:16" ht="15.75" customHeight="1" thickBot="1" x14ac:dyDescent="0.4">
      <c r="N35" s="374" t="s">
        <v>88</v>
      </c>
      <c r="O35" s="375"/>
      <c r="P35" s="297">
        <f>+P33+P34</f>
        <v>1019.2687651525424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14</v>
      </c>
      <c r="I25" s="114">
        <f t="shared" si="7"/>
        <v>1016.96</v>
      </c>
      <c r="J25" s="274">
        <f>SUM(J16:J24)</f>
        <v>81.356800000000007</v>
      </c>
      <c r="K25" s="275">
        <f t="shared" si="7"/>
        <v>35.593600000000002</v>
      </c>
      <c r="L25" s="276">
        <f t="shared" si="7"/>
        <v>0</v>
      </c>
      <c r="M25" s="232">
        <f t="shared" si="7"/>
        <v>900.00960000000009</v>
      </c>
      <c r="N25" s="233">
        <f>SUM(N16:N24)</f>
        <v>192.20338983050848</v>
      </c>
      <c r="O25" s="101">
        <f>SUM(O16:O24)</f>
        <v>5.4610649491525427</v>
      </c>
      <c r="P25" s="234">
        <f>SUM(P16:P24)</f>
        <v>1097.6740547796612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1016.96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81.356800000000007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35.593600000000002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900.00959999999998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192.20338983050848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1092.2129898305084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5.4610649491525418</v>
      </c>
    </row>
    <row r="35" spans="2:16" ht="15.75" customHeight="1" thickBot="1" x14ac:dyDescent="0.4">
      <c r="N35" s="374" t="s">
        <v>88</v>
      </c>
      <c r="O35" s="375"/>
      <c r="P35" s="297">
        <f>+P33+P34</f>
        <v>1097.674054779661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2026-10-12T04:38:24Z</dcterms:modified>
</cp:coreProperties>
</file>