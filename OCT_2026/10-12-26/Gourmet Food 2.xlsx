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41B0C4-ECCF-4224-B6AD-95AF7364D598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<sst xmlns="http://schemas.openxmlformats.org/spreadsheetml/2006/main" count="3949" uniqueCount="547">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</sst>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1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20" t="str">
        <f>+'1'!A6:A6</f>
        <v>Gourmet Food K Block DHA</v>
      </c>
      <c r="T3" s="300">
        <f>+'1'!P35</f>
        <v>15223.111006271187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9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20" t="str">
        <f>+'4'!A6:A6</f>
        <v xml:space="preserve">Gourmet Food Railway Plaza </v>
      </c>
      <c r="T6" s="300">
        <f>+'4'!P35</f>
        <v>5074.3703354237296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2644.1099999999997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12045.39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74.108305932203379</v>
      </c>
      <c r="P7" s="309">
        <f>M7+N7+O7</f>
        <v>14895.76949237288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9" t="str">
        <f>+'5'!A6:A6</f>
        <v xml:space="preserve">Gourmet Food Rustam Park 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6883.08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42.347603389830503</v>
      </c>
      <c r="P9" s="310">
        <f t="shared" si="2"/>
        <v>8511.8682813559299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9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21443.328000000001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131.92850440677969</v>
      </c>
      <c r="P10" s="310">
        <f t="shared" si="2"/>
        <v>26517.629385762713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20" t="str">
        <f>+'8'!A6:A6</f>
        <v>Gourmet Food Zaraar Shaheed Road</v>
      </c>
      <c r="T10" s="300">
        <f>+'8'!P35</f>
        <v>8839.2097952542372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5753.0879999999988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26208.511999999999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6040.6779661016963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161.24594983050852</v>
      </c>
      <c r="P11" s="310">
        <f t="shared" si="2"/>
        <v>32410.435915932201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20" t="str">
        <f>+'9'!A6:A6</f>
        <v>Gourmet Food Bedian Road</v>
      </c>
      <c r="T11" s="300">
        <f>+'9'!P35</f>
        <v>13095.143935932207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6799.1039999999985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30973.696000000004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190.56339525423735</v>
      </c>
      <c r="P12" s="310">
        <f t="shared" si="2"/>
        <v>38303.2424461017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8020.7736005084762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13095.143935932207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274">
        <f>H16/40</f>
        <v>48</v>
      </c>
      <c r="H16" s="113">
        <f t="shared" ref="H16:M16" si="3">SUM(H7:H15)</f>
        <v>1920</v>
      </c>
      <c r="I16" s="114">
        <f t="shared" si="3"/>
        <v>127362.3</v>
      </c>
      <c r="J16" s="274">
        <f>SUM(J7:J15)</f>
        <v>22925.213999999996</v>
      </c>
      <c r="K16" s="275">
        <f t="shared" si="3"/>
        <v>0</v>
      </c>
      <c r="L16" s="276">
        <f t="shared" si="3"/>
        <v>0</v>
      </c>
      <c r="M16" s="232">
        <f t="shared" si="3"/>
        <v>104437.08600000001</v>
      </c>
      <c r="N16" s="233">
        <f>SUM(N7:N15)</f>
        <v>24071.186440677968</v>
      </c>
      <c r="O16" s="101">
        <f>SUM(O7:O15)</f>
        <v>642.54136220338989</v>
      </c>
      <c r="P16" s="113">
        <f>SUM(P7:P15)</f>
        <v>129150.81380288137</v>
      </c>
      <c r="Q16" s="128">
        <f>SUM(Q7:Q15)</f>
        <v>0</v>
      </c>
      <c r="R16" s="318">
        <v>14</v>
      </c>
      <c r="S16" s="319" t="str">
        <f>+'14'!A6:A6</f>
        <v xml:space="preserve">Gourmet Food Shadra Town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20" t="str">
        <f>+'16'!A6:A6</f>
        <v xml:space="preserve">Gourmet Food Kot Khuaja Saeed </v>
      </c>
      <c r="T18" s="300">
        <f>+'16'!P35</f>
        <v>8839.2097952542372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127362.3</v>
      </c>
      <c r="R19" s="299">
        <v>17</v>
      </c>
      <c r="S19" s="319" t="str">
        <f>+'17'!A6:A6</f>
        <v xml:space="preserve">Gourmet Food Killa Lakshman singh </v>
      </c>
      <c r="T19" s="300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22925.213999999996</v>
      </c>
      <c r="R20" s="299">
        <v>18</v>
      </c>
      <c r="S20" s="319" t="str">
        <f>+'18'!A6:A6</f>
        <v>Gourmet Food Imamia Colony</v>
      </c>
      <c r="T20" s="300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104437.08600000001</v>
      </c>
      <c r="R22" s="299">
        <v>20</v>
      </c>
      <c r="S22" s="319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24071.186440677968</v>
      </c>
      <c r="R23" s="299">
        <v>21</v>
      </c>
      <c r="S23" s="320" t="str">
        <f>+'21'!A6:A6</f>
        <v>Gourmet Food Nadra Abad</v>
      </c>
      <c r="T23" s="300">
        <f>+'21'!P35</f>
        <v>5892.8065301694915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128508.27244067797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642.54136220338989</v>
      </c>
      <c r="R25" s="299">
        <v>23</v>
      </c>
      <c r="S25" s="320" t="str">
        <f>+'23'!A6:A6</f>
        <v>Gourmet Food FF DHA</v>
      </c>
      <c r="T25" s="300">
        <f>+'23'!P35</f>
        <v>5892.8065301694915</v>
      </c>
    </row>
    <row r="26" spans="1:20" ht="21.75" customHeight="1" thickBot="1" x14ac:dyDescent="0.4">
      <c r="N26" s="345" t="s">
        <v>88</v>
      </c>
      <c r="O26" s="346"/>
      <c r="P26" s="297">
        <f>+P24+P25</f>
        <v>129150.81380288137</v>
      </c>
      <c r="R26" s="299">
        <v>24</v>
      </c>
      <c r="S26" s="320" t="str">
        <f>+'24'!A6:A6</f>
        <v>Gourmet Food Sultanpura</v>
      </c>
      <c r="T26" s="300">
        <f>+'24'!P35</f>
        <v>15223.111006271187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415" t="str">
        <f>+'25'!A6:A6</f>
        <v>Gourmet Food Militery Account</v>
      </c>
      <c r="T27" s="300">
        <f>+'25'!P35</f>
        <v>8020.7736005084762</v>
      </c>
    </row>
    <row r="28" spans="1:20" ht="21.75" customHeight="1" x14ac:dyDescent="0.35">
      <c r="R28" s="299">
        <v>26</v>
      </c>
      <c r="S28" s="320" t="str">
        <f>+'26'!A6:A6</f>
        <v>Gourmet Food Nishat Colony</v>
      </c>
      <c r="T28" s="300">
        <f>+'26'!P35</f>
        <v>13095.143935932207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0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0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0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129150.81380288137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zoomScaleNormal="10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2702.2139999999995</v>
      </c>
      <c r="K25" s="275">
        <f t="shared" si="10"/>
        <v>0</v>
      </c>
      <c r="L25" s="276">
        <f t="shared" si="10"/>
        <v>0</v>
      </c>
      <c r="M25" s="232">
        <f t="shared" si="10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  <c r="F2" t="s">
        <v>516</v>
      </c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4" zoomScaleNormal="100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2324.4839999999995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10589.316000000003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13029.993966101698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5" t="s">
        <v>88</v>
      </c>
      <c r="O35" s="346"/>
      <c r="P35" s="297">
        <f>+P33+P34</f>
        <v>13095.143935932207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2324.4839999999995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10589.316000000003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13029.993966101698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5" t="s">
        <v>88</v>
      </c>
      <c r="O35" s="346"/>
      <c r="P35" s="297">
        <f>+P33+P34</f>
        <v>13095.143935932207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  <c r="S30" s="215"/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0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2324.4839999999995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10589.316000000003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13029.993966101698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5" t="s">
        <v>88</v>
      </c>
      <c r="O35" s="346"/>
      <c r="P35" s="297">
        <f>+P33+P34</f>
        <v>13095.143935932207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1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515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2026-10-12T11:03:38Z</dcterms:modified>
</cp:coreProperties>
</file>