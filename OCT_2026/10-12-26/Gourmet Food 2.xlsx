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79E61FE-3A52-4D93-944A-C968597323C5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6" i="62" l="1"/>
  <c r="S25" i="62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24" i="56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O23" i="48" s="1"/>
  <c r="P23" i="48" s="1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O16" i="66" s="1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<sst xmlns="http://schemas.openxmlformats.org/spreadsheetml/2006/main" count="3949" uniqueCount="547">
  <si>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</si>
  <si>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</si>
  <si>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</si>
  <si>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</si>
  <si>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</si>
  <si>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</si>
  <si>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</si>
  <si>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</si>
  <si>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</si>
  <si>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</si>
  <si>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</si>
  <si>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</si>
  <si>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</si>
  <si>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</si>
  <si>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</si>
  <si>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</si>
  <si>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</si>
  <si>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</si>
  <si>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</si>
  <si>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</si>
  <si>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</si>
  <si>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</si>
  <si>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</si>
  <si>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</si>
  <si>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</si>
  <si>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</si>
  <si>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</si>
  <si>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</si>
  <si>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</si>
  <si>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</si>
  <si>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</si>
  <si>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</si>
  <si>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</si>
  <si>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</si>
  <si>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</si>
  <si>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</si>
  <si>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</si>
  <si>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</si>
  <si>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</si>
  <si>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</si>
  <si>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</si>
  <si>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</si>
  <si>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</si>
  <si>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</si>
  <si>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</si>
  <si>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</si>
  <si>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</si>
  <si>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</si>
  <si>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</si>
  <si>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</si>
  <si>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</si>
  <si>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</si>
  <si>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</si>
  <si>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</si>
  <si>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</si>
  <si>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</si>
  <si>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</si>
  <si>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</si>
  <si>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</si>
  <si>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</si>
  <si>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</si>
  <si>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</si>
  <si>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</si>
  <si>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</si>
  <si>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</si>
  <si>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</si>
  <si>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</si>
  <si>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</si>
  <si>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</si>
  <si>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</si>
  <si>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</si>
  <si>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</si>
  <si>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</si>
  <si>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</si>
  <si>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</si>
  <si>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</si>
  <si>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</si>
  <si>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</si>
  <si>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</si>
  <si>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</si>
  <si>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</si>
  <si>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</si>
  <si>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</si>
  <si>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</si>
  <si>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</si>
  <si>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</si>
  <si>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</si>
  <si>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</si>
  <si>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</si>
  <si>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</si>
  <si>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</si>
  <si>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</si>
  <si>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</si>
  <si>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</si>
  <si>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</si>
  <si>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</si>
  <si>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</si>
  <si>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</si>
  <si>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</si>
  <si>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</si>
  <si>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</si>
  <si>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</si>
  <si>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</si>
  <si>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</si>
  <si>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</si>
  <si>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</si>
  <si>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</si>
  <si>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</si>
  <si>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</si>
  <si>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</si>
  <si>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</si>
  <si>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</si>
  <si>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</si>
  <si>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</si>
  <si>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</si>
  <si>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</si>
  <si>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</si>
  <si>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</si>
  <si>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</si>
  <si>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</si>
  <si>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</si>
  <si>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</si>
  <si>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</si>
  <si>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</si>
  <si>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</si>
  <si>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</si>
  <si>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</si>
  <si>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</si>
  <si>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</si>
  <si>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</si>
  <si>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</si>
  <si>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</si>
  <si>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</si>
  <si>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</si>
  <si>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</si>
  <si>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</si>
  <si>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</si>
  <si>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</si>
  <si>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</si>
  <si>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</si>
  <si>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</si>
  <si>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</si>
  <si>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</si>
  <si>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</si>
  <si>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</si>
  <si>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</si>
  <si>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</si>
  <si>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</si>
  <si>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</si>
  <si>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</si>
  <si>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</si>
  <si>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</si>
  <si>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</si>
  <si>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</si>
  <si>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</si>
  <si>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</si>
  <si>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</si>
  <si>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</si>
  <si>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</si>
  <si>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</si>
  <si>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</si>
  <si>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</si>
  <si>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</si>
  <si>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</si>
  <si>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</si>
  <si>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</si>
  <si>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</si>
  <si>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</si>
  <si>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</si>
  <si>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</si>
  <si>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</si>
  <si>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</si>
  <si>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</si>
  <si>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</si>
  <si>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</si>
  <si>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</si>
  <si>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</si>
  <si>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</si>
  <si>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</si>
  <si>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</si>
  <si>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</si>
  <si>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</si>
  <si>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</si>
  <si>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</si>
  <si>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</si>
  <si>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</si>
  <si>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</si>
  <si>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</si>
  <si>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</si>
  <si>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</si>
  <si>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</si>
  <si>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</si>
  <si>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</si>
  <si>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</si>
  <si>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</si>
  <si>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</si>
  <si>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</si>
  <si>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</si>
  <si>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</si>
  <si>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</si>
  <si>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</si>
  <si>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</si>
  <si>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</si>
  <si>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</si>
  <si>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</si>
  <si>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</si>
  <si>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</si>
  <si>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</si>
  <si>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</si>
  <si>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</si>
  <si>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</si>
  <si>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</si>
  <si>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</si>
  <si>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</si>
  <si>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</si>
  <si>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</si>
  <si>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</si>
  <si>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</si>
  <si>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</si>
  <si>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</si>
  <si>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</si>
  <si>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</si>
  <si>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</si>
  <si>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</si>
  <si>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</si>
  <si>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</si>
  <si>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</si>
  <si>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</si>
  <si>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</si>
  <si>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</si>
  <si>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</si>
  <si>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</si>
  <si>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</si>
  <si>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</si>
  <si>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</si>
  <si>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</si>
  <si>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</si>
  <si>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</si>
  <si>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</si>
  <si>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</si>
  <si>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</si>
  <si>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</si>
  <si>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</si>
  <si>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</si>
  <si>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</si>
  <si>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</si>
  <si>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</si>
  <si>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</si>
  <si>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</si>
  <si>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</si>
  <si>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</si>
  <si>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</si>
  <si>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</si>
  <si>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</si>
  <si>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</si>
  <si>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</si>
  <si>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</si>
  <si>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</si>
  <si>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</si>
  <si>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</si>
  <si>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</si>
  <si>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</si>
  <si>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</si>
  <si>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</si>
  <si>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</si>
  <si>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</si>
  <si>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</si>
  <si>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</si>
  <si>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</si>
  <si>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</si>
  <si>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</si>
  <si>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</si>
  <si>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</si>
  <si>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</si>
  <si>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</si>
  <si>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</si>
  <si>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</si>
  <si>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</si>
  <si>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</si>
  <si>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</si>
  <si>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</si>
  <si>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</si>
  <si>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</si>
  <si>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</si>
  <si>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</si>
  <si>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</si>
  <si>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</si>
  <si>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</si>
  <si>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</si>
  <si>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</si>
  <si>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</si>
  <si>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</si>
  <si>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</si>
  <si>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</si>
  <si>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</si>
  <si>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</si>
  <si>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</si>
  <si>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</si>
  <si>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</si>
  <si>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</si>
  <si>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</si>
  <si>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</si>
  <si>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</si>
  <si>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</si>
  <si>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</si>
  <si>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</si>
  <si>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</si>
  <si>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</si>
  <si>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</si>
  <si>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</si>
  <si>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</si>
  <si>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</si>
  <si>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</si>
  <si>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</si>
  <si>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</si>
  <si>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</si>
  <si>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</si>
  <si>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</si>
  <si>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</si>
  <si>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</si>
  <si>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</si>
  <si>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</si>
  <si>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</si>
  <si>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</si>
  <si>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</si>
  <si>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</si>
  <si>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</si>
  <si>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</si>
  <si>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</si>
  <si>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</si>
  <si>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</si>
  <si>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</si>
  <si>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</si>
  <si>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</si>
  <si>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</si>
  <si>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</si>
  <si>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</si>
  <si>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</si>
  <si>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</si>
  <si>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</si>
  <si>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</si>
  <si>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</si>
  <si>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</si>
  <si>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</si>
  <si>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</si>
  <si>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</si>
  <si>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</si>
  <si>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</si>
  <si>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</si>
  <si>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</si>
  <si>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</si>
  <si>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</si>
  <si>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</si>
  <si>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</si>
  <si>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</si>
  <si>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</si>
  <si>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</si>
  <si>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</si>
  <si>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</si>
  <si>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</si>
  <si>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</si>
  <si>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</si>
  <si>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</si>
  <si>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</si>
  <si>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</si>
  <si>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</si>
  <si>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</si>
  <si>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</si>
  <si>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</si>
  <si>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</si>
  <si>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</si>
  <si>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</si>
  <si>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</si>
  <si>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</si>
  <si>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</si>
  <si>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</si>
  <si>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</si>
  <si>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</si>
  <si>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</si>
  <si>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</si>
  <si>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</si>
  <si>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</si>
  <si>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</si>
  <si>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</si>
  <si>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</si>
  <si>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</si>
  <si>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</si>
  <si>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</si>
  <si>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</si>
  <si>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</si>
  <si>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</si>
  <si>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</si>
  <si>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</si>
  <si>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</si>
  <si>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</si>
  <si>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</si>
  <si>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</si>
  <si>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</si>
  <si>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</si>
  <si>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</si>
  <si>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</si>
  <si>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</si>
  <si>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</si>
  <si>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</si>
  <si>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</si>
  <si>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</si>
  <si>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</si>
  <si>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</si>
  <si>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</si>
  <si>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</si>
  <si>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</si>
  <si>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</si>
  <si>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</si>
  <si>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</si>
  <si>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</si>
  <si>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</si>
  <si>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</si>
  <si>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</si>
  <si>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</si>
  <si>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</si>
  <si>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</si>
  <si>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</si>
  <si>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</si>
  <si>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</si>
  <si>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</si>
  <si>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</si>
  <si>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</si>
  <si>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</si>
  <si>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</si>
  <si>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</si>
  <si>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</si>
  <si>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</si>
  <si>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</si>
  <si>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</si>
  <si>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</si>
  <si>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</si>
  <si>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</si>
  <si>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</si>
  <si>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</si>
  <si>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</si>
  <si>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</si>
  <si>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</si>
  <si>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</si>
  <si>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</si>
  <si>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</si>
  <si>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</si>
  <si>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</si>
  <si>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</si>
  <si>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</si>
  <si>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</si>
  <si>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</si>
  <si>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</si>
  <si>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</si>
  <si>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</si>
  <si>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</si>
  <si>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</si>
  <si>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</si>
  <si>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</si>
  <si>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</si>
  <si>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</si>
  <si>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</si>
  <si>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</si>
  <si>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</si>
  <si>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</si>
  <si>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</si>
  <si>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</si>
  <si>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</si>
  <si>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</si>
  <si>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</si>
  <si>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</si>
  <si>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</si>
  <si>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</si>
  <si>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</si>
  <si>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</si>
  <si>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</si>
  <si>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</si>
  <si>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</si>
  <si>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</si>
  <si>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</si>
  <si>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</si>
  <si>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</si>
  <si>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</si>
  <si>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</si>
  <si>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</si>
  <si>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</si>
  <si>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</si>
  <si>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</si>
  <si>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</si>
  <si>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</si>
  <si>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</si>
  <si>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</si>
  <si>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</si>
  <si>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</si>
  <si>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</si>
  <si>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</si>
  <si>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</si>
  <si>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</si>
  <si>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</si>
  <si>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</si>
  <si>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</si>
  <si>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</si>
  <si>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</si>
  <si>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</si>
  <si>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</si>
  <si>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</si>
  <si>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</si>
  <si>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</si>
  <si>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</si>
  <si>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</si>
  <si>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</si>
  <si>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</si>
  <si>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</si>
  <si>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</si>
  <si>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</si>
  <si>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</si>
  <si>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 xml:space="preserve">Shakoor Husain </t>
  </si>
  <si>
    <t xml:space="preserve"> </t>
  </si>
  <si>
    <t>Invoice No # :0001</t>
  </si>
  <si>
    <t>Gourmet Food K Block DHA</t>
  </si>
  <si>
    <t xml:space="preserve">Gourmet Food Lal Pull </t>
  </si>
  <si>
    <t xml:space="preserve">Gourmet Food Shadbagh </t>
  </si>
  <si>
    <t xml:space="preserve">Gourmet Food Railway Plaza </t>
  </si>
  <si>
    <t xml:space="preserve">Gourmet Food Rustam Park </t>
  </si>
  <si>
    <t>Gourmet Food Awan Market Ferozpur Road</t>
  </si>
  <si>
    <t xml:space="preserve">Gourmet Food Tajbagh </t>
  </si>
  <si>
    <t>Gourmet Food Zaraar Shaheed Road</t>
  </si>
  <si>
    <t>Gourmet Food Bedian Road</t>
  </si>
  <si>
    <t xml:space="preserve">Gourmet Food Ismail Nager </t>
  </si>
  <si>
    <t>Gourmet Food Begum Road</t>
  </si>
  <si>
    <t xml:space="preserve">Gourmet Food Kanah </t>
  </si>
  <si>
    <t xml:space="preserve">Gourmet Food Kot Abdul Malik </t>
  </si>
  <si>
    <t xml:space="preserve">Gourmet Food Shadra Town </t>
  </si>
  <si>
    <t>Gourmet Food Bilal Ganjh</t>
  </si>
  <si>
    <t xml:space="preserve">Gourmet Food Kot Khuaja Saeed </t>
  </si>
  <si>
    <t xml:space="preserve">Gourmet Food Killa Lakshman singh </t>
  </si>
  <si>
    <t>Gourmet Food Imamia Colony</t>
  </si>
  <si>
    <t xml:space="preserve">Gourmet Food Badami bagh </t>
  </si>
  <si>
    <t>Gourmet Food Baghban pura</t>
  </si>
  <si>
    <t>Gourmet Food Nadra Abad</t>
  </si>
  <si>
    <t>Gourmet Food Ghazi Road</t>
  </si>
  <si>
    <t>Gourmet Food FF DHA</t>
  </si>
  <si>
    <t>Gourmet Food Sultanpura</t>
  </si>
  <si>
    <t>Gourmet Food Militery Account</t>
  </si>
  <si>
    <t>Gourmet Food Nishat Colony</t>
  </si>
  <si>
    <t>Gourmet Food Rehmanpura</t>
  </si>
  <si>
    <t>Gourmet Food Awan Market</t>
  </si>
  <si>
    <t>Gourmet Food Ismail 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</si>
</sst>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/>
    </xf>
    <xf numFmtId="0" fontId="35" fillId="7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B4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513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46300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20" t="str">
        <f>+'1'!A6:A6</f>
        <v>Gourmet Food K Block DHA</v>
      </c>
      <c r="T3" s="300">
        <f>+'1'!P35</f>
        <v>15223.111006271187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9" t="str">
        <f>+'2'!A6:A6</f>
        <v xml:space="preserve">Gourmet Food Lal Pull </v>
      </c>
      <c r="T4" s="300">
        <f>+'2'!P35</f>
        <v>0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9" t="str">
        <f>+'3'!A6:A6</f>
        <v xml:space="preserve">Gourmet Food Shadbagh 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20" t="str">
        <f>+'4'!A6:A6</f>
        <v xml:space="preserve">Gourmet Food Railway Plaza </v>
      </c>
      <c r="T6" s="300">
        <f>+'4'!P35</f>
        <v>5074.3703354237296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1888.6499999999999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8603.85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52.934504237288131</v>
      </c>
      <c r="P7" s="309">
        <f>M7+N7+O7</f>
        <v>10639.835351694914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80</v>
      </c>
      <c r="R7" s="318">
        <v>5</v>
      </c>
      <c r="S7" s="319" t="str">
        <f>+'5'!A6:A6</f>
        <v xml:space="preserve">Gourmet Food Rustam Park 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1133.1899999999998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5162.3100000000004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31.760702542372876</v>
      </c>
      <c r="P8" s="310">
        <f t="shared" ref="P8:P15" si="2">M8+N8+O8</f>
        <v>6383.9012110169497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40</v>
      </c>
      <c r="R8" s="318">
        <v>6</v>
      </c>
      <c r="S8" s="317" t="str">
        <f>+'6'!A6:A6</f>
        <v>Gourmet Food Awan Market Ferozpur Road</v>
      </c>
      <c r="T8" s="300">
        <f>+'6'!P35</f>
        <v>8839.2097952542372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1133.1899999999998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5162.3100000000004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31.760702542372876</v>
      </c>
      <c r="P9" s="310">
        <f t="shared" si="2"/>
        <v>6383.9012110169497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40</v>
      </c>
      <c r="R9" s="318">
        <v>7</v>
      </c>
      <c r="S9" s="319" t="str">
        <f>+'7'!A6:A6</f>
        <v xml:space="preserve">Gourmet Food Tajbagh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3661.0559999999991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16678.144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102.61105898305087</v>
      </c>
      <c r="P10" s="310">
        <f t="shared" si="2"/>
        <v>20624.822855593218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80</v>
      </c>
      <c r="R10" s="318">
        <v>8</v>
      </c>
      <c r="S10" s="320" t="str">
        <f>+'8'!A6:A6</f>
        <v>Gourmet Food Zaraar Shaheed Road</v>
      </c>
      <c r="T10" s="300">
        <f>+'8'!P35</f>
        <v>8839.2097952542372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360</v>
      </c>
      <c r="I11" s="236">
        <f t="shared" si="0"/>
        <v>26150.400000000001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4707.0719999999992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21443.328000000001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4942.3728813559328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131.92850440677969</v>
      </c>
      <c r="P11" s="310">
        <f t="shared" si="2"/>
        <v>26517.629385762713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80</v>
      </c>
      <c r="R11" s="318">
        <v>9</v>
      </c>
      <c r="S11" s="321" t="str">
        <f>+'9'!A6:A6</f>
        <v>Gourmet Food Bedian Road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440</v>
      </c>
      <c r="I12" s="236">
        <f t="shared" si="0"/>
        <v>31961.599999999999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5753.0879999999988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26208.511999999999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6040.6779661016963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161.24594983050852</v>
      </c>
      <c r="P12" s="310">
        <f t="shared" si="2"/>
        <v>32410.435915932201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8">
        <v>10</v>
      </c>
      <c r="S12" s="317" t="str">
        <f>+'10'!A6:A6</f>
        <v xml:space="preserve">Gourmet Food Ismail Nager </v>
      </c>
      <c r="T12" s="300">
        <f>+'10'!P35</f>
        <v>8020.7736005084762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9" t="str">
        <f>+'11'!A6:A6</f>
        <v>Gourmet Food Begum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 xml:space="preserve">Gourmet Food Kanah </v>
      </c>
      <c r="T14" s="300">
        <f>+'12'!P35</f>
        <v>13095.143935932207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9" t="str">
        <f>+'13'!A6:A6</f>
        <v xml:space="preserve">Gourmet Food Kot Abdul Malik </v>
      </c>
      <c r="T15" s="300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274">
        <f>H16/40</f>
        <v>38</v>
      </c>
      <c r="H16" s="113">
        <f t="shared" ref="H16:M16" si="3">SUM(H7:H15)</f>
        <v>1520</v>
      </c>
      <c r="I16" s="114">
        <f t="shared" si="3"/>
        <v>101534.70000000001</v>
      </c>
      <c r="J16" s="274">
        <f>SUM(J7:J15)</f>
        <v>18276.245999999999</v>
      </c>
      <c r="K16" s="275">
        <f t="shared" si="3"/>
        <v>0</v>
      </c>
      <c r="L16" s="276">
        <f t="shared" si="3"/>
        <v>0</v>
      </c>
      <c r="M16" s="232">
        <f t="shared" si="3"/>
        <v>83258.453999999998</v>
      </c>
      <c r="N16" s="233">
        <f>SUM(N7:N15)</f>
        <v>19189.830508474573</v>
      </c>
      <c r="O16" s="101">
        <f>SUM(O7:O15)</f>
        <v>512.2414225423729</v>
      </c>
      <c r="P16" s="113">
        <f>SUM(P7:P15)</f>
        <v>102960.52593101695</v>
      </c>
      <c r="Q16" s="128">
        <f>SUM(Q7:Q15)</f>
        <v>400</v>
      </c>
      <c r="R16" s="318">
        <v>14</v>
      </c>
      <c r="S16" s="319" t="str">
        <f>+'14'!A6:A6</f>
        <v xml:space="preserve">Gourmet Food Shadra Town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9" t="str">
        <f>+'15'!A6:A6</f>
        <v>Gourmet Food Bilal Ganjh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20" t="str">
        <f>+'16'!A6:A6</f>
        <v xml:space="preserve">Gourmet Food Kot Khuaja Saeed </v>
      </c>
      <c r="T18" s="300">
        <f>+'16'!P35</f>
        <v>8839.2097952542372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101534.70000000001</v>
      </c>
      <c r="R19" s="299">
        <v>17</v>
      </c>
      <c r="S19" s="319" t="str">
        <f>+'17'!A6:A6</f>
        <v xml:space="preserve">Gourmet Food Killa Lakshman singh </v>
      </c>
      <c r="T19" s="300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18276.245999999999</v>
      </c>
      <c r="R20" s="299">
        <v>18</v>
      </c>
      <c r="S20" s="319" t="str">
        <f>+'18'!A6:A6</f>
        <v>Gourmet Food Imamia Colony</v>
      </c>
      <c r="T20" s="300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19" t="str">
        <f>+'19'!A6:A6</f>
        <v xml:space="preserve">Gourmet Food Badami bagh </v>
      </c>
      <c r="T21" s="300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83258.454000000012</v>
      </c>
      <c r="R22" s="299">
        <v>20</v>
      </c>
      <c r="S22" s="319" t="str">
        <f>+'20'!A6:A6</f>
        <v>Gourmet Food Baghban pura</v>
      </c>
      <c r="T22" s="300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19189.830508474573</v>
      </c>
      <c r="R23" s="299">
        <v>21</v>
      </c>
      <c r="S23" s="320" t="str">
        <f>+'21'!A6:A6</f>
        <v>Gourmet Food Nadra Abad</v>
      </c>
      <c r="T23" s="300">
        <f>+'21'!P35</f>
        <v>5892.8065301694915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102448.28450847458</v>
      </c>
      <c r="R24" s="299">
        <v>22</v>
      </c>
      <c r="S24" s="319" t="str">
        <f>+'22'!A6:A6</f>
        <v>Gourmet Food Ghazi Road</v>
      </c>
      <c r="T24" s="300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512.2414225423729</v>
      </c>
      <c r="R25" s="299">
        <v>23</v>
      </c>
      <c r="S25" s="320" t="str">
        <f>+'23'!A6:A6</f>
        <v>Gourmet Food FF DHA</v>
      </c>
      <c r="T25" s="300">
        <f>+'23'!P35</f>
        <v>5892.8065301694915</v>
      </c>
    </row>
    <row r="26" spans="1:20" ht="21.75" customHeight="1" thickBot="1" x14ac:dyDescent="0.4">
      <c r="N26" s="375" t="s">
        <v>88</v>
      </c>
      <c r="O26" s="376"/>
      <c r="P26" s="297">
        <f>+P24+P25</f>
        <v>102960.52593101695</v>
      </c>
      <c r="R26" s="299">
        <v>24</v>
      </c>
      <c r="S26" s="320" t="str">
        <f>+'24'!A6:A6</f>
        <v>Gourmet Food Sultanpura</v>
      </c>
      <c r="T26" s="300">
        <f>+'24'!P35</f>
        <v>15223.111006271187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21" t="str">
        <f>+'25'!A6:A6</f>
        <v>Gourmet Food Militery Account</v>
      </c>
      <c r="T27" s="300">
        <f>+'25'!P35</f>
        <v>8020.7736005084762</v>
      </c>
    </row>
    <row r="28" spans="1:20" ht="21.75" customHeight="1" x14ac:dyDescent="0.35">
      <c r="R28" s="299">
        <v>26</v>
      </c>
      <c r="S28" s="321" t="str">
        <f>+'26'!A6:A6</f>
        <v>Gourmet Food Nishat Colony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9" t="str">
        <f>+'27'!A6:A6</f>
        <v>Gourmet Food Rehmanpura</v>
      </c>
      <c r="T29" s="300">
        <f>+'27'!P35</f>
        <v>0</v>
      </c>
    </row>
    <row r="30" spans="1:20" ht="21.75" customHeight="1" x14ac:dyDescent="0.35">
      <c r="R30" s="299">
        <v>28</v>
      </c>
      <c r="S30" s="319" t="str">
        <f>+'28'!A6:A6</f>
        <v>Gourmet Food Awan Market</v>
      </c>
      <c r="T30" s="300">
        <f>+'28'!P35</f>
        <v>0</v>
      </c>
    </row>
    <row r="31" spans="1:20" ht="21.75" customHeight="1" x14ac:dyDescent="0.35">
      <c r="R31" s="299">
        <v>29</v>
      </c>
      <c r="S31" s="319" t="str">
        <f>+'29'!A6:A6</f>
        <v>Gourmet Food Ismail Nager</v>
      </c>
      <c r="T31" s="300">
        <f>+'29'!P35</f>
        <v>0</v>
      </c>
    </row>
    <row r="32" spans="1:20" ht="21.75" customHeight="1" x14ac:dyDescent="0.35">
      <c r="R32" s="299">
        <v>30</v>
      </c>
      <c r="S32" s="319" t="str">
        <f>+'30'!A6:A6</f>
        <v xml:space="preserve">Gourmet Food Kanah 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102960.52593101695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zoomScaleNormal="10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7.25" customHeight="1" x14ac:dyDescent="0.4">
      <c r="A6" s="401" t="s">
        <v>518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2702.2139999999995</v>
      </c>
      <c r="K25" s="275">
        <f t="shared" si="10"/>
        <v>0</v>
      </c>
      <c r="L25" s="276">
        <f t="shared" si="10"/>
        <v>0</v>
      </c>
      <c r="M25" s="232">
        <f t="shared" si="10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15012.300000000001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2702.2139999999995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12310.086000000001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15147.374135593222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5" t="s">
        <v>88</v>
      </c>
      <c r="O35" s="376"/>
      <c r="P35" s="297">
        <f>+P33+P34</f>
        <v>15223.111006271187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  <c r="F2" t="s">
        <v>516</v>
      </c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519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8.75" customHeight="1" x14ac:dyDescent="0.4">
      <c r="A6" s="401" t="s">
        <v>520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521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5004.1000000000004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900.73799999999983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4103.362000000001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5049.1247118644078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75" t="s">
        <v>88</v>
      </c>
      <c r="O35" s="376"/>
      <c r="P35" s="297">
        <f>+P33+P34</f>
        <v>5074.3703354237296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4" zoomScaleNormal="100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522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8716.7999999999993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1569.0239999999999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7147.7759999999998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8795.2336271186432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5" t="s">
        <v>88</v>
      </c>
      <c r="O35" s="376"/>
      <c r="P35" s="297">
        <f>+P33+P34</f>
        <v>8839.2097952542372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524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525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8716.7999999999993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1569.0239999999999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7147.7759999999998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8795.2336271186432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5" t="s">
        <v>88</v>
      </c>
      <c r="O35" s="376"/>
      <c r="P35" s="297">
        <f>+P33+P34</f>
        <v>8839.2097952542372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1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526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527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6485.9540000000015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7980.8692542372901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5" t="s">
        <v>88</v>
      </c>
      <c r="O35" s="376"/>
      <c r="P35" s="297">
        <f>+P33+P34</f>
        <v>8020.7736005084762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528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529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12913.800000000001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2324.4839999999995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10589.316000000003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13029.993966101698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5" t="s">
        <v>88</v>
      </c>
      <c r="O35" s="376"/>
      <c r="P35" s="297">
        <f>+P33+P34</f>
        <v>13095.143935932207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530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531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532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533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8716.7999999999993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1569.0239999999999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  <c r="S30" s="215"/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7147.7759999999998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8795.2336271186432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5" t="s">
        <v>88</v>
      </c>
      <c r="O35" s="376"/>
      <c r="P35" s="297">
        <f>+P33+P34</f>
        <v>8839.2097952542372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534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535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536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8.75" customHeight="1" x14ac:dyDescent="0.4">
      <c r="A6" s="401" t="s">
        <v>537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0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538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5811.2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1046.0159999999998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4765.1840000000002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5863.4890847457627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5" t="s">
        <v>88</v>
      </c>
      <c r="O35" s="376"/>
      <c r="P35" s="297">
        <f>+P33+P34</f>
        <v>5892.8065301694915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539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540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5811.2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1046.0159999999998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4765.1840000000002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5863.4890847457627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5" t="s">
        <v>88</v>
      </c>
      <c r="O35" s="376"/>
      <c r="P35" s="297">
        <f>+P33+P34</f>
        <v>5892.8065301694915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541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15012.300000000001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2702.2139999999995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12310.086000000001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15147.374135593222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5" t="s">
        <v>88</v>
      </c>
      <c r="O35" s="376"/>
      <c r="P35" s="297">
        <f>+P33+P34</f>
        <v>15223.111006271187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542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6485.9540000000015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7980.8692542372901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5" t="s">
        <v>88</v>
      </c>
      <c r="O35" s="376"/>
      <c r="P35" s="297">
        <f>+P33+P34</f>
        <v>8020.7736005084762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46306</v>
      </c>
      <c r="O5" s="395"/>
      <c r="P5" s="395"/>
      <c r="R5" s="85"/>
      <c r="S5" s="266"/>
    </row>
    <row r="6" spans="1:22 16383:16384" ht="15" customHeight="1" x14ac:dyDescent="0.4">
      <c r="A6" s="401" t="s">
        <v>543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1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46302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46301</v>
      </c>
      <c r="O5" s="395"/>
      <c r="P5" s="395"/>
      <c r="R5" s="85"/>
      <c r="S5" s="266"/>
    </row>
    <row r="6" spans="1:22 16383:16384" ht="15" customHeight="1" x14ac:dyDescent="0.4">
      <c r="A6" s="401" t="s">
        <v>544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3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545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514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546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514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46295</v>
      </c>
      <c r="O5" s="395"/>
      <c r="P5" s="395"/>
      <c r="R5" s="85"/>
      <c r="S5" s="266"/>
    </row>
    <row r="6" spans="1:22 16383:16384" ht="15" customHeight="1" x14ac:dyDescent="0.4">
      <c r="A6" s="401" t="s">
        <v>529</v>
      </c>
      <c r="B6" s="401"/>
      <c r="C6" s="401"/>
      <c r="F6" s="85"/>
      <c r="G6" s="86"/>
      <c r="K6" s="396" t="s">
        <v>69</v>
      </c>
      <c r="L6" s="396"/>
      <c r="M6" s="396"/>
      <c r="N6" s="398" t="s">
        <v>515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46309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46308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2026-10-13T04:08:30Z</dcterms:modified>
</cp:coreProperties>
</file>