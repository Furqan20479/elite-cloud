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A4E651B-4697-4A59-8BAF-3D47AEF75F32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2" l="1"/>
  <c r="O21" i="52" s="1"/>
  <c r="P21" i="52" s="1"/>
  <c r="K12" i="62"/>
  <c r="M17" i="44"/>
  <c r="O17" i="44" s="1"/>
  <c r="P17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<sst xmlns="http://schemas.openxmlformats.org/spreadsheetml/2006/main" count="3948" uniqueCount="531">
  <si>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</si>
  <si>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</si>
  <si>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</si>
  <si>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</si>
  <si>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</si>
  <si>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</si>
  <si>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</si>
  <si>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</si>
  <si>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</si>
  <si>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</si>
  <si>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</si>
  <si>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</si>
  <si>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</si>
  <si>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</si>
  <si>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</si>
  <si>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</si>
  <si>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</si>
  <si>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</si>
  <si>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</si>
  <si>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</si>
  <si>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</si>
  <si>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</si>
  <si>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</si>
  <si>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</si>
  <si>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</si>
  <si>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</si>
  <si>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</si>
  <si>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</si>
  <si>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</si>
  <si>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</si>
  <si>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</si>
  <si>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</si>
  <si>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</si>
  <si>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</si>
  <si>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</si>
  <si>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</si>
  <si>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</si>
  <si>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</si>
  <si>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</si>
  <si>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</si>
  <si>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</si>
  <si>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</si>
  <si>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</si>
  <si>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</si>
  <si>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</si>
  <si>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</si>
  <si>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</si>
  <si>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</si>
  <si>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</si>
  <si>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</si>
  <si>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</si>
  <si>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</si>
  <si>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</si>
  <si>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</si>
  <si>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</si>
  <si>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</si>
  <si>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</si>
  <si>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</si>
  <si>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</si>
  <si>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</si>
  <si>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</si>
  <si>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</si>
  <si>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</si>
  <si>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</si>
  <si>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</si>
  <si>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</si>
  <si>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</si>
  <si>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</si>
  <si>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</si>
  <si>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</si>
  <si>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</si>
  <si>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</si>
  <si>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</si>
  <si>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</si>
  <si>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</si>
  <si>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</si>
  <si>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</si>
  <si>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</si>
  <si>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</si>
  <si>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</si>
  <si>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</si>
  <si>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</si>
  <si>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</si>
  <si>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</si>
  <si>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</si>
  <si>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</si>
  <si>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</si>
  <si>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</si>
  <si>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</si>
  <si>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</si>
  <si>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</si>
  <si>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</si>
  <si>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</si>
  <si>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</si>
  <si>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</si>
  <si>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</si>
  <si>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</si>
  <si>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</si>
  <si>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</si>
  <si>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</si>
  <si>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</si>
  <si>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</si>
  <si>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</si>
  <si>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</si>
  <si>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</si>
  <si>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</si>
  <si>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</si>
  <si>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</si>
  <si>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</si>
  <si>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</si>
  <si>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</si>
  <si>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</si>
  <si>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</si>
  <si>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</si>
  <si>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</si>
  <si>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</si>
  <si>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</si>
  <si>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</si>
  <si>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</si>
  <si>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</si>
  <si>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</si>
  <si>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</si>
  <si>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</si>
  <si>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</si>
  <si>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</si>
  <si>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</si>
  <si>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</si>
  <si>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</si>
  <si>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</si>
  <si>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</si>
  <si>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</si>
  <si>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</si>
  <si>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</si>
  <si>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</si>
  <si>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</si>
  <si>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</si>
  <si>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</si>
  <si>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</si>
  <si>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</si>
  <si>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</si>
  <si>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</si>
  <si>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</si>
  <si>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</si>
  <si>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</si>
  <si>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</si>
  <si>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</si>
  <si>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</si>
  <si>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</si>
  <si>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</si>
  <si>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</si>
  <si>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</si>
  <si>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</si>
  <si>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</si>
  <si>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</si>
  <si>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</si>
  <si>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</si>
  <si>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</si>
  <si>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</si>
  <si>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</si>
  <si>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</si>
  <si>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</si>
  <si>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</si>
  <si>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</si>
  <si>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</si>
  <si>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</si>
  <si>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</si>
  <si>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</si>
  <si>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</si>
  <si>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</si>
  <si>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</si>
  <si>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</si>
  <si>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</si>
  <si>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</si>
  <si>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</si>
  <si>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</si>
  <si>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</si>
  <si>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</si>
  <si>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</si>
  <si>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</si>
  <si>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</si>
  <si>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</si>
  <si>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</si>
  <si>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</si>
  <si>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</si>
  <si>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</si>
  <si>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</si>
  <si>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</si>
  <si>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</si>
  <si>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</si>
  <si>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</si>
  <si>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</si>
  <si>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</si>
  <si>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</si>
  <si>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</si>
  <si>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</si>
  <si>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</si>
  <si>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</si>
  <si>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</si>
  <si>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</si>
  <si>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</si>
  <si>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</si>
  <si>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</si>
  <si>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</si>
  <si>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</si>
  <si>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</si>
  <si>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</si>
  <si>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</si>
  <si>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</si>
  <si>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</si>
  <si>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</si>
  <si>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</si>
  <si>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</si>
  <si>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</si>
  <si>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</si>
  <si>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</si>
  <si>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</si>
  <si>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</si>
  <si>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</si>
  <si>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</si>
  <si>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</si>
  <si>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</si>
  <si>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</si>
  <si>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</si>
  <si>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</si>
  <si>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</si>
  <si>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</si>
  <si>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</si>
  <si>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</si>
  <si>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</si>
  <si>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</si>
  <si>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</si>
  <si>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</si>
  <si>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</si>
  <si>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</si>
  <si>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</si>
  <si>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</si>
  <si>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</si>
  <si>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</si>
  <si>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</si>
  <si>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</si>
  <si>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</si>
  <si>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</si>
  <si>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</si>
  <si>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</si>
  <si>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</si>
  <si>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</si>
  <si>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</si>
  <si>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</si>
  <si>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</si>
  <si>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</si>
  <si>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</si>
  <si>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</si>
  <si>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</si>
  <si>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</si>
  <si>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</si>
  <si>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</si>
  <si>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</si>
  <si>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</si>
  <si>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</si>
  <si>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</si>
  <si>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</si>
  <si>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</si>
  <si>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</si>
  <si>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</si>
  <si>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</si>
  <si>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</si>
  <si>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</si>
  <si>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</si>
  <si>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</si>
  <si>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</si>
  <si>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</si>
  <si>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</si>
  <si>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</si>
  <si>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</si>
  <si>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</si>
  <si>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</si>
  <si>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</si>
  <si>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</si>
  <si>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</si>
  <si>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</si>
  <si>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</si>
  <si>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</si>
  <si>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</si>
  <si>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</si>
  <si>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</si>
  <si>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</si>
  <si>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</si>
  <si>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</si>
  <si>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</si>
  <si>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</si>
  <si>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</si>
  <si>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</si>
  <si>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</si>
  <si>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</si>
  <si>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</si>
  <si>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</si>
  <si>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</si>
  <si>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</si>
  <si>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</si>
  <si>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</si>
  <si>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</si>
  <si>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</si>
  <si>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</si>
  <si>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</si>
  <si>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</si>
  <si>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</si>
  <si>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</si>
  <si>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</si>
  <si>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</si>
  <si>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</si>
  <si>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</si>
  <si>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</si>
  <si>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</si>
  <si>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</si>
  <si>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</si>
  <si>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</si>
  <si>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</si>
  <si>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</si>
  <si>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</si>
  <si>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</si>
  <si>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</si>
  <si>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</si>
  <si>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</si>
  <si>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</si>
  <si>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</si>
  <si>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</si>
  <si>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</si>
  <si>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</si>
  <si>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</si>
  <si>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</si>
  <si>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</si>
  <si>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</si>
  <si>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</si>
  <si>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</si>
  <si>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</si>
  <si>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</si>
  <si>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</si>
  <si>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</si>
  <si>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</si>
  <si>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</si>
  <si>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</si>
  <si>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</si>
  <si>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</si>
  <si>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</si>
  <si>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</si>
  <si>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</si>
  <si>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</si>
  <si>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</si>
  <si>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</si>
  <si>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</si>
  <si>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</si>
  <si>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</si>
  <si>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</si>
  <si>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</si>
  <si>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</si>
  <si>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</si>
  <si>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</si>
  <si>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</si>
  <si>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</si>
  <si>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</si>
  <si>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</si>
  <si>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</si>
  <si>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</si>
  <si>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</si>
  <si>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</si>
  <si>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</si>
  <si>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</si>
  <si>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</si>
  <si>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</si>
  <si>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</si>
  <si>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</si>
  <si>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</si>
  <si>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</si>
  <si>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</si>
  <si>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</si>
  <si>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</si>
  <si>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</si>
  <si>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</si>
  <si>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</si>
  <si>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</si>
  <si>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</si>
  <si>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</si>
  <si>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</si>
  <si>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</si>
  <si>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</si>
  <si>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</si>
  <si>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</si>
  <si>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</si>
  <si>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</si>
  <si>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</si>
  <si>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</si>
  <si>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</si>
  <si>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</si>
  <si>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</si>
  <si>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</si>
  <si>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</si>
  <si>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</si>
  <si>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</si>
  <si>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</si>
  <si>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</si>
  <si>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</si>
  <si>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</si>
  <si>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</si>
  <si>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</si>
  <si>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</si>
  <si>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</si>
  <si>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</si>
  <si>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</si>
  <si>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</si>
  <si>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</si>
  <si>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</si>
  <si>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</si>
  <si>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</si>
  <si>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</si>
  <si>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</si>
  <si>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</si>
  <si>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</si>
  <si>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</si>
  <si>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</si>
  <si>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</si>
  <si>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</si>
  <si>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</si>
  <si>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</si>
  <si>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</si>
  <si>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</si>
  <si>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</si>
  <si>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</si>
  <si>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</si>
  <si>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</si>
  <si>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</si>
  <si>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</si>
  <si>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</si>
  <si>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</si>
  <si>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</si>
  <si>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</si>
  <si>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</si>
  <si>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</si>
  <si>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</si>
  <si>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</si>
  <si>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</si>
  <si>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</si>
  <si>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</si>
  <si>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</si>
  <si>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</si>
  <si>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</si>
  <si>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</si>
  <si>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</si>
  <si>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</si>
  <si>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</si>
  <si>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</si>
  <si>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</si>
  <si>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</si>
  <si>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</si>
  <si>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</si>
  <si>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</si>
  <si>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</si>
  <si>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</si>
  <si>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</si>
  <si>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</si>
  <si>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</si>
  <si>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</si>
  <si>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</si>
  <si>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</si>
  <si>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</si>
  <si>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</si>
  <si>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</si>
  <si>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</si>
  <si>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</si>
  <si>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</si>
  <si>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</si>
  <si>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</si>
  <si>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</si>
  <si>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</si>
  <si>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</si>
  <si>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</si>
  <si>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</si>
  <si>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</si>
  <si>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</si>
  <si>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</si>
  <si>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</si>
  <si>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</si>
  <si>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</si>
  <si>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</si>
  <si>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</si>
  <si>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</si>
  <si>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</si>
  <si>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</si>
  <si>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</si>
  <si>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</si>
  <si>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</si>
  <si>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</si>
  <si>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</si>
  <si>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</si>
  <si>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</si>
  <si>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</si>
  <si>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</si>
  <si>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</si>
  <si>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</si>
  <si>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</si>
  <si>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</si>
  <si>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</si>
  <si>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</si>
  <si>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</si>
  <si>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</si>
  <si>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</si>
  <si>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</si>
  <si>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</si>
  <si>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</si>
  <si>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</si>
  <si>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</si>
  <si>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</si>
  <si>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</si>
  <si>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</si>
  <si>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</si>
  <si>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</si>
  <si>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China Groccery Store</t>
  </si>
  <si>
    <t>Address: Ghazi Road</t>
  </si>
  <si>
    <t>Hygiene Groccery Store</t>
  </si>
  <si>
    <t>Urban Store</t>
  </si>
  <si>
    <t xml:space="preserve">Address: Punjab Society </t>
  </si>
  <si>
    <t>Paradise Store</t>
  </si>
  <si>
    <t>TK store</t>
  </si>
  <si>
    <t>Malik Store</t>
  </si>
  <si>
    <t xml:space="preserve">Address: D Block Punjab Society </t>
  </si>
  <si>
    <t>Marhaba Super Store</t>
  </si>
  <si>
    <t>Imran Kreyana Store</t>
  </si>
  <si>
    <t>Attari Store</t>
  </si>
  <si>
    <t>Moazam Store</t>
  </si>
  <si>
    <t>Ahmad Store</t>
  </si>
  <si>
    <t xml:space="preserve">Address: Shokat Town Butt Chowk </t>
  </si>
  <si>
    <t>Address: Shangai Road 341D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</si>
</sst>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46307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China Groccery Store</v>
      </c>
      <c r="T3" s="301">
        <f>+'1'!P35</f>
        <v>8101.8947518855921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Hygiene Groccery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Urban Store</v>
      </c>
      <c r="T5" s="301">
        <f>+'3'!P35</f>
        <v>21605.052671694917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Paradise Store</v>
      </c>
      <c r="T6" s="301">
        <f>+'4'!P35</f>
        <v>339.75773742584738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36</v>
      </c>
      <c r="I7" s="235">
        <f>(G7*D7)*F7+H7*F7</f>
        <v>1888.6499999999999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151.09199999999998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66.10275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1671.45525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356.94915254237276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10.142022012711864</v>
      </c>
      <c r="P7" s="310">
        <f>M7+N7+O7</f>
        <v>2038.5464245550845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12</v>
      </c>
      <c r="R7" s="313">
        <v>5</v>
      </c>
      <c r="S7" s="300" t="str">
        <f>+'5'!A6:A6</f>
        <v>TK store</v>
      </c>
      <c r="T7" s="301">
        <f>+'5'!P35</f>
        <v>1646.5155292944914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121</v>
      </c>
      <c r="I8" s="236">
        <f t="shared" ref="I8:I14" si="0">(G8*D8)*F8+H8*F8</f>
        <v>6347.9624999999996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507.83699999999999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222.1786875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5617.9468124999994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1199.7457627118638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34.088462876059317</v>
      </c>
      <c r="P8" s="311">
        <f t="shared" ref="P8:P15" si="2">M8+N8+O8</f>
        <v>6851.7810380879228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12</v>
      </c>
      <c r="R8" s="313">
        <v>6</v>
      </c>
      <c r="S8" s="300" t="str">
        <f>+'6'!A6:A6</f>
        <v>Malik Store</v>
      </c>
      <c r="T8" s="301">
        <f>+'6'!P35</f>
        <v>2265.051582838983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127</v>
      </c>
      <c r="I9" s="236">
        <f t="shared" si="0"/>
        <v>6662.7375000000002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533.01900000000001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233.19581249999999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5896.5226874999998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1259.2372881355925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35.778799878177963</v>
      </c>
      <c r="P9" s="311">
        <f t="shared" si="2"/>
        <v>7191.5387755137699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18</v>
      </c>
      <c r="R9" s="313">
        <v>7</v>
      </c>
      <c r="S9" s="300" t="str">
        <f>+'7'!A6:A6</f>
        <v>Marhaba Super Store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126</v>
      </c>
      <c r="I10" s="236">
        <f t="shared" si="0"/>
        <v>9152.64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732.21120000000008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320.3424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8100.0863999999992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1729.8305084745764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49.149584542372885</v>
      </c>
      <c r="P10" s="311">
        <f t="shared" si="2"/>
        <v>9879.0664930169478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20</v>
      </c>
      <c r="R10" s="313">
        <v>8</v>
      </c>
      <c r="S10" s="300" t="str">
        <f>+'8'!A6:A6</f>
        <v>Imran Kreyana Store</v>
      </c>
      <c r="T10" s="301">
        <f>+'8'!P35</f>
        <v>1881.7269510508474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110</v>
      </c>
      <c r="I11" s="236">
        <f t="shared" si="0"/>
        <v>7990.4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639.23199999999997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279.66400000000004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7071.5039999999999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1510.1694915254238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42.908367457627122</v>
      </c>
      <c r="P11" s="311">
        <f t="shared" si="2"/>
        <v>8624.5818589830506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12</v>
      </c>
      <c r="R11" s="313">
        <v>9</v>
      </c>
      <c r="S11" s="300" t="str">
        <f>+'9'!A6:A6</f>
        <v>Attari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56</v>
      </c>
      <c r="I12" s="236">
        <f t="shared" si="0"/>
        <v>4067.84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325.42720000000003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142.37440000000001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3600.0384000000004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768.81355932203405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21.844259796610174</v>
      </c>
      <c r="P12" s="311">
        <f t="shared" si="2"/>
        <v>4390.6962191186449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18</v>
      </c>
      <c r="R12" s="313">
        <v>10</v>
      </c>
      <c r="S12" s="300" t="str">
        <f>+'10'!A6:A6</f>
        <v>Moazam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Ahmad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14.4</v>
      </c>
      <c r="H16" s="113">
        <f t="shared" ref="H16:M16" si="3">SUM(H7:H15)</f>
        <v>576</v>
      </c>
      <c r="I16" s="114">
        <f t="shared" si="3"/>
        <v>36110.229999999996</v>
      </c>
      <c r="J16" s="274">
        <f>SUM(J7:J15)</f>
        <v>2888.8184000000001</v>
      </c>
      <c r="K16" s="275">
        <f t="shared" si="3"/>
        <v>1263.8580499999998</v>
      </c>
      <c r="L16" s="276">
        <f t="shared" si="3"/>
        <v>0</v>
      </c>
      <c r="M16" s="232">
        <f t="shared" si="3"/>
        <v>31957.553550000001</v>
      </c>
      <c r="N16" s="233">
        <f>SUM(N7:N15)</f>
        <v>6824.7457627118629</v>
      </c>
      <c r="O16" s="101">
        <f>SUM(O7:O15)</f>
        <v>193.91149656355933</v>
      </c>
      <c r="P16" s="113">
        <f>SUM(P7:P15)</f>
        <v>38976.210809275421</v>
      </c>
      <c r="Q16" s="128">
        <f>SUM(Q7:Q15)</f>
        <v>92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36110.229999999996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2888.8184000000001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1263.8580499999998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31957.553549999993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6824.7457627118629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38782.299312711853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193.91149656355933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38976.210809275413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38976.210809275428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ref="I18:I21" si="7">(G18*D18)*F18+H18*F18</f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7506.1500000000005</v>
      </c>
      <c r="J25" s="274">
        <f>SUM(J16:J24)</f>
        <v>600.49199999999996</v>
      </c>
      <c r="K25" s="275">
        <f t="shared" si="10"/>
        <v>262.71525000000003</v>
      </c>
      <c r="L25" s="276">
        <f t="shared" si="10"/>
        <v>0</v>
      </c>
      <c r="M25" s="232">
        <f t="shared" si="10"/>
        <v>6642.9427500000002</v>
      </c>
      <c r="N25" s="233">
        <f>SUM(N16:N24)</f>
        <v>1418.6440677966098</v>
      </c>
      <c r="O25" s="101">
        <f>SUM(O16:O24)</f>
        <v>40.307934088983046</v>
      </c>
      <c r="P25" s="234">
        <f>SUM(P16:P24)</f>
        <v>8101.894751885593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7506.1500000000005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600.49199999999996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262.71525000000003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6642.9427500000002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1418.6440677966098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8061.5868177966095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40.307934088983046</v>
      </c>
    </row>
    <row r="35" spans="2:16" ht="15.75" customHeight="1" thickBot="1" x14ac:dyDescent="0.4">
      <c r="N35" s="374" t="s">
        <v>88</v>
      </c>
      <c r="O35" s="375"/>
      <c r="P35" s="297">
        <f>+P33+P34</f>
        <v>8101.8947518855921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8" workbookViewId="0">
      <selection activeCell="H18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8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6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26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519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335.76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3714.3450000000003</v>
      </c>
      <c r="N17" s="277">
        <f t="shared" ref="N17:N24" si="3">+(G17*D17+H17)*V17</f>
        <v>793.22033898305051</v>
      </c>
      <c r="O17" s="239">
        <f t="shared" ref="O17:O24" si="4">(N17+M17)*$O$15</f>
        <v>22.537826694915253</v>
      </c>
      <c r="P17" s="119">
        <f t="shared" ref="P17:P24" si="5">M17+N17+O17</f>
        <v>4530.103165677966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335.76</v>
      </c>
      <c r="K18" s="128">
        <f t="shared" si="1"/>
        <v>146.89500000000001</v>
      </c>
      <c r="L18" s="119">
        <f t="shared" si="1"/>
        <v>0</v>
      </c>
      <c r="M18" s="230">
        <f t="shared" si="2"/>
        <v>3714.3450000000003</v>
      </c>
      <c r="N18" s="277">
        <f t="shared" si="3"/>
        <v>793.22033898305051</v>
      </c>
      <c r="O18" s="239">
        <f t="shared" si="4"/>
        <v>22.537826694915253</v>
      </c>
      <c r="P18" s="119">
        <f t="shared" si="5"/>
        <v>4530.103165677966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119">
        <f t="shared" si="5"/>
        <v>6272.4231701694916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119">
        <f t="shared" si="5"/>
        <v>6272.4231701694916</v>
      </c>
      <c r="Q20" s="319"/>
      <c r="R20">
        <f>P20/21</f>
        <v>298.68681762711867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320</v>
      </c>
      <c r="I25" s="114">
        <f t="shared" si="7"/>
        <v>20016.400000000001</v>
      </c>
      <c r="J25" s="274">
        <f>SUM(J16:J24)</f>
        <v>1601.3119999999999</v>
      </c>
      <c r="K25" s="275">
        <f t="shared" si="7"/>
        <v>700.57400000000007</v>
      </c>
      <c r="L25" s="276">
        <f t="shared" si="7"/>
        <v>0</v>
      </c>
      <c r="M25" s="232">
        <f t="shared" si="7"/>
        <v>17714.514000000003</v>
      </c>
      <c r="N25" s="233">
        <f>SUM(N16:N24)</f>
        <v>3783.0508474576263</v>
      </c>
      <c r="O25" s="101">
        <f>SUM(O16:O24)</f>
        <v>107.48782423728812</v>
      </c>
      <c r="P25" s="234">
        <f>SUM(P16:P24)</f>
        <v>21605.052671694917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20016.400000000001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1601.3119999999999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700.57400000000007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17714.514000000003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3783.0508474576263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21497.56484745763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107.48782423728815</v>
      </c>
    </row>
    <row r="35" spans="2:16" ht="15.75" customHeight="1" thickBot="1" x14ac:dyDescent="0.4">
      <c r="N35" s="374" t="s">
        <v>88</v>
      </c>
      <c r="O35" s="375"/>
      <c r="P35" s="297">
        <f>+P33+P34</f>
        <v>21605.052671694917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519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314.77499999999998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25.181999999999999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11.017125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278.57587499999994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338.06740042372871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4" t="s">
        <v>88</v>
      </c>
      <c r="O35" s="375"/>
      <c r="P35" s="297">
        <f>+P33+P34</f>
        <v>339.75773742584738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26</v>
      </c>
      <c r="I25" s="114">
        <f t="shared" si="7"/>
        <v>1525.4449999999999</v>
      </c>
      <c r="J25" s="274">
        <f>SUM(J16:J24)</f>
        <v>122.03559999999999</v>
      </c>
      <c r="K25" s="275">
        <f t="shared" si="7"/>
        <v>53.390575000000005</v>
      </c>
      <c r="L25" s="276">
        <f t="shared" si="7"/>
        <v>0</v>
      </c>
      <c r="M25" s="232">
        <f t="shared" si="7"/>
        <v>1350.0188250000001</v>
      </c>
      <c r="N25" s="233">
        <f>SUM(N16:N24)</f>
        <v>288.30508474576266</v>
      </c>
      <c r="O25" s="101">
        <f>SUM(O16:O24)</f>
        <v>8.1916195487288128</v>
      </c>
      <c r="P25" s="234">
        <f>SUM(P16:P24)</f>
        <v>1646.5155292944914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1525.4449999999999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122.03559999999999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53.390575000000005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1350.0188250000001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288.30508474576266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1638.3239097457626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8.1916195487288128</v>
      </c>
    </row>
    <row r="35" spans="2:16" ht="15.75" customHeight="1" thickBot="1" x14ac:dyDescent="0.4">
      <c r="N35" s="374" t="s">
        <v>88</v>
      </c>
      <c r="O35" s="375"/>
      <c r="P35" s="297">
        <f>+P33+P34</f>
        <v>1646.5155292944914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15</v>
      </c>
      <c r="I17" s="236">
        <f t="shared" ref="I17:I23" si="0">(G17*D17)*F17+H17*F17</f>
        <v>786.9375</v>
      </c>
      <c r="J17" s="272">
        <f t="shared" ref="J17:L24" si="1">$I17*S17</f>
        <v>62.954999999999998</v>
      </c>
      <c r="K17" s="128">
        <f>$I17*T17</f>
        <v>27.542812500000004</v>
      </c>
      <c r="L17" s="119">
        <f>$I17*U17</f>
        <v>0</v>
      </c>
      <c r="M17" s="230">
        <f t="shared" ref="M17:M24" si="2">I17-SUM(J17:L17)</f>
        <v>696.43968749999999</v>
      </c>
      <c r="N17" s="277">
        <f t="shared" ref="N17:N24" si="3">+(G17*D17+H17)*V17</f>
        <v>148.72881355932196</v>
      </c>
      <c r="O17" s="239">
        <f t="shared" ref="O17:O24" si="4">(N17+M17)*$O$15</f>
        <v>4.22584250529661</v>
      </c>
      <c r="P17" s="119">
        <f t="shared" ref="P17:P24" si="5">M17+N17+O17</f>
        <v>849.39434356461845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73.447500000000019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1743.3600000000001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139.46880000000002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61.017600000000009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1542.8736000000001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1872.3651254237288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74" t="s">
        <v>88</v>
      </c>
      <c r="O35" s="375"/>
      <c r="P35" s="297">
        <f>+P33+P34</f>
        <v>1881.7269510508474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6" workbookViewId="0">
      <selection activeCell="H19" sqref="H17: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529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18" sqref="H16: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6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3" workbookViewId="0">
      <selection activeCell="H10" sqref="H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6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>
        <v>6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36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46309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46308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2026-10-13T03:54:02Z</dcterms:modified>
</cp:coreProperties>
</file>