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8AC43F-270A-41FB-B4BB-47F96AF13B3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M16" i="48"/>
  <c r="K12" i="62"/>
  <c r="M20" i="47"/>
  <c r="O20" i="47" s="1"/>
  <c r="P20" i="47" s="1"/>
  <c r="M21" i="47"/>
  <c r="O21" i="47" s="1"/>
  <c r="P21" i="47" s="1"/>
  <c r="J7" i="62"/>
  <c r="M17" i="44"/>
  <c r="O17" i="44" s="1"/>
  <c r="P17" i="44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<sst xmlns="http://schemas.openxmlformats.org/spreadsheetml/2006/main" count="3948" uniqueCount="529">
  <si>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</si>
  <si>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</si>
  <si>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</si>
  <si>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</si>
  <si>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</si>
  <si>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</si>
  <si>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</si>
  <si>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</si>
  <si>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</si>
  <si>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</si>
  <si>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</si>
  <si>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</si>
  <si>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</si>
  <si>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</si>
  <si>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</si>
  <si>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</si>
  <si>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</si>
  <si>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</si>
  <si>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</si>
  <si>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</si>
  <si>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</si>
  <si>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</si>
  <si>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</si>
  <si>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</si>
  <si>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</si>
  <si>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</si>
  <si>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</si>
  <si>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</si>
  <si>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</si>
  <si>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</si>
  <si>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</si>
  <si>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</si>
  <si>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</si>
  <si>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</si>
  <si>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</si>
  <si>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</si>
  <si>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</si>
  <si>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</si>
  <si>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</si>
  <si>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</si>
  <si>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</si>
  <si>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</si>
  <si>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</si>
  <si>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</si>
  <si>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</si>
  <si>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</si>
  <si>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</si>
  <si>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</si>
  <si>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</si>
  <si>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</si>
  <si>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</si>
  <si>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</si>
  <si>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</si>
  <si>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</si>
  <si>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</si>
  <si>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</si>
  <si>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</si>
  <si>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</si>
  <si>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</si>
  <si>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</si>
  <si>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</si>
  <si>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</si>
  <si>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</si>
  <si>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</si>
  <si>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</si>
  <si>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</si>
  <si>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</si>
  <si>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</si>
  <si>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</si>
  <si>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</si>
  <si>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</si>
  <si>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</si>
  <si>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</si>
  <si>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</si>
  <si>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</si>
  <si>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</si>
  <si>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</si>
  <si>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</si>
  <si>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</si>
  <si>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</si>
  <si>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</si>
  <si>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</si>
  <si>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</si>
  <si>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</si>
  <si>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</si>
  <si>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</si>
  <si>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</si>
  <si>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</si>
  <si>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</si>
  <si>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</si>
  <si>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</si>
  <si>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</si>
  <si>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</si>
  <si>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</si>
  <si>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</si>
  <si>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</si>
  <si>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</si>
  <si>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</si>
  <si>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</si>
  <si>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</si>
  <si>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</si>
  <si>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</si>
  <si>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</si>
  <si>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</si>
  <si>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</si>
  <si>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</si>
  <si>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</si>
  <si>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</si>
  <si>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</si>
  <si>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</si>
  <si>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</si>
  <si>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</si>
  <si>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</si>
  <si>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</si>
  <si>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</si>
  <si>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</si>
  <si>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</si>
  <si>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</si>
  <si>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</si>
  <si>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</si>
  <si>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</si>
  <si>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</si>
  <si>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</si>
  <si>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</si>
  <si>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</si>
  <si>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</si>
  <si>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</si>
  <si>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</si>
  <si>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</si>
  <si>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</si>
  <si>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</si>
  <si>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</si>
  <si>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</si>
  <si>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</si>
  <si>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</si>
  <si>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</si>
  <si>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</si>
  <si>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</si>
  <si>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</si>
  <si>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</si>
  <si>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</si>
  <si>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</si>
  <si>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</si>
  <si>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</si>
  <si>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</si>
  <si>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</si>
  <si>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</si>
  <si>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</si>
  <si>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</si>
  <si>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</si>
  <si>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</si>
  <si>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</si>
  <si>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</si>
  <si>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</si>
  <si>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</si>
  <si>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</si>
  <si>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</si>
  <si>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</si>
  <si>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</si>
  <si>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</si>
  <si>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</si>
  <si>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</si>
  <si>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</si>
  <si>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</si>
  <si>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</si>
  <si>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</si>
  <si>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</si>
  <si>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</si>
  <si>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</si>
  <si>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</si>
  <si>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</si>
  <si>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</si>
  <si>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</si>
  <si>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</si>
  <si>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</si>
  <si>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</si>
  <si>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</si>
  <si>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</si>
  <si>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</si>
  <si>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</si>
  <si>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</si>
  <si>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</si>
  <si>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</si>
  <si>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</si>
  <si>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</si>
  <si>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</si>
  <si>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</si>
  <si>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</si>
  <si>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</si>
  <si>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</si>
  <si>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</si>
  <si>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</si>
  <si>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</si>
  <si>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</si>
  <si>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</si>
  <si>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</si>
  <si>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</si>
  <si>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</si>
  <si>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</si>
  <si>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</si>
  <si>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</si>
  <si>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</si>
  <si>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</si>
  <si>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</si>
  <si>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</si>
  <si>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</si>
  <si>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</si>
  <si>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</si>
  <si>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</si>
  <si>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</si>
  <si>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</si>
  <si>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</si>
  <si>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</si>
  <si>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</si>
  <si>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</si>
  <si>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</si>
  <si>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</si>
  <si>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</si>
  <si>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</si>
  <si>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</si>
  <si>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</si>
  <si>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</si>
  <si>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</si>
  <si>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</si>
  <si>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</si>
  <si>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</si>
  <si>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</si>
  <si>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</si>
  <si>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</si>
  <si>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</si>
  <si>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</si>
  <si>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</si>
  <si>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</si>
  <si>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</si>
  <si>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</si>
  <si>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</si>
  <si>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</si>
  <si>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</si>
  <si>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</si>
  <si>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</si>
  <si>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</si>
  <si>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</si>
  <si>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</si>
  <si>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</si>
  <si>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</si>
  <si>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</si>
  <si>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</si>
  <si>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</si>
  <si>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</si>
  <si>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</si>
  <si>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</si>
  <si>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</si>
  <si>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</si>
  <si>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</si>
  <si>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</si>
  <si>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</si>
  <si>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</si>
  <si>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</si>
  <si>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</si>
  <si>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</si>
  <si>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</si>
  <si>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</si>
  <si>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</si>
  <si>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</si>
  <si>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</si>
  <si>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</si>
  <si>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</si>
  <si>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</si>
  <si>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</si>
  <si>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</si>
  <si>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</si>
  <si>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</si>
  <si>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</si>
  <si>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</si>
  <si>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</si>
  <si>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</si>
  <si>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</si>
  <si>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</si>
  <si>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</si>
  <si>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</si>
  <si>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</si>
  <si>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</si>
  <si>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</si>
  <si>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</si>
  <si>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</si>
  <si>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</si>
  <si>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</si>
  <si>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</si>
  <si>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</si>
  <si>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</si>
  <si>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</si>
  <si>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</si>
  <si>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</si>
  <si>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</si>
  <si>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</si>
  <si>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</si>
  <si>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</si>
  <si>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</si>
  <si>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</si>
  <si>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</si>
  <si>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</si>
  <si>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</si>
  <si>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</si>
  <si>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</si>
  <si>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</si>
  <si>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</si>
  <si>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</si>
  <si>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</si>
  <si>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</si>
  <si>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</si>
  <si>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</si>
  <si>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</si>
  <si>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</si>
  <si>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</si>
  <si>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</si>
  <si>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</si>
  <si>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</si>
  <si>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</si>
  <si>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</si>
  <si>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</si>
  <si>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</si>
  <si>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</si>
  <si>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</si>
  <si>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</si>
  <si>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</si>
  <si>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</si>
  <si>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</si>
  <si>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</si>
  <si>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</si>
  <si>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</si>
  <si>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</si>
  <si>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</si>
  <si>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</si>
  <si>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</si>
  <si>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</si>
  <si>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</si>
  <si>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</si>
  <si>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</si>
  <si>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</si>
  <si>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</si>
  <si>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</si>
  <si>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</si>
  <si>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</si>
  <si>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</si>
  <si>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</si>
  <si>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</si>
  <si>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</si>
  <si>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</si>
  <si>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</si>
  <si>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</si>
  <si>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</si>
  <si>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</si>
  <si>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</si>
  <si>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</si>
  <si>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</si>
  <si>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</si>
  <si>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</si>
  <si>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</si>
  <si>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</si>
  <si>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</si>
  <si>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</si>
  <si>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</si>
  <si>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</si>
  <si>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</si>
  <si>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</si>
  <si>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</si>
  <si>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</si>
  <si>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</si>
  <si>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</si>
  <si>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</si>
  <si>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</si>
  <si>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</si>
  <si>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</si>
  <si>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</si>
  <si>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</si>
  <si>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</si>
  <si>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</si>
  <si>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</si>
  <si>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</si>
  <si>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</si>
  <si>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</si>
  <si>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</si>
  <si>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</si>
  <si>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</si>
  <si>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</si>
  <si>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</si>
  <si>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</si>
  <si>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</si>
  <si>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</si>
  <si>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</si>
  <si>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</si>
  <si>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</si>
  <si>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</si>
  <si>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</si>
  <si>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</si>
  <si>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</si>
  <si>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</si>
  <si>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</si>
  <si>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</si>
  <si>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</si>
  <si>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</si>
  <si>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</si>
  <si>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</si>
  <si>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</si>
  <si>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</si>
  <si>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</si>
  <si>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</si>
  <si>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</si>
  <si>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</si>
  <si>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</si>
  <si>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</si>
  <si>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</si>
  <si>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</si>
  <si>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</si>
  <si>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</si>
  <si>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</si>
  <si>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</si>
  <si>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</si>
  <si>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</si>
  <si>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</si>
  <si>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</si>
  <si>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</si>
  <si>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</si>
  <si>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</si>
  <si>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</si>
  <si>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</si>
  <si>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</si>
  <si>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</si>
  <si>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</si>
  <si>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</si>
  <si>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</si>
  <si>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</si>
  <si>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</si>
  <si>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</si>
  <si>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</si>
  <si>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</si>
  <si>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</si>
  <si>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</si>
  <si>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</si>
  <si>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</si>
  <si>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</si>
  <si>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</si>
  <si>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</si>
  <si>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</si>
  <si>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</si>
  <si>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</si>
  <si>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</si>
  <si>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</si>
  <si>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</si>
  <si>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</si>
  <si>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</si>
  <si>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</si>
  <si>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</si>
  <si>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</si>
  <si>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</si>
  <si>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</si>
  <si>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</si>
  <si>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</si>
  <si>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</si>
  <si>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</si>
  <si>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</si>
  <si>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</si>
  <si>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</si>
  <si>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</si>
  <si>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</si>
  <si>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</si>
  <si>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</si>
  <si>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</si>
  <si>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</si>
  <si>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</si>
  <si>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</si>
  <si>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</si>
  <si>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</si>
  <si>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</si>
  <si>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</si>
  <si>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</si>
  <si>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</si>
  <si>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</si>
  <si>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</si>
  <si>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</si>
  <si>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</si>
  <si>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</si>
  <si>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</si>
  <si>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</si>
  <si>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</si>
  <si>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</si>
  <si>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</si>
  <si>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</si>
  <si>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</si>
  <si>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</si>
  <si>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</si>
  <si>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</si>
  <si>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</si>
  <si>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</si>
  <si>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</si>
  <si>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</si>
  <si>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</si>
  <si>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</si>
  <si>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</si>
  <si>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</si>
  <si>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</si>
  <si>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</si>
  <si>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</si>
  <si>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</si>
  <si>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</si>
  <si>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</si>
  <si>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</si>
  <si>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</si>
  <si>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</si>
  <si>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</si>
  <si>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</si>
  <si>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</si>
  <si>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</si>
  <si>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</si>
  <si>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</si>
  <si>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Address: Central Park </t>
  </si>
  <si>
    <t xml:space="preserve">Bajwa Center </t>
  </si>
  <si>
    <t xml:space="preserve">S.A Cash &amp; Carry </t>
  </si>
  <si>
    <t xml:space="preserve">Bajwa Mart </t>
  </si>
  <si>
    <t xml:space="preserve">Al Taj Mart </t>
  </si>
  <si>
    <t>Hafiz Super Store</t>
  </si>
  <si>
    <t xml:space="preserve">Altaf Cash &amp; Carry </t>
  </si>
  <si>
    <t xml:space="preserve">Al Faisal Mart </t>
  </si>
  <si>
    <t xml:space="preserve">Address: Behria Nasheman </t>
  </si>
  <si>
    <t>Euro Store</t>
  </si>
  <si>
    <t xml:space="preserve">Address: Walton </t>
  </si>
  <si>
    <t xml:space="preserve">Al Noor Bakery </t>
  </si>
  <si>
    <t xml:space="preserve">Address: G Block Market </t>
  </si>
  <si>
    <t>Sufiyan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</si>
</sst>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12" sqref="I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Bajwa Center </v>
      </c>
      <c r="T3" s="301">
        <f>+'1'!P35</f>
        <v>7666.3147507627118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S.A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Bajwa Mart </v>
      </c>
      <c r="T5" s="301">
        <f>+'3'!P35</f>
        <v>2038.5464245550845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 Taj Mart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122</v>
      </c>
      <c r="I7" s="235">
        <f>(G7*D7)*F7+H7*F7</f>
        <v>6400.4250000000002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554.00400000000002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224.01487500000002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5622.4061250000004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1209.6610169491519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34.160335709745759</v>
      </c>
      <c r="P7" s="310">
        <f>M7+N7+O7</f>
        <v>6866.2274776588974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50</v>
      </c>
      <c r="R7" s="313">
        <v>5</v>
      </c>
      <c r="S7" s="300" t="str">
        <f>+'5'!A6:A6</f>
        <v>Hafiz Super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72</v>
      </c>
      <c r="I8" s="236">
        <f t="shared" ref="I8:I14" si="0">(G8*D8)*F8+H8*F8</f>
        <v>3777.2999999999997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302.18399999999997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132.2055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3342.9105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713.89830508474552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20.284044025423729</v>
      </c>
      <c r="P8" s="311">
        <f t="shared" ref="P8:P15" si="2">M8+N8+O8</f>
        <v>4077.092849110169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Altaf Cash &amp; Carry </v>
      </c>
      <c r="T8" s="301">
        <f>+'6'!P35</f>
        <v>13679.170540932206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202</v>
      </c>
      <c r="I9" s="236">
        <f t="shared" si="0"/>
        <v>10597.424999999999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889.76400000000001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370.909875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9336.7511249999989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2002.8813559322027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56.698162404661012</v>
      </c>
      <c r="P9" s="311">
        <f t="shared" si="2"/>
        <v>11396.330643336862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 xml:space="preserve">Al Faisal Mart </v>
      </c>
      <c r="T9" s="301">
        <f>+'7'!P35</f>
        <v>4530.103165677966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110</v>
      </c>
      <c r="I10" s="236">
        <f t="shared" si="0"/>
        <v>7990.4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279.66400000000004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7013.3919999999998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1510.1694915254238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42.617807457627123</v>
      </c>
      <c r="P10" s="311">
        <f t="shared" si="2"/>
        <v>8566.1792989830501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3799.0719999999997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23.114004067796611</v>
      </c>
      <c r="P11" s="311">
        <f t="shared" si="2"/>
        <v>4645.9148176271183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5</v>
      </c>
      <c r="R11" s="313">
        <v>9</v>
      </c>
      <c r="S11" s="300" t="str">
        <f>+'9'!A6:A6</f>
        <v xml:space="preserve">Al Noor Bakery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4441.9359999999997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27.014764745762712</v>
      </c>
      <c r="P12" s="311">
        <f t="shared" si="2"/>
        <v>5429.9677138983043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Sufiyan Mart</v>
      </c>
      <c r="T12" s="301">
        <f>+'10'!P35</f>
        <v>5401.2631679237293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15.9</v>
      </c>
      <c r="H16" s="113">
        <f t="shared" ref="H16:M16" si="3">SUM(H7:H15)</f>
        <v>636</v>
      </c>
      <c r="I16" s="114">
        <f t="shared" si="3"/>
        <v>38208.750000000007</v>
      </c>
      <c r="J16" s="274">
        <f>SUM(J7:J15)</f>
        <v>3314.9760000000006</v>
      </c>
      <c r="K16" s="275">
        <f t="shared" si="3"/>
        <v>1337.3062500000001</v>
      </c>
      <c r="L16" s="276">
        <f t="shared" si="3"/>
        <v>0</v>
      </c>
      <c r="M16" s="232">
        <f t="shared" si="3"/>
        <v>33556.467749999996</v>
      </c>
      <c r="N16" s="233">
        <f>SUM(N7:N15)</f>
        <v>7221.355932203388</v>
      </c>
      <c r="O16" s="101">
        <f>SUM(O7:O15)</f>
        <v>203.88911841101694</v>
      </c>
      <c r="P16" s="113">
        <f>SUM(P7:P15)</f>
        <v>40981.712800614398</v>
      </c>
      <c r="Q16" s="128">
        <f>SUM(Q7:Q15)</f>
        <v>120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38208.750000000007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3314.9760000000006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1337.3062500000001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33556.467750000003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7221.355932203388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40777.823682203394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203.88911841101694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40981.712800614412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40981.712800614412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568.20799999999997</v>
      </c>
      <c r="K25" s="275">
        <f t="shared" si="10"/>
        <v>248.59100000000001</v>
      </c>
      <c r="L25" s="276">
        <f t="shared" si="10"/>
        <v>0</v>
      </c>
      <c r="M25" s="232">
        <f t="shared" si="10"/>
        <v>6285.8010000000013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7102.6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568.20799999999997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248.59100000000001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6285.8010000000004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7628.1738813559323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74" t="s">
        <v>88</v>
      </c>
      <c r="O35" s="375"/>
      <c r="P35" s="297">
        <f>+P33+P34</f>
        <v>7666.3147507627118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H21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1291.3799999999999</v>
      </c>
      <c r="K25" s="275">
        <f t="shared" si="7"/>
        <v>451.98300000000006</v>
      </c>
      <c r="L25" s="276">
        <f t="shared" si="7"/>
        <v>0</v>
      </c>
      <c r="M25" s="232">
        <f t="shared" si="7"/>
        <v>11170.437000000002</v>
      </c>
      <c r="N25" s="233">
        <f>SUM(N16:N24)</f>
        <v>2440.6779661016944</v>
      </c>
      <c r="O25" s="101">
        <f>SUM(O16:O24)</f>
        <v>68.055574830508476</v>
      </c>
      <c r="P25" s="234">
        <f>SUM(P16:P24)</f>
        <v>13679.170540932202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12913.800000000001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1291.3799999999999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451.98300000000006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11170.437000000002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13611.114966101697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68.05557483050849</v>
      </c>
    </row>
    <row r="35" spans="2:16" ht="15.75" customHeight="1" thickBot="1" x14ac:dyDescent="0.4">
      <c r="N35" s="374" t="s">
        <v>88</v>
      </c>
      <c r="O35" s="375"/>
      <c r="P35" s="297">
        <f>+P33+P34</f>
        <v>13679.170540932206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335.76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146.89500000000001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3714.3449999999998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4507.5653389830504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4" t="s">
        <v>88</v>
      </c>
      <c r="O35" s="375"/>
      <c r="P35" s="297">
        <f>+P33+P34</f>
        <v>4530.103165677966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4"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2026-10-13T04:21:33Z</dcterms:modified>
</cp:coreProperties>
</file>