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0413808-6168-47EA-8AB0-FA08E2BA0232}" xr6:coauthVersionLast="47" xr6:coauthVersionMax="47" xr10:uidLastSave="{00000000-0000-0000-0000-000000000000}"/>
  <bookViews>
    <workbookView xWindow="-110" yWindow="-110" windowWidth="19420" windowHeight="10420" tabRatio="948" firstSheet="3" activeTab="12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12">'9'!$A$1:$P$36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0" l="1"/>
  <c r="O20" i="50" s="1"/>
  <c r="P20" i="5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<sst xmlns="http://schemas.openxmlformats.org/spreadsheetml/2006/main" count="3948" uniqueCount="528">
  <si>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</si>
  <si>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</si>
  <si>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</si>
  <si>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</si>
  <si>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</si>
  <si>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</si>
  <si>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</si>
  <si>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</si>
  <si>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</si>
  <si>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</si>
  <si>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</si>
  <si>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</si>
  <si>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</si>
  <si>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</si>
  <si>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</si>
  <si>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</si>
  <si>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</si>
  <si>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</si>
  <si>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</si>
  <si>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</si>
  <si>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</si>
  <si>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</si>
  <si>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</si>
  <si>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</si>
  <si>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</si>
  <si>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</si>
  <si>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</si>
  <si>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</si>
  <si>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</si>
  <si>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</si>
  <si>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</si>
  <si>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</si>
  <si>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</si>
  <si>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</si>
  <si>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</si>
  <si>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</si>
  <si>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</si>
  <si>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</si>
  <si>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</si>
  <si>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</si>
  <si>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</si>
  <si>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</si>
  <si>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</si>
  <si>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</si>
  <si>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</si>
  <si>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</si>
  <si>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</si>
  <si>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</si>
  <si>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</si>
  <si>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</si>
  <si>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</si>
  <si>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</si>
  <si>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</si>
  <si>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</si>
  <si>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</si>
  <si>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</si>
  <si>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</si>
  <si>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</si>
  <si>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</si>
  <si>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</si>
  <si>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</si>
  <si>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</si>
  <si>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</si>
  <si>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</si>
  <si>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</si>
  <si>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</si>
  <si>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</si>
  <si>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</si>
  <si>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</si>
  <si>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</si>
  <si>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</si>
  <si>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</si>
  <si>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</si>
  <si>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</si>
  <si>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</si>
  <si>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</si>
  <si>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</si>
  <si>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</si>
  <si>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</si>
  <si>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</si>
  <si>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</si>
  <si>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</si>
  <si>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</si>
  <si>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</si>
  <si>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</si>
  <si>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</si>
  <si>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</si>
  <si>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</si>
  <si>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</si>
  <si>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</si>
  <si>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</si>
  <si>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</si>
  <si>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</si>
  <si>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</si>
  <si>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</si>
  <si>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</si>
  <si>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</si>
  <si>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</si>
  <si>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</si>
  <si>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</si>
  <si>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</si>
  <si>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</si>
  <si>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</si>
  <si>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</si>
  <si>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</si>
  <si>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</si>
  <si>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</si>
  <si>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</si>
  <si>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</si>
  <si>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</si>
  <si>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</si>
  <si>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</si>
  <si>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</si>
  <si>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</si>
  <si>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</si>
  <si>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</si>
  <si>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</si>
  <si>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</si>
  <si>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</si>
  <si>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</si>
  <si>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</si>
  <si>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</si>
  <si>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</si>
  <si>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</si>
  <si>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</si>
  <si>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</si>
  <si>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</si>
  <si>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</si>
  <si>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</si>
  <si>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</si>
  <si>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</si>
  <si>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</si>
  <si>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</si>
  <si>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</si>
  <si>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</si>
  <si>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</si>
  <si>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</si>
  <si>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</si>
  <si>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</si>
  <si>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</si>
  <si>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</si>
  <si>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</si>
  <si>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</si>
  <si>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</si>
  <si>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</si>
  <si>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</si>
  <si>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</si>
  <si>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</si>
  <si>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</si>
  <si>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</si>
  <si>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</si>
  <si>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</si>
  <si>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</si>
  <si>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</si>
  <si>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</si>
  <si>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</si>
  <si>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</si>
  <si>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</si>
  <si>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</si>
  <si>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</si>
  <si>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</si>
  <si>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</si>
  <si>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</si>
  <si>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</si>
  <si>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</si>
  <si>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</si>
  <si>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</si>
  <si>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</si>
  <si>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</si>
  <si>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</si>
  <si>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</si>
  <si>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</si>
  <si>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</si>
  <si>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</si>
  <si>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</si>
  <si>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</si>
  <si>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</si>
  <si>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</si>
  <si>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</si>
  <si>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</si>
  <si>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</si>
  <si>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</si>
  <si>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</si>
  <si>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</si>
  <si>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</si>
  <si>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</si>
  <si>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</si>
  <si>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</si>
  <si>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</si>
  <si>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</si>
  <si>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</si>
  <si>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</si>
  <si>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</si>
  <si>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</si>
  <si>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</si>
  <si>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</si>
  <si>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</si>
  <si>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</si>
  <si>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</si>
  <si>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</si>
  <si>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</si>
  <si>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</si>
  <si>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</si>
  <si>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</si>
  <si>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</si>
  <si>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</si>
  <si>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</si>
  <si>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</si>
  <si>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</si>
  <si>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</si>
  <si>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</si>
  <si>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</si>
  <si>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</si>
  <si>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</si>
  <si>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</si>
  <si>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</si>
  <si>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</si>
  <si>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</si>
  <si>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</si>
  <si>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</si>
  <si>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</si>
  <si>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</si>
  <si>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</si>
  <si>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</si>
  <si>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</si>
  <si>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</si>
  <si>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</si>
  <si>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</si>
  <si>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</si>
  <si>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</si>
  <si>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</si>
  <si>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</si>
  <si>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</si>
  <si>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</si>
  <si>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</si>
  <si>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</si>
  <si>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</si>
  <si>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</si>
  <si>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</si>
  <si>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</si>
  <si>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</si>
  <si>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</si>
  <si>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</si>
  <si>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</si>
  <si>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</si>
  <si>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</si>
  <si>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</si>
  <si>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</si>
  <si>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</si>
  <si>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</si>
  <si>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</si>
  <si>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</si>
  <si>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</si>
  <si>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</si>
  <si>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</si>
  <si>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</si>
  <si>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</si>
  <si>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</si>
  <si>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</si>
  <si>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</si>
  <si>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</si>
  <si>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</si>
  <si>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</si>
  <si>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</si>
  <si>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</si>
  <si>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</si>
  <si>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</si>
  <si>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</si>
  <si>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</si>
  <si>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</si>
  <si>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</si>
  <si>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</si>
  <si>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</si>
  <si>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</si>
  <si>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</si>
  <si>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</si>
  <si>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</si>
  <si>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</si>
  <si>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</si>
  <si>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</si>
  <si>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</si>
  <si>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</si>
  <si>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</si>
  <si>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</si>
  <si>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</si>
  <si>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</si>
  <si>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</si>
  <si>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</si>
  <si>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</si>
  <si>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</si>
  <si>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</si>
  <si>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</si>
  <si>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</si>
  <si>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</si>
  <si>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</si>
  <si>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</si>
  <si>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</si>
  <si>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</si>
  <si>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</si>
  <si>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</si>
  <si>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</si>
  <si>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</si>
  <si>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</si>
  <si>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</si>
  <si>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</si>
  <si>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</si>
  <si>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</si>
  <si>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</si>
  <si>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</si>
  <si>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</si>
  <si>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</si>
  <si>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</si>
  <si>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</si>
  <si>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</si>
  <si>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</si>
  <si>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</si>
  <si>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</si>
  <si>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</si>
  <si>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</si>
  <si>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</si>
  <si>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</si>
  <si>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</si>
  <si>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</si>
  <si>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</si>
  <si>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</si>
  <si>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</si>
  <si>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</si>
  <si>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</si>
  <si>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</si>
  <si>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</si>
  <si>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</si>
  <si>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</si>
  <si>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</si>
  <si>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</si>
  <si>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</si>
  <si>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</si>
  <si>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</si>
  <si>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</si>
  <si>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</si>
  <si>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</si>
  <si>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</si>
  <si>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</si>
  <si>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</si>
  <si>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</si>
  <si>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</si>
  <si>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</si>
  <si>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</si>
  <si>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</si>
  <si>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</si>
  <si>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</si>
  <si>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</si>
  <si>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</si>
  <si>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</si>
  <si>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</si>
  <si>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</si>
  <si>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</si>
  <si>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</si>
  <si>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</si>
  <si>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</si>
  <si>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</si>
  <si>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</si>
  <si>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</si>
  <si>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</si>
  <si>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</si>
  <si>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</si>
  <si>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</si>
  <si>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</si>
  <si>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</si>
  <si>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</si>
  <si>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</si>
  <si>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</si>
  <si>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</si>
  <si>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</si>
  <si>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</si>
  <si>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</si>
  <si>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</si>
  <si>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</si>
  <si>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</si>
  <si>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</si>
  <si>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</si>
  <si>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</si>
  <si>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</si>
  <si>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</si>
  <si>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</si>
  <si>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</si>
  <si>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</si>
  <si>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</si>
  <si>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</si>
  <si>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</si>
  <si>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</si>
  <si>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</si>
  <si>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</si>
  <si>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</si>
  <si>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</si>
  <si>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</si>
  <si>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</si>
  <si>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</si>
  <si>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</si>
  <si>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</si>
  <si>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</si>
  <si>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</si>
  <si>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</si>
  <si>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</si>
  <si>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</si>
  <si>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</si>
  <si>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</si>
  <si>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</si>
  <si>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</si>
  <si>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</si>
  <si>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</si>
  <si>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</si>
  <si>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</si>
  <si>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</si>
  <si>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</si>
  <si>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</si>
  <si>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</si>
  <si>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</si>
  <si>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</si>
  <si>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</si>
  <si>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</si>
  <si>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</si>
  <si>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</si>
  <si>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</si>
  <si>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</si>
  <si>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</si>
  <si>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</si>
  <si>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</si>
  <si>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</si>
  <si>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</si>
  <si>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</si>
  <si>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</si>
  <si>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</si>
  <si>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</si>
  <si>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</si>
  <si>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</si>
  <si>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</si>
  <si>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</si>
  <si>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</si>
  <si>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</si>
  <si>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</si>
  <si>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</si>
  <si>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</si>
  <si>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</si>
  <si>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</si>
  <si>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</si>
  <si>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</si>
  <si>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</si>
  <si>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</si>
  <si>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</si>
  <si>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</si>
  <si>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</si>
  <si>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</si>
  <si>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</si>
  <si>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</si>
  <si>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</si>
  <si>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</si>
  <si>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</si>
  <si>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</si>
  <si>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</si>
  <si>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</si>
  <si>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</si>
  <si>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</si>
  <si>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</si>
  <si>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</si>
  <si>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</si>
  <si>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</si>
  <si>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</si>
  <si>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</si>
  <si>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</si>
  <si>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</si>
  <si>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</si>
  <si>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</si>
  <si>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</si>
  <si>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</si>
  <si>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</si>
  <si>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</si>
  <si>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</si>
  <si>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</si>
  <si>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</si>
  <si>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</si>
  <si>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</si>
  <si>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</si>
  <si>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</si>
  <si>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</si>
  <si>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</si>
  <si>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</si>
  <si>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</si>
  <si>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</si>
  <si>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</si>
  <si>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</si>
  <si>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</si>
  <si>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</si>
  <si>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</si>
  <si>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</si>
  <si>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</si>
  <si>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</si>
  <si>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</si>
  <si>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</si>
  <si>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</si>
  <si>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</si>
  <si>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</si>
  <si>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</si>
  <si>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</si>
  <si>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</si>
  <si>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</si>
  <si>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</si>
  <si>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</si>
  <si>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</si>
  <si>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</si>
  <si>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</si>
  <si>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</si>
  <si>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</si>
  <si>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</si>
  <si>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</si>
  <si>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</si>
  <si>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 xml:space="preserve">Tehzeem Cash &amp; Carry </t>
  </si>
  <si>
    <t xml:space="preserve">Address: Edin City </t>
  </si>
  <si>
    <t>Fakhir Store</t>
  </si>
  <si>
    <t>Address: Bedian Road</t>
  </si>
  <si>
    <t xml:space="preserve">Mian Bakery </t>
  </si>
  <si>
    <t xml:space="preserve">Address: Bedian </t>
  </si>
  <si>
    <t>Malik Store</t>
  </si>
  <si>
    <t>Saleem Store</t>
  </si>
  <si>
    <t xml:space="preserve">U Mart </t>
  </si>
  <si>
    <t>Address: DHA</t>
  </si>
  <si>
    <t>Khalil Store</t>
  </si>
  <si>
    <t>Yaseen Store</t>
  </si>
  <si>
    <t>Toheed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</si>
</sst>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3" workbookViewId="0">
      <selection activeCell="S11" sqref="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Tehzeem Cash &amp; Carry </v>
      </c>
      <c r="T3" s="301">
        <f>+'1'!P35</f>
        <v>8101.8947518855921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Fakhir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Mian Bakery 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Malik Store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25</v>
      </c>
      <c r="R7" s="313">
        <v>5</v>
      </c>
      <c r="S7" s="300" t="str">
        <f>+'5'!A6:A6</f>
        <v>Saleem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 xml:space="preserve">U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</v>
      </c>
      <c r="I9" s="236">
        <f t="shared" si="0"/>
        <v>3147.75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110.17125000000001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2785.75875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594.91525423728785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16.90337002118644</v>
      </c>
      <c r="P9" s="311">
        <f t="shared" si="2"/>
        <v>3397.5773742584738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25</v>
      </c>
      <c r="R9" s="313">
        <v>7</v>
      </c>
      <c r="S9" s="300" t="str">
        <f>+'7'!A6:A6</f>
        <v>Khalil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Yaseen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Toheed Store</v>
      </c>
      <c r="T11" s="301">
        <f>+'9'!P35</f>
        <v>13503.157919809322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</v>
      </c>
      <c r="H16" s="113">
        <f t="shared" ref="H16:M16" si="3">SUM(H7:H15)</f>
        <v>360</v>
      </c>
      <c r="I16" s="114">
        <f t="shared" si="3"/>
        <v>22518.449999999997</v>
      </c>
      <c r="J16" s="274">
        <f>SUM(J7:J15)</f>
        <v>1801.4760000000001</v>
      </c>
      <c r="K16" s="275">
        <f t="shared" si="3"/>
        <v>788.14575000000002</v>
      </c>
      <c r="L16" s="276">
        <f t="shared" si="3"/>
        <v>0</v>
      </c>
      <c r="M16" s="232">
        <f t="shared" si="3"/>
        <v>19928.828249999999</v>
      </c>
      <c r="N16" s="233">
        <f>SUM(N7:N15)</f>
        <v>4255.9322033898297</v>
      </c>
      <c r="O16" s="101">
        <f>SUM(O7:O15)</f>
        <v>120.92380226694917</v>
      </c>
      <c r="P16" s="113">
        <f>SUM(P7:P15)</f>
        <v>24305.684255656775</v>
      </c>
      <c r="Q16" s="128">
        <f>SUM(Q7:Q15)</f>
        <v>120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22518.449999999997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1801.4760000000001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788.14575000000002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19928.828249999999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4255.9322033898297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24184.760453389827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120.92380226694917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24305.684255656775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24305.684255656779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7506.1500000000005</v>
      </c>
      <c r="J25" s="274">
        <f>SUM(J16:J24)</f>
        <v>600.49199999999996</v>
      </c>
      <c r="K25" s="275">
        <f t="shared" si="10"/>
        <v>262.71525000000003</v>
      </c>
      <c r="L25" s="276">
        <f t="shared" si="10"/>
        <v>0</v>
      </c>
      <c r="M25" s="232">
        <f t="shared" si="10"/>
        <v>6642.9427500000002</v>
      </c>
      <c r="N25" s="233">
        <f>SUM(N16:N24)</f>
        <v>1418.6440677966098</v>
      </c>
      <c r="O25" s="101">
        <f>SUM(O16:O24)</f>
        <v>40.307934088983046</v>
      </c>
      <c r="P25" s="234">
        <f>SUM(P16:P24)</f>
        <v>8101.894751885593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7506.1500000000005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600.49199999999996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262.71525000000003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6642.9427500000002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1418.6440677966098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8061.5868177966095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40.307934088983046</v>
      </c>
    </row>
    <row r="35" spans="2:16" ht="15.75" customHeight="1" thickBot="1" x14ac:dyDescent="0.4">
      <c r="N35" s="345" t="s">
        <v>88</v>
      </c>
      <c r="O35" s="346"/>
      <c r="P35" s="297">
        <f>+P33+P34</f>
        <v>8101.8947518855921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1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topLeftCell="A1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125.91</v>
      </c>
      <c r="K18" s="128">
        <f t="shared" si="1"/>
        <v>55.085625000000007</v>
      </c>
      <c r="L18" s="119">
        <f t="shared" si="1"/>
        <v>0</v>
      </c>
      <c r="M18" s="230">
        <f t="shared" si="2"/>
        <v>1392.879375</v>
      </c>
      <c r="N18" s="277">
        <f t="shared" si="3"/>
        <v>297.45762711864393</v>
      </c>
      <c r="O18" s="239">
        <f t="shared" si="4"/>
        <v>8.45168501059322</v>
      </c>
      <c r="P18" s="119">
        <f t="shared" si="5"/>
        <v>1698.7886871292369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119">
        <f t="shared" si="5"/>
        <v>2352.1586888135594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12510.25</v>
      </c>
      <c r="J25" s="274">
        <f>SUM(J16:J24)</f>
        <v>1000.8199999999999</v>
      </c>
      <c r="K25" s="275">
        <f t="shared" si="7"/>
        <v>437.85875000000004</v>
      </c>
      <c r="L25" s="276">
        <f t="shared" si="7"/>
        <v>0</v>
      </c>
      <c r="M25" s="232">
        <f t="shared" si="7"/>
        <v>11071.571250000001</v>
      </c>
      <c r="N25" s="233">
        <f>SUM(N16:N24)</f>
        <v>2364.4067796610166</v>
      </c>
      <c r="O25" s="101">
        <f>SUM(O16:O24)</f>
        <v>67.179890148305091</v>
      </c>
      <c r="P25" s="234">
        <f>SUM(P16:P24)</f>
        <v>13503.15791980932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12510.25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1000.8199999999999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437.85875000000004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11071.571250000001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2364.4067796610166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13435.978029661017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67.179890148305091</v>
      </c>
    </row>
    <row r="35" spans="2:16" ht="15.75" customHeight="1" thickBot="1" x14ac:dyDescent="0.4">
      <c r="N35" s="345" t="s">
        <v>88</v>
      </c>
      <c r="O35" s="346"/>
      <c r="P35" s="297">
        <f>+P33+P34</f>
        <v>13503.157919809322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2026-10-13T05:06:45Z</dcterms:modified>
</cp:coreProperties>
</file>