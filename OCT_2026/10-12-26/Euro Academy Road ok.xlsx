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548AE8C-3312-4A5D-AC06-06E6D6C84F65}" xr6:coauthVersionLast="47" xr6:coauthVersionMax="47" xr10:uidLastSave="{00000000-0000-0000-0000-000000000000}"/>
  <bookViews>
    <workbookView xWindow="-110" yWindow="-110" windowWidth="19420" windowHeight="10420" tabRatio="887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<sst xmlns="http://schemas.openxmlformats.org/spreadsheetml/2006/main" count="3977" uniqueCount="518">
  <si>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</si>
  <si>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</si>
  <si>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</si>
  <si>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</si>
  <si>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</si>
  <si>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</si>
  <si>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</si>
  <si>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</si>
  <si>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</si>
  <si>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</si>
  <si>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</si>
  <si>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</si>
  <si>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</si>
  <si>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</si>
  <si>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</si>
  <si>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</si>
  <si>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</si>
  <si>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</si>
  <si>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</si>
  <si>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</si>
  <si>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</si>
  <si>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</si>
  <si>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</si>
  <si>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</si>
  <si>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</si>
  <si>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</si>
  <si>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</si>
  <si>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</si>
  <si>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</si>
  <si>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</si>
  <si>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</si>
  <si>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</si>
  <si>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</si>
  <si>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</si>
  <si>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</si>
  <si>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</si>
  <si>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</si>
  <si>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</si>
  <si>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</si>
  <si>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</si>
  <si>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</si>
  <si>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</si>
  <si>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</si>
  <si>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</si>
  <si>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</si>
  <si>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</si>
  <si>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</si>
  <si>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</si>
  <si>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</si>
  <si>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</si>
  <si>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</si>
  <si>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</si>
  <si>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</si>
  <si>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</si>
  <si>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</si>
  <si>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</si>
  <si>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</si>
  <si>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</si>
  <si>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</si>
  <si>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</si>
  <si>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</si>
  <si>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</si>
  <si>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</si>
  <si>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</si>
  <si>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</si>
  <si>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</si>
  <si>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</si>
  <si>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</si>
  <si>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</si>
  <si>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</si>
  <si>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</si>
  <si>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</si>
  <si>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</si>
  <si>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</si>
  <si>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</si>
  <si>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</si>
  <si>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</si>
  <si>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</si>
  <si>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</si>
  <si>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</si>
  <si>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</si>
  <si>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</si>
  <si>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</si>
  <si>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</si>
  <si>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</si>
  <si>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</si>
  <si>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</si>
  <si>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</si>
  <si>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</si>
  <si>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</si>
  <si>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</si>
  <si>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</si>
  <si>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</si>
  <si>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</si>
  <si>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</si>
  <si>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</si>
  <si>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</si>
  <si>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</si>
  <si>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</si>
  <si>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</si>
  <si>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</si>
  <si>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</si>
  <si>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</si>
  <si>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</si>
  <si>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</si>
  <si>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</si>
  <si>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</si>
  <si>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</si>
  <si>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</si>
  <si>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</si>
  <si>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</si>
  <si>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</si>
  <si>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</si>
  <si>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</si>
  <si>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</si>
  <si>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</si>
  <si>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</si>
  <si>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</si>
  <si>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</si>
  <si>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</si>
  <si>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</si>
  <si>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</si>
  <si>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</si>
  <si>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</si>
  <si>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</si>
  <si>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</si>
  <si>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</si>
  <si>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</si>
  <si>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</si>
  <si>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</si>
  <si>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</si>
  <si>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</si>
  <si>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</si>
  <si>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</si>
  <si>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</si>
  <si>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</si>
  <si>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</si>
  <si>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</si>
  <si>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</si>
  <si>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</si>
  <si>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</si>
  <si>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</si>
  <si>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</si>
  <si>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</si>
  <si>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</si>
  <si>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</si>
  <si>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</si>
  <si>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</si>
  <si>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</si>
  <si>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</si>
  <si>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</si>
  <si>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</si>
  <si>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</si>
  <si>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</si>
  <si>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</si>
  <si>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</si>
  <si>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</si>
  <si>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</si>
  <si>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</si>
  <si>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</si>
  <si>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</si>
  <si>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</si>
  <si>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</si>
  <si>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</si>
  <si>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</si>
  <si>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</si>
  <si>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</si>
  <si>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</si>
  <si>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</si>
  <si>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</si>
  <si>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</si>
  <si>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</si>
  <si>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</si>
  <si>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</si>
  <si>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</si>
  <si>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</si>
  <si>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</si>
  <si>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</si>
  <si>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</si>
  <si>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</si>
  <si>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</si>
  <si>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</si>
  <si>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</si>
  <si>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</si>
  <si>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</si>
  <si>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</si>
  <si>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</si>
  <si>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</si>
  <si>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</si>
  <si>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</si>
  <si>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</si>
  <si>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</si>
  <si>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</si>
  <si>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</si>
  <si>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</si>
  <si>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</si>
  <si>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</si>
  <si>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</si>
  <si>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</si>
  <si>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</si>
  <si>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</si>
  <si>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</si>
  <si>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</si>
  <si>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</si>
  <si>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</si>
  <si>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</si>
  <si>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</si>
  <si>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</si>
  <si>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</si>
  <si>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</si>
  <si>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</si>
  <si>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</si>
  <si>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</si>
  <si>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</si>
  <si>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</si>
  <si>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</si>
  <si>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</si>
  <si>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</si>
  <si>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</si>
  <si>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</si>
  <si>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</si>
  <si>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</si>
  <si>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</si>
  <si>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</si>
  <si>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</si>
  <si>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</si>
  <si>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</si>
  <si>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</si>
  <si>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</si>
  <si>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</si>
  <si>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</si>
  <si>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</si>
  <si>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</si>
  <si>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</si>
  <si>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</si>
  <si>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</si>
  <si>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</si>
  <si>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</si>
  <si>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</si>
  <si>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</si>
  <si>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</si>
  <si>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</si>
  <si>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</si>
  <si>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</si>
  <si>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</si>
  <si>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</si>
  <si>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</si>
  <si>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</si>
  <si>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</si>
  <si>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</si>
  <si>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</si>
  <si>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</si>
  <si>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</si>
  <si>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</si>
  <si>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</si>
  <si>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</si>
  <si>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</si>
  <si>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</si>
  <si>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</si>
  <si>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</si>
  <si>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</si>
  <si>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</si>
  <si>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</si>
  <si>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</si>
  <si>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</si>
  <si>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</si>
  <si>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</si>
  <si>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</si>
  <si>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</si>
  <si>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</si>
  <si>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</si>
  <si>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</si>
  <si>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</si>
  <si>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</si>
  <si>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</si>
  <si>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</si>
  <si>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</si>
  <si>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</si>
  <si>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</si>
  <si>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</si>
  <si>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</si>
  <si>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</si>
  <si>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</si>
  <si>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</si>
  <si>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</si>
  <si>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</si>
  <si>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</si>
  <si>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</si>
  <si>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</si>
  <si>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</si>
  <si>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</si>
  <si>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</si>
  <si>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</si>
  <si>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</si>
  <si>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</si>
  <si>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</si>
  <si>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</si>
  <si>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</si>
  <si>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</si>
  <si>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</si>
  <si>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</si>
  <si>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</si>
  <si>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</si>
  <si>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</si>
  <si>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</si>
  <si>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</si>
  <si>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</si>
  <si>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</si>
  <si>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</si>
  <si>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</si>
  <si>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</si>
  <si>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</si>
  <si>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</si>
  <si>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</si>
  <si>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</si>
  <si>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</si>
  <si>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</si>
  <si>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</si>
  <si>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</si>
  <si>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</si>
  <si>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</si>
  <si>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</si>
  <si>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</si>
  <si>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</si>
  <si>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</si>
  <si>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</si>
  <si>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</si>
  <si>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</si>
  <si>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</si>
  <si>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</si>
  <si>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</si>
  <si>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</si>
  <si>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</si>
  <si>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</si>
  <si>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</si>
  <si>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</si>
  <si>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</si>
  <si>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</si>
  <si>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</si>
  <si>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</si>
  <si>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</si>
  <si>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</si>
  <si>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</si>
  <si>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</si>
  <si>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</si>
  <si>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</si>
  <si>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</si>
  <si>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</si>
  <si>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</si>
  <si>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</si>
  <si>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</si>
  <si>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</si>
  <si>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</si>
  <si>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</si>
  <si>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</si>
  <si>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</si>
  <si>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</si>
  <si>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</si>
  <si>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</si>
  <si>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</si>
  <si>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</si>
  <si>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</si>
  <si>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</si>
  <si>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</si>
  <si>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</si>
  <si>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</si>
  <si>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</si>
  <si>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</si>
  <si>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</si>
  <si>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</si>
  <si>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</si>
  <si>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</si>
  <si>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</si>
  <si>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</si>
  <si>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</si>
  <si>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</si>
  <si>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</si>
  <si>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</si>
  <si>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</si>
  <si>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</si>
  <si>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</si>
  <si>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</si>
  <si>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</si>
  <si>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</si>
  <si>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</si>
  <si>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</si>
  <si>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</si>
  <si>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</si>
  <si>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</si>
  <si>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</si>
  <si>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</si>
  <si>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</si>
  <si>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</si>
  <si>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</si>
  <si>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</si>
  <si>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</si>
  <si>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</si>
  <si>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</si>
  <si>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</si>
  <si>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</si>
  <si>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</si>
  <si>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</si>
  <si>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</si>
  <si>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</si>
  <si>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</si>
  <si>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</si>
  <si>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</si>
  <si>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</si>
  <si>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</si>
  <si>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</si>
  <si>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</si>
  <si>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</si>
  <si>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</si>
  <si>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</si>
  <si>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</si>
  <si>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</si>
  <si>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</si>
  <si>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</si>
  <si>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</si>
  <si>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</si>
  <si>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</si>
  <si>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</si>
  <si>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</si>
  <si>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</si>
  <si>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</si>
  <si>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</si>
  <si>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</si>
  <si>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</si>
  <si>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</si>
  <si>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</si>
  <si>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</si>
  <si>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</si>
  <si>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</si>
  <si>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</si>
  <si>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</si>
  <si>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</si>
  <si>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</si>
  <si>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</si>
  <si>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</si>
  <si>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</si>
  <si>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</si>
  <si>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</si>
  <si>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</si>
  <si>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</si>
  <si>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</si>
  <si>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</si>
  <si>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</si>
  <si>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</si>
  <si>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</si>
  <si>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</si>
  <si>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</si>
  <si>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</si>
  <si>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</si>
  <si>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</si>
  <si>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</si>
  <si>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</si>
  <si>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</si>
  <si>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</si>
  <si>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</si>
  <si>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</si>
  <si>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</si>
  <si>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</si>
  <si>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</si>
  <si>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</si>
  <si>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</si>
  <si>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</si>
  <si>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</si>
  <si>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</si>
  <si>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</si>
  <si>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</si>
  <si>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</si>
  <si>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</si>
  <si>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</si>
  <si>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</si>
  <si>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</si>
  <si>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</si>
  <si>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</si>
  <si>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</si>
  <si>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</si>
  <si>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</si>
  <si>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</si>
  <si>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</si>
  <si>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</si>
  <si>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</si>
  <si>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</si>
  <si>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</si>
  <si>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</si>
  <si>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</si>
  <si>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</si>
  <si>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</si>
  <si>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</si>
  <si>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</si>
  <si>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</si>
  <si>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</si>
  <si>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</si>
  <si>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</si>
  <si>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</si>
  <si>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</si>
  <si>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</si>
  <si>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</si>
  <si>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</si>
  <si>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</si>
  <si>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</si>
  <si>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</si>
  <si>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</si>
  <si>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</si>
  <si>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</si>
  <si>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</si>
  <si>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</si>
  <si>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</si>
  <si>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</si>
  <si>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</si>
  <si>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</si>
  <si>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 xml:space="preserve">Address: Behria Town </t>
  </si>
  <si>
    <t>Euro store  (Academy Road)</t>
  </si>
  <si>
    <t>NTN #:  8062267-4</t>
  </si>
  <si>
    <t>Invoice No # :15656</t>
  </si>
  <si>
    <t>Address: Academy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</si>
</sst>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J13" sqref="J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46308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Euro store  (Academy Road)</v>
      </c>
      <c r="T3" s="301">
        <f>+'1'!P35</f>
        <v>15298.547813771187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  (Academy Road)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Euro store  (Academy Road)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Euro store  (Academy Road)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310">
        <f>M7+N7+O7</f>
        <v>2138.512032838983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Euro store  (Academy Road)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Euro store  (Academy Road)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311">
        <f t="shared" si="2"/>
        <v>2138.512032838983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Euro store  (Academy Road)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Euro store  (Academy Road)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311">
        <f t="shared" si="2"/>
        <v>2961.0039050847454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Euro store  (Academy Road)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2397.12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14.731362711864406</v>
      </c>
      <c r="P12" s="311">
        <f t="shared" si="2"/>
        <v>2961.0039050847454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Euro store  (Academy Road)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Euro store  (Academy Road)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Euro store  (Academy Road)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Euro store  (Academy Road)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2101.7220000000002</v>
      </c>
      <c r="K16" s="275">
        <f t="shared" si="3"/>
        <v>525.43050000000005</v>
      </c>
      <c r="L16" s="276">
        <f t="shared" si="3"/>
        <v>0</v>
      </c>
      <c r="M16" s="232">
        <f t="shared" si="3"/>
        <v>12385.147499999999</v>
      </c>
      <c r="N16" s="233">
        <f>SUM(N7:N15)</f>
        <v>2837.2881355932195</v>
      </c>
      <c r="O16" s="101">
        <f>SUM(O7:O15)</f>
        <v>76.112178177966101</v>
      </c>
      <c r="P16" s="113">
        <f>SUM(P7:P15)</f>
        <v>15298.547813771183</v>
      </c>
      <c r="Q16" s="128">
        <f>SUM(Q7:Q15)</f>
        <v>0</v>
      </c>
      <c r="R16" s="314">
        <v>14</v>
      </c>
      <c r="S16" s="300" t="str">
        <f>+'14'!A6:A6</f>
        <v>Euro store  (Academy Road)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  (Academy Road)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  (Academy Road)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15012.300000000001</v>
      </c>
      <c r="R19" s="299">
        <v>17</v>
      </c>
      <c r="S19" s="300" t="str">
        <f>+'17'!A6:A6</f>
        <v>Euro store  (Academy Road)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2101.7220000000002</v>
      </c>
      <c r="R20" s="299">
        <v>18</v>
      </c>
      <c r="S20" s="300" t="str">
        <f>+'18'!A6:A6</f>
        <v>Euro store  (Academy Road)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525.43050000000005</v>
      </c>
      <c r="R21" s="299">
        <v>19</v>
      </c>
      <c r="S21" s="300" t="str">
        <f>+'19'!A6:A6</f>
        <v>Euro store  (Academy Road)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12385.147500000001</v>
      </c>
      <c r="R22" s="299">
        <v>20</v>
      </c>
      <c r="S22" s="300" t="str">
        <f>+'20'!A6:A6</f>
        <v>Euro store  (Academy Road)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Euro store  (Academy Road)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15222.435635593221</v>
      </c>
      <c r="R24" s="299">
        <v>22</v>
      </c>
      <c r="S24" s="300" t="str">
        <f>+'22'!A6:A6</f>
        <v>Euro store  (Academy Road)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76.112178177966101</v>
      </c>
      <c r="R25" s="299">
        <v>23</v>
      </c>
      <c r="S25" s="300" t="str">
        <f>+'23'!A6:A6</f>
        <v>Euro store  (Academy Road)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15298.547813771187</v>
      </c>
      <c r="R26" s="299">
        <v>24</v>
      </c>
      <c r="S26" s="300" t="str">
        <f>+'24'!A6:A6</f>
        <v>Euro store  (Academy Road)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Euro store  (Academy Road)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  (Academy Road)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  (Academy Road)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  (Academy Road)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  (Academy Road)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  (Academy Road)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15298.547813771187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46306</v>
      </c>
      <c r="O5" s="392"/>
      <c r="P5" s="392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311">
        <f t="shared" si="5"/>
        <v>2961.0039050847454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2101.7220000000002</v>
      </c>
      <c r="K25" s="275">
        <f t="shared" si="10"/>
        <v>525.43050000000005</v>
      </c>
      <c r="L25" s="276">
        <f t="shared" si="10"/>
        <v>0</v>
      </c>
      <c r="M25" s="232">
        <f t="shared" si="10"/>
        <v>12385.147499999999</v>
      </c>
      <c r="N25" s="233">
        <f>SUM(N16:N24)</f>
        <v>2837.2881355932195</v>
      </c>
      <c r="O25" s="101">
        <f>SUM(O16:O24)</f>
        <v>76.112178177966101</v>
      </c>
      <c r="P25" s="113">
        <f>SUM(P16:P24)</f>
        <v>15298.547813771183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15012.300000000001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2101.7220000000002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525.43050000000005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12385.147500000001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15222.435635593221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76.112178177966115</v>
      </c>
    </row>
    <row r="35" spans="2:16" ht="15.75" customHeight="1" thickBot="1" x14ac:dyDescent="0.4">
      <c r="N35" s="372" t="s">
        <v>88</v>
      </c>
      <c r="O35" s="373"/>
      <c r="P35" s="297">
        <f>+P33+P34</f>
        <v>15298.547813771187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46305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46309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46308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2026-10-13T04:04:34Z</dcterms:modified>
</cp:coreProperties>
</file>