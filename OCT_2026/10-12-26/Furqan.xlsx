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FE100C1-07A6-4665-B7C9-39C4D621FE85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4" l="1"/>
  <c r="O17" i="44" s="1"/>
  <c r="P17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<sst xmlns="http://schemas.openxmlformats.org/spreadsheetml/2006/main" count="3948" uniqueCount="531">
  <si>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</si>
  <si>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</si>
  <si>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</si>
  <si>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</si>
  <si>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</si>
  <si>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</si>
  <si>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</si>
  <si>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</si>
  <si>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</si>
  <si>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</si>
  <si>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</si>
  <si>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</si>
  <si>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</si>
  <si>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</si>
  <si>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</si>
  <si>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</si>
  <si>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</si>
  <si>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</si>
  <si>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</si>
  <si>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</si>
  <si>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</si>
  <si>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</si>
  <si>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</si>
  <si>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</si>
  <si>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</si>
  <si>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</si>
  <si>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</si>
  <si>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</si>
  <si>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</si>
  <si>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</si>
  <si>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</si>
  <si>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</si>
  <si>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</si>
  <si>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</si>
  <si>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</si>
  <si>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</si>
  <si>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</si>
  <si>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</si>
  <si>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</si>
  <si>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</si>
  <si>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</si>
  <si>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</si>
  <si>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</si>
  <si>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</si>
  <si>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</si>
  <si>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</si>
  <si>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</si>
  <si>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</si>
  <si>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</si>
  <si>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</si>
  <si>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</si>
  <si>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</si>
  <si>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</si>
  <si>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</si>
  <si>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</si>
  <si>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</si>
  <si>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</si>
  <si>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</si>
  <si>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</si>
  <si>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</si>
  <si>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</si>
  <si>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</si>
  <si>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</si>
  <si>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</si>
  <si>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</si>
  <si>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</si>
  <si>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</si>
  <si>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</si>
  <si>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</si>
  <si>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</si>
  <si>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</si>
  <si>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</si>
  <si>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</si>
  <si>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</si>
  <si>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</si>
  <si>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</si>
  <si>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</si>
  <si>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</si>
  <si>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</si>
  <si>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</si>
  <si>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</si>
  <si>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</si>
  <si>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</si>
  <si>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</si>
  <si>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</si>
  <si>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</si>
  <si>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</si>
  <si>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</si>
  <si>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</si>
  <si>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</si>
  <si>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</si>
  <si>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</si>
  <si>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</si>
  <si>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</si>
  <si>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</si>
  <si>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</si>
  <si>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</si>
  <si>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</si>
  <si>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</si>
  <si>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</si>
  <si>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</si>
  <si>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</si>
  <si>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</si>
  <si>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</si>
  <si>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</si>
  <si>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</si>
  <si>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</si>
  <si>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</si>
  <si>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</si>
  <si>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</si>
  <si>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</si>
  <si>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</si>
  <si>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</si>
  <si>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</si>
  <si>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</si>
  <si>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</si>
  <si>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</si>
  <si>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</si>
  <si>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</si>
  <si>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</si>
  <si>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</si>
  <si>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</si>
  <si>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</si>
  <si>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</si>
  <si>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</si>
  <si>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</si>
  <si>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</si>
  <si>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</si>
  <si>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</si>
  <si>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</si>
  <si>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</si>
  <si>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</si>
  <si>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</si>
  <si>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</si>
  <si>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</si>
  <si>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</si>
  <si>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</si>
  <si>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</si>
  <si>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</si>
  <si>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</si>
  <si>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</si>
  <si>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</si>
  <si>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</si>
  <si>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</si>
  <si>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</si>
  <si>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</si>
  <si>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</si>
  <si>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</si>
  <si>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</si>
  <si>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</si>
  <si>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</si>
  <si>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</si>
  <si>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</si>
  <si>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</si>
  <si>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</si>
  <si>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</si>
  <si>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</si>
  <si>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</si>
  <si>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</si>
  <si>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</si>
  <si>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</si>
  <si>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</si>
  <si>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</si>
  <si>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</si>
  <si>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</si>
  <si>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</si>
  <si>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</si>
  <si>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</si>
  <si>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</si>
  <si>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</si>
  <si>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</si>
  <si>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</si>
  <si>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</si>
  <si>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</si>
  <si>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</si>
  <si>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</si>
  <si>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</si>
  <si>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</si>
  <si>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</si>
  <si>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</si>
  <si>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</si>
  <si>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</si>
  <si>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</si>
  <si>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</si>
  <si>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</si>
  <si>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</si>
  <si>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</si>
  <si>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</si>
  <si>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</si>
  <si>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</si>
  <si>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</si>
  <si>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</si>
  <si>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</si>
  <si>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</si>
  <si>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</si>
  <si>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</si>
  <si>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</si>
  <si>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</si>
  <si>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</si>
  <si>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</si>
  <si>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</si>
  <si>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</si>
  <si>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</si>
  <si>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</si>
  <si>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</si>
  <si>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</si>
  <si>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</si>
  <si>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</si>
  <si>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</si>
  <si>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</si>
  <si>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</si>
  <si>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</si>
  <si>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</si>
  <si>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</si>
  <si>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</si>
  <si>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</si>
  <si>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</si>
  <si>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</si>
  <si>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</si>
  <si>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</si>
  <si>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</si>
  <si>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</si>
  <si>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</si>
  <si>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</si>
  <si>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</si>
  <si>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</si>
  <si>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</si>
  <si>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</si>
  <si>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</si>
  <si>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</si>
  <si>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</si>
  <si>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</si>
  <si>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</si>
  <si>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</si>
  <si>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</si>
  <si>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</si>
  <si>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</si>
  <si>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</si>
  <si>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</si>
  <si>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</si>
  <si>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</si>
  <si>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</si>
  <si>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</si>
  <si>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</si>
  <si>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</si>
  <si>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</si>
  <si>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</si>
  <si>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</si>
  <si>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</si>
  <si>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</si>
  <si>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</si>
  <si>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</si>
  <si>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</si>
  <si>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</si>
  <si>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</si>
  <si>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</si>
  <si>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</si>
  <si>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</si>
  <si>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</si>
  <si>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</si>
  <si>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</si>
  <si>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</si>
  <si>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</si>
  <si>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</si>
  <si>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</si>
  <si>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</si>
  <si>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</si>
  <si>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</si>
  <si>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</si>
  <si>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</si>
  <si>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</si>
  <si>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</si>
  <si>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</si>
  <si>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</si>
  <si>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</si>
  <si>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</si>
  <si>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</si>
  <si>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</si>
  <si>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</si>
  <si>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</si>
  <si>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</si>
  <si>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</si>
  <si>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</si>
  <si>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</si>
  <si>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</si>
  <si>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</si>
  <si>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</si>
  <si>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</si>
  <si>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</si>
  <si>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</si>
  <si>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</si>
  <si>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</si>
  <si>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</si>
  <si>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</si>
  <si>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</si>
  <si>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</si>
  <si>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</si>
  <si>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</si>
  <si>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</si>
  <si>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</si>
  <si>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</si>
  <si>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</si>
  <si>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</si>
  <si>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</si>
  <si>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</si>
  <si>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</si>
  <si>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</si>
  <si>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</si>
  <si>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</si>
  <si>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</si>
  <si>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</si>
  <si>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</si>
  <si>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</si>
  <si>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</si>
  <si>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</si>
  <si>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</si>
  <si>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</si>
  <si>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</si>
  <si>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</si>
  <si>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</si>
  <si>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</si>
  <si>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</si>
  <si>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</si>
  <si>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</si>
  <si>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</si>
  <si>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</si>
  <si>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</si>
  <si>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</si>
  <si>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</si>
  <si>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</si>
  <si>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</si>
  <si>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</si>
  <si>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</si>
  <si>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</si>
  <si>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</si>
  <si>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</si>
  <si>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</si>
  <si>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</si>
  <si>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</si>
  <si>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</si>
  <si>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</si>
  <si>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</si>
  <si>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</si>
  <si>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</si>
  <si>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</si>
  <si>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</si>
  <si>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</si>
  <si>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</si>
  <si>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</si>
  <si>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</si>
  <si>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</si>
  <si>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</si>
  <si>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</si>
  <si>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</si>
  <si>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</si>
  <si>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</si>
  <si>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</si>
  <si>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</si>
  <si>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</si>
  <si>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</si>
  <si>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</si>
  <si>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</si>
  <si>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</si>
  <si>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</si>
  <si>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</si>
  <si>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</si>
  <si>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</si>
  <si>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</si>
  <si>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</si>
  <si>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</si>
  <si>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</si>
  <si>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</si>
  <si>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</si>
  <si>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</si>
  <si>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</si>
  <si>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</si>
  <si>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</si>
  <si>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</si>
  <si>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</si>
  <si>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</si>
  <si>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</si>
  <si>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</si>
  <si>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</si>
  <si>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</si>
  <si>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</si>
  <si>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</si>
  <si>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</si>
  <si>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</si>
  <si>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</si>
  <si>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</si>
  <si>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</si>
  <si>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</si>
  <si>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</si>
  <si>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</si>
  <si>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</si>
  <si>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</si>
  <si>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</si>
  <si>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</si>
  <si>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</si>
  <si>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</si>
  <si>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</si>
  <si>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</si>
  <si>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</si>
  <si>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</si>
  <si>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</si>
  <si>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</si>
  <si>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</si>
  <si>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</si>
  <si>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</si>
  <si>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</si>
  <si>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</si>
  <si>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</si>
  <si>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</si>
  <si>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</si>
  <si>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</si>
  <si>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</si>
  <si>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</si>
  <si>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</si>
  <si>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</si>
  <si>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</si>
  <si>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</si>
  <si>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</si>
  <si>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</si>
  <si>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</si>
  <si>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</si>
  <si>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</si>
  <si>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</si>
  <si>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</si>
  <si>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</si>
  <si>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</si>
  <si>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</si>
  <si>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</si>
  <si>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</si>
  <si>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</si>
  <si>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</si>
  <si>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</si>
  <si>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</si>
  <si>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</si>
  <si>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</si>
  <si>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</si>
  <si>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</si>
  <si>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</si>
  <si>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</si>
  <si>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</si>
  <si>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</si>
  <si>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</si>
  <si>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</si>
  <si>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</si>
  <si>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</si>
  <si>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</si>
  <si>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</si>
  <si>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</si>
  <si>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</si>
  <si>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</si>
  <si>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</si>
  <si>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</si>
  <si>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</si>
  <si>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</si>
  <si>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</si>
  <si>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</si>
  <si>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</si>
  <si>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</si>
  <si>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</si>
  <si>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</si>
  <si>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</si>
  <si>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</si>
  <si>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</si>
  <si>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</si>
  <si>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</si>
  <si>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</si>
  <si>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</si>
  <si>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</si>
  <si>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</si>
  <si>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</si>
  <si>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</si>
  <si>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</si>
  <si>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</si>
  <si>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</si>
  <si>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</si>
  <si>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</si>
  <si>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</si>
  <si>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</si>
  <si>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</si>
  <si>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</si>
  <si>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</si>
  <si>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</si>
  <si>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</si>
  <si>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</si>
  <si>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</si>
  <si>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</si>
  <si>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</si>
  <si>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</si>
  <si>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</si>
  <si>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</si>
  <si>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</si>
  <si>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</si>
  <si>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</si>
  <si>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</si>
  <si>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</si>
  <si>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</si>
  <si>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</si>
  <si>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</si>
  <si>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</si>
  <si>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</si>
  <si>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</si>
  <si>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</si>
  <si>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</si>
  <si>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</si>
  <si>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</si>
  <si>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</si>
  <si>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</si>
  <si>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</si>
  <si>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</si>
  <si>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</si>
  <si>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</si>
  <si>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China Groccery Store</t>
  </si>
  <si>
    <t>Address: Ghazi Road</t>
  </si>
  <si>
    <t>Hygiene Groccery Store</t>
  </si>
  <si>
    <t>Urban Store</t>
  </si>
  <si>
    <t xml:space="preserve">Address: Punjab Society </t>
  </si>
  <si>
    <t>Paradise Store</t>
  </si>
  <si>
    <t>TK store</t>
  </si>
  <si>
    <t>Malik Store</t>
  </si>
  <si>
    <t xml:space="preserve">Address: D Block Punjab Society </t>
  </si>
  <si>
    <t>Marhaba Super Store</t>
  </si>
  <si>
    <t>Imran Kreyana Store</t>
  </si>
  <si>
    <t>Attari Store</t>
  </si>
  <si>
    <t>Moazam Store</t>
  </si>
  <si>
    <t>Ahmad Store</t>
  </si>
  <si>
    <t xml:space="preserve">Address: Shokat Town Butt Chowk </t>
  </si>
  <si>
    <t>Address: Shangai Road 341D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</si>
</sst>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9" workbookViewId="0">
      <selection activeCell="J42" sqref="J4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46307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China Groccery Store</v>
      </c>
      <c r="T3" s="301">
        <f>+'1'!P35</f>
        <v>8101.8947518855921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Hygiene Groccery Store</v>
      </c>
      <c r="T4" s="301">
        <f>+'2'!P35</f>
        <v>2038.5375303050848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Urban Store</v>
      </c>
      <c r="T5" s="301">
        <f>+'3'!P35</f>
        <v>21605.052671694917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Paradise Store</v>
      </c>
      <c r="T6" s="301">
        <f>+'4'!P35</f>
        <v>339.75773742584738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48</v>
      </c>
      <c r="I7" s="235">
        <f>(G7*D7)*F7+H7*F7</f>
        <v>2518.1999999999998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201.45599999999996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88.137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2228.607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475.93220338983031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13.522696016949153</v>
      </c>
      <c r="P7" s="310">
        <f>M7+N7+O7</f>
        <v>2718.0618994067795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TK store</v>
      </c>
      <c r="T7" s="301">
        <f>+'5'!P35</f>
        <v>1646.5155292944914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133</v>
      </c>
      <c r="I8" s="236">
        <f t="shared" ref="I8:I14" si="0">(G8*D8)*F8+H8*F8</f>
        <v>6977.5124999999998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558.20100000000002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244.21293749999998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6175.0985624999994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1318.7288135593212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37.46913688029661</v>
      </c>
      <c r="P8" s="311">
        <f t="shared" ref="P8:P15" si="2">M8+N8+O8</f>
        <v>7531.2965129396171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Malik Store</v>
      </c>
      <c r="T8" s="301">
        <f>+'6'!P35</f>
        <v>2265.051582838983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145</v>
      </c>
      <c r="I9" s="236">
        <f t="shared" si="0"/>
        <v>7607.0625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608.56500000000005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266.2471875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6732.2503125000003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1437.7118644067787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40.849810884533902</v>
      </c>
      <c r="P9" s="311">
        <f t="shared" si="2"/>
        <v>8210.8119877913123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Marhaba Super Store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146</v>
      </c>
      <c r="I10" s="236">
        <f t="shared" si="0"/>
        <v>10605.44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848.43520000000012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371.19039999999995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9385.8144000000011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2004.406779661017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56.951105898305087</v>
      </c>
      <c r="P10" s="311">
        <f t="shared" si="2"/>
        <v>11447.172285559322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Imran Kreyana Store</v>
      </c>
      <c r="T10" s="301">
        <f>+'8'!P35</f>
        <v>1881.7269510508474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122</v>
      </c>
      <c r="I11" s="236">
        <f t="shared" si="0"/>
        <v>8862.08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708.96640000000002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310.1728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7842.9408000000003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1674.9152542372883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47.589280271186446</v>
      </c>
      <c r="P11" s="311">
        <f t="shared" si="2"/>
        <v>9565.4453345084748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Attari Store</v>
      </c>
      <c r="T11" s="301">
        <f>+'9'!P35</f>
        <v>810.1894751885593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74</v>
      </c>
      <c r="I12" s="236">
        <f t="shared" si="0"/>
        <v>5375.36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430.02880000000005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188.13760000000002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4757.1935999999996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1015.9322033898305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28.865629016949153</v>
      </c>
      <c r="P12" s="311">
        <f t="shared" si="2"/>
        <v>5801.9914324067795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Moazam Store</v>
      </c>
      <c r="T12" s="301">
        <f>+'10'!P35</f>
        <v>1019.2732122775423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Ahmad Store</v>
      </c>
      <c r="T13" s="301">
        <f>+'11'!P35</f>
        <v>2430.5684255656784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16.7</v>
      </c>
      <c r="H16" s="113">
        <f t="shared" ref="H16:M16" si="3">SUM(H7:H15)</f>
        <v>668</v>
      </c>
      <c r="I16" s="114">
        <f t="shared" si="3"/>
        <v>41945.655000000006</v>
      </c>
      <c r="J16" s="274">
        <f>SUM(J7:J15)</f>
        <v>3355.6523999999999</v>
      </c>
      <c r="K16" s="275">
        <f t="shared" si="3"/>
        <v>1468.097925</v>
      </c>
      <c r="L16" s="276">
        <f t="shared" si="3"/>
        <v>0</v>
      </c>
      <c r="M16" s="232">
        <f t="shared" si="3"/>
        <v>37121.904675000005</v>
      </c>
      <c r="N16" s="233">
        <f>SUM(N7:N15)</f>
        <v>7927.6271186440663</v>
      </c>
      <c r="O16" s="101">
        <f>SUM(O7:O15)</f>
        <v>225.24765896822035</v>
      </c>
      <c r="P16" s="113">
        <f>SUM(P7:P15)</f>
        <v>45274.779452612282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41945.655000000006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3355.6523999999999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1468.097925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37121.904675000005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7927.6271186440663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45049.53179364407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225.24765896822035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45274.779452612289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45274.779452612296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ref="I18:I21" si="7">(G18*D18)*F18+H18*F18</f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7506.1500000000005</v>
      </c>
      <c r="J25" s="274">
        <f>SUM(J16:J24)</f>
        <v>600.49199999999996</v>
      </c>
      <c r="K25" s="275">
        <f t="shared" si="10"/>
        <v>262.71525000000003</v>
      </c>
      <c r="L25" s="276">
        <f t="shared" si="10"/>
        <v>0</v>
      </c>
      <c r="M25" s="232">
        <f t="shared" si="10"/>
        <v>6642.9427500000002</v>
      </c>
      <c r="N25" s="233">
        <f>SUM(N16:N24)</f>
        <v>1418.6440677966098</v>
      </c>
      <c r="O25" s="101">
        <f>SUM(O16:O24)</f>
        <v>40.307934088983046</v>
      </c>
      <c r="P25" s="234">
        <f>SUM(P16:P24)</f>
        <v>8101.894751885593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7506.1500000000005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600.49199999999996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262.71525000000003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6642.9427500000002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1418.6440677966098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8061.5868177966095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40.307934088983046</v>
      </c>
    </row>
    <row r="35" spans="2:16" ht="15.75" customHeight="1" thickBot="1" x14ac:dyDescent="0.4">
      <c r="N35" s="345" t="s">
        <v>88</v>
      </c>
      <c r="O35" s="346"/>
      <c r="P35" s="297">
        <f>+P33+P34</f>
        <v>8101.8947518855921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</v>
      </c>
      <c r="I19" s="236">
        <f t="shared" si="0"/>
        <v>581.12</v>
      </c>
      <c r="J19" s="272">
        <f t="shared" si="1"/>
        <v>46.489600000000003</v>
      </c>
      <c r="K19" s="128">
        <f t="shared" si="1"/>
        <v>20.339200000000002</v>
      </c>
      <c r="L19" s="119">
        <f t="shared" si="1"/>
        <v>0</v>
      </c>
      <c r="M19" s="230">
        <f t="shared" si="2"/>
        <v>514.2912</v>
      </c>
      <c r="N19" s="277">
        <f t="shared" si="3"/>
        <v>109.83050847457628</v>
      </c>
      <c r="O19" s="239">
        <f t="shared" si="4"/>
        <v>3.1206085423728815</v>
      </c>
      <c r="P19" s="119">
        <f t="shared" si="5"/>
        <v>627.24231701694919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26</v>
      </c>
      <c r="I25" s="114">
        <f t="shared" si="7"/>
        <v>1888.64</v>
      </c>
      <c r="J25" s="274">
        <f>SUM(J16:J24)</f>
        <v>151.09120000000001</v>
      </c>
      <c r="K25" s="275">
        <f t="shared" si="7"/>
        <v>66.102400000000003</v>
      </c>
      <c r="L25" s="276">
        <f t="shared" si="7"/>
        <v>0</v>
      </c>
      <c r="M25" s="232">
        <f t="shared" si="7"/>
        <v>1671.4464000000003</v>
      </c>
      <c r="N25" s="233">
        <f>SUM(N16:N24)</f>
        <v>356.94915254237287</v>
      </c>
      <c r="O25" s="101">
        <f>SUM(O16:O24)</f>
        <v>10.141977762711864</v>
      </c>
      <c r="P25" s="234">
        <f>SUM(P16:P24)</f>
        <v>2038.5375303050846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1888.64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151.09120000000001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66.102400000000003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1671.4464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356.94915254237287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2028.395552542373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10.141977762711866</v>
      </c>
    </row>
    <row r="35" spans="2:16" ht="15.75" customHeight="1" thickBot="1" x14ac:dyDescent="0.4">
      <c r="N35" s="345" t="s">
        <v>88</v>
      </c>
      <c r="O35" s="346"/>
      <c r="P35" s="297">
        <f>+P33+P34</f>
        <v>2038.5375303050848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519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335.76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3714.3450000000003</v>
      </c>
      <c r="N17" s="277">
        <f t="shared" ref="N17:N24" si="3">+(G17*D17+H17)*V17</f>
        <v>793.22033898305051</v>
      </c>
      <c r="O17" s="239">
        <f t="shared" ref="O17:O24" si="4">(N17+M17)*$O$15</f>
        <v>22.537826694915253</v>
      </c>
      <c r="P17" s="119">
        <f t="shared" ref="P17:P24" si="5">M17+N17+O17</f>
        <v>4530.103165677966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335.76</v>
      </c>
      <c r="K18" s="128">
        <f t="shared" si="1"/>
        <v>146.89500000000001</v>
      </c>
      <c r="L18" s="119">
        <f t="shared" si="1"/>
        <v>0</v>
      </c>
      <c r="M18" s="230">
        <f t="shared" si="2"/>
        <v>3714.3450000000003</v>
      </c>
      <c r="N18" s="277">
        <f t="shared" si="3"/>
        <v>793.22033898305051</v>
      </c>
      <c r="O18" s="239">
        <f t="shared" si="4"/>
        <v>22.537826694915253</v>
      </c>
      <c r="P18" s="119">
        <f t="shared" si="5"/>
        <v>4530.103165677966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464.89600000000002</v>
      </c>
      <c r="K19" s="128">
        <f t="shared" si="1"/>
        <v>203.39200000000002</v>
      </c>
      <c r="L19" s="119">
        <f t="shared" si="1"/>
        <v>0</v>
      </c>
      <c r="M19" s="230">
        <f t="shared" si="2"/>
        <v>5142.9120000000003</v>
      </c>
      <c r="N19" s="277">
        <f t="shared" si="3"/>
        <v>1098.3050847457628</v>
      </c>
      <c r="O19" s="239">
        <f t="shared" si="4"/>
        <v>31.206085423728815</v>
      </c>
      <c r="P19" s="119">
        <f t="shared" si="5"/>
        <v>6272.4231701694916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464.89600000000002</v>
      </c>
      <c r="K20" s="128">
        <f t="shared" si="1"/>
        <v>203.39200000000002</v>
      </c>
      <c r="L20" s="119">
        <f t="shared" si="1"/>
        <v>0</v>
      </c>
      <c r="M20" s="230">
        <f t="shared" si="2"/>
        <v>5142.9120000000003</v>
      </c>
      <c r="N20" s="277">
        <f t="shared" si="3"/>
        <v>1098.3050847457628</v>
      </c>
      <c r="O20" s="239">
        <f t="shared" si="4"/>
        <v>31.206085423728815</v>
      </c>
      <c r="P20" s="119">
        <f t="shared" si="5"/>
        <v>6272.4231701694916</v>
      </c>
      <c r="Q20" s="319"/>
      <c r="R20">
        <f>P20/21</f>
        <v>298.68681762711867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320</v>
      </c>
      <c r="I25" s="114">
        <f t="shared" si="7"/>
        <v>20016.400000000001</v>
      </c>
      <c r="J25" s="274">
        <f>SUM(J16:J24)</f>
        <v>1601.3119999999999</v>
      </c>
      <c r="K25" s="275">
        <f t="shared" si="7"/>
        <v>700.57400000000007</v>
      </c>
      <c r="L25" s="276">
        <f t="shared" si="7"/>
        <v>0</v>
      </c>
      <c r="M25" s="232">
        <f t="shared" si="7"/>
        <v>17714.514000000003</v>
      </c>
      <c r="N25" s="233">
        <f>SUM(N16:N24)</f>
        <v>3783.0508474576263</v>
      </c>
      <c r="O25" s="101">
        <f>SUM(O16:O24)</f>
        <v>107.48782423728812</v>
      </c>
      <c r="P25" s="234">
        <f>SUM(P16:P24)</f>
        <v>21605.052671694917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20016.400000000001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1601.3119999999999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700.57400000000007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17714.514000000003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3783.0508474576263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21497.56484745763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107.48782423728815</v>
      </c>
    </row>
    <row r="35" spans="2:16" ht="15.75" customHeight="1" thickBot="1" x14ac:dyDescent="0.4">
      <c r="N35" s="345" t="s">
        <v>88</v>
      </c>
      <c r="O35" s="346"/>
      <c r="P35" s="297">
        <f>+P33+P34</f>
        <v>21605.052671694917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519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314.77499999999998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25.181999999999999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11.017125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278.57587499999994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338.06740042372871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45" t="s">
        <v>88</v>
      </c>
      <c r="O35" s="346"/>
      <c r="P35" s="297">
        <f>+P33+P34</f>
        <v>339.75773742584738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26</v>
      </c>
      <c r="I25" s="114">
        <f t="shared" si="7"/>
        <v>1525.4449999999999</v>
      </c>
      <c r="J25" s="274">
        <f>SUM(J16:J24)</f>
        <v>122.03559999999999</v>
      </c>
      <c r="K25" s="275">
        <f t="shared" si="7"/>
        <v>53.390575000000005</v>
      </c>
      <c r="L25" s="276">
        <f t="shared" si="7"/>
        <v>0</v>
      </c>
      <c r="M25" s="232">
        <f t="shared" si="7"/>
        <v>1350.0188250000001</v>
      </c>
      <c r="N25" s="233">
        <f>SUM(N16:N24)</f>
        <v>288.30508474576266</v>
      </c>
      <c r="O25" s="101">
        <f>SUM(O16:O24)</f>
        <v>8.1916195487288128</v>
      </c>
      <c r="P25" s="234">
        <f>SUM(P16:P24)</f>
        <v>1646.5155292944914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1525.4449999999999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122.03559999999999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53.390575000000005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1350.0188250000001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288.30508474576266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1638.3239097457626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8.1916195487288128</v>
      </c>
    </row>
    <row r="35" spans="2:16" ht="15.75" customHeight="1" thickBot="1" x14ac:dyDescent="0.4">
      <c r="N35" s="345" t="s">
        <v>88</v>
      </c>
      <c r="O35" s="346"/>
      <c r="P35" s="297">
        <f>+P33+P34</f>
        <v>1646.5155292944914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15</v>
      </c>
      <c r="I17" s="236">
        <f t="shared" ref="I17:I23" si="0">(G17*D17)*F17+H17*F17</f>
        <v>786.9375</v>
      </c>
      <c r="J17" s="272">
        <f t="shared" ref="J17:L24" si="1">$I17*S17</f>
        <v>62.954999999999998</v>
      </c>
      <c r="K17" s="128">
        <f>$I17*T17</f>
        <v>27.542812500000004</v>
      </c>
      <c r="L17" s="119">
        <f>$I17*U17</f>
        <v>0</v>
      </c>
      <c r="M17" s="230">
        <f t="shared" ref="M17:M24" si="2">I17-SUM(J17:L17)</f>
        <v>696.43968749999999</v>
      </c>
      <c r="N17" s="277">
        <f t="shared" ref="N17:N24" si="3">+(G17*D17+H17)*V17</f>
        <v>148.72881355932196</v>
      </c>
      <c r="O17" s="239">
        <f t="shared" ref="O17:O24" si="4">(N17+M17)*$O$15</f>
        <v>4.22584250529661</v>
      </c>
      <c r="P17" s="119">
        <f t="shared" ref="P17:P24" si="5">M17+N17+O17</f>
        <v>849.39434356461845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73.447500000000019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73.447500000000019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530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1743.3600000000001</v>
      </c>
      <c r="J25" s="274">
        <f>SUM(J16:J24)</f>
        <v>139.46880000000002</v>
      </c>
      <c r="K25" s="275">
        <f t="shared" si="7"/>
        <v>61.017600000000009</v>
      </c>
      <c r="L25" s="276">
        <f t="shared" si="7"/>
        <v>0</v>
      </c>
      <c r="M25" s="232">
        <f t="shared" si="7"/>
        <v>1542.8736000000001</v>
      </c>
      <c r="N25" s="233">
        <f>SUM(N16:N24)</f>
        <v>329.49152542372883</v>
      </c>
      <c r="O25" s="101">
        <f>SUM(O16:O24)</f>
        <v>9.3618256271186446</v>
      </c>
      <c r="P25" s="234">
        <f>SUM(P16:P24)</f>
        <v>1881.7269510508474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1743.3600000000001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139.46880000000002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61.017600000000009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1542.8736000000001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1872.3651254237288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45" t="s">
        <v>88</v>
      </c>
      <c r="O35" s="346"/>
      <c r="P35" s="297">
        <f>+P33+P34</f>
        <v>1881.7269510508474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529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750.61500000000001</v>
      </c>
      <c r="J25" s="274">
        <f>SUM(J16:J24)</f>
        <v>60.049199999999999</v>
      </c>
      <c r="K25" s="275">
        <f t="shared" si="7"/>
        <v>26.271525000000004</v>
      </c>
      <c r="L25" s="276">
        <f t="shared" si="7"/>
        <v>0</v>
      </c>
      <c r="M25" s="232">
        <f t="shared" si="7"/>
        <v>664.29427499999997</v>
      </c>
      <c r="N25" s="233">
        <f>SUM(N16:N24)</f>
        <v>141.86440677966101</v>
      </c>
      <c r="O25" s="101">
        <f>SUM(O16:O24)</f>
        <v>4.0307934088983046</v>
      </c>
      <c r="P25" s="234">
        <f>SUM(P16:P24)</f>
        <v>810.1894751885593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750.61500000000001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60.049199999999999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26.271525000000004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664.29427499999997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141.86440677966101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806.15868177966104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4.0307934088983055</v>
      </c>
    </row>
    <row r="35" spans="2:16" ht="15.75" customHeight="1" thickBot="1" x14ac:dyDescent="0.4">
      <c r="N35" s="345" t="s">
        <v>88</v>
      </c>
      <c r="O35" s="346"/>
      <c r="P35" s="297">
        <f>+P33+P34</f>
        <v>810.1894751885593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18</v>
      </c>
      <c r="I25" s="114">
        <f t="shared" si="7"/>
        <v>944.32499999999993</v>
      </c>
      <c r="J25" s="274">
        <f>SUM(J16:J24)</f>
        <v>75.545999999999992</v>
      </c>
      <c r="K25" s="275">
        <f t="shared" si="7"/>
        <v>33.051375</v>
      </c>
      <c r="L25" s="276">
        <f t="shared" si="7"/>
        <v>0</v>
      </c>
      <c r="M25" s="232">
        <f t="shared" si="7"/>
        <v>835.72762499999999</v>
      </c>
      <c r="N25" s="233">
        <f>SUM(N16:N24)</f>
        <v>178.47457627118638</v>
      </c>
      <c r="O25" s="101">
        <f>SUM(O16:O24)</f>
        <v>5.0710110063559313</v>
      </c>
      <c r="P25" s="234">
        <f>SUM(P16:P24)</f>
        <v>1019.2732122775424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944.32499999999993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75.545999999999992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33.051375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835.72762499999999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178.47457627118638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1014.2022012711864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5.0710110063559322</v>
      </c>
    </row>
    <row r="35" spans="2:16" ht="15.75" customHeight="1" thickBot="1" x14ac:dyDescent="0.4">
      <c r="N35" s="345" t="s">
        <v>88</v>
      </c>
      <c r="O35" s="346"/>
      <c r="P35" s="297">
        <f>+P33+P34</f>
        <v>1019.2732122775423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36</v>
      </c>
      <c r="I25" s="114">
        <f t="shared" si="7"/>
        <v>2251.8450000000003</v>
      </c>
      <c r="J25" s="274">
        <f>SUM(J16:J24)</f>
        <v>180.14759999999998</v>
      </c>
      <c r="K25" s="275">
        <f t="shared" si="7"/>
        <v>78.814575000000005</v>
      </c>
      <c r="L25" s="276">
        <f t="shared" si="7"/>
        <v>0</v>
      </c>
      <c r="M25" s="232">
        <f t="shared" si="7"/>
        <v>1992.8828249999999</v>
      </c>
      <c r="N25" s="233">
        <f>SUM(N16:N24)</f>
        <v>425.59322033898309</v>
      </c>
      <c r="O25" s="101">
        <f>SUM(O16:O24)</f>
        <v>12.092380226694914</v>
      </c>
      <c r="P25" s="234">
        <f>SUM(P16:P24)</f>
        <v>2430.5684255656779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2251.8450000000003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180.14759999999998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78.814575000000005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1992.8828250000004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425.59322033898309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2418.4760453389836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12.092380226694917</v>
      </c>
    </row>
    <row r="35" spans="2:16" ht="15.75" customHeight="1" thickBot="1" x14ac:dyDescent="0.4">
      <c r="N35" s="345" t="s">
        <v>88</v>
      </c>
      <c r="O35" s="346"/>
      <c r="P35" s="297">
        <f>+P33+P34</f>
        <v>2430.5684255656784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46308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46307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2026-10-12T04:46:27Z</dcterms:modified>
</cp:coreProperties>
</file>