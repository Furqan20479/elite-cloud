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EFD1E4-24E3-4C9C-8E23-DE063C784BB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<sst xmlns="http://schemas.openxmlformats.org/spreadsheetml/2006/main" count="3948" uniqueCount="528">
  <si>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</si>
  <si>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</si>
  <si>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</si>
  <si>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</si>
  <si>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</si>
  <si>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</si>
  <si>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</si>
  <si>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</si>
  <si>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</si>
  <si>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</si>
  <si>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</si>
  <si>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</si>
  <si>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</si>
  <si>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</si>
  <si>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</si>
  <si>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</si>
  <si>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</si>
  <si>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</si>
  <si>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</si>
  <si>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</si>
  <si>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</si>
  <si>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</si>
  <si>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</si>
  <si>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</si>
  <si>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</si>
  <si>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</si>
  <si>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</si>
  <si>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</si>
  <si>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</si>
  <si>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</si>
  <si>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</si>
  <si>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</si>
  <si>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</si>
  <si>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</si>
  <si>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</si>
  <si>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</si>
  <si>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</si>
  <si>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</si>
  <si>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</si>
  <si>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</si>
  <si>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</si>
  <si>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</si>
  <si>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</si>
  <si>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</si>
  <si>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</si>
  <si>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</si>
  <si>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</si>
  <si>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</si>
  <si>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</si>
  <si>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</si>
  <si>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</si>
  <si>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</si>
  <si>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</si>
  <si>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</si>
  <si>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</si>
  <si>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</si>
  <si>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</si>
  <si>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</si>
  <si>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</si>
  <si>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</si>
  <si>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</si>
  <si>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</si>
  <si>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</si>
  <si>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</si>
  <si>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</si>
  <si>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</si>
  <si>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</si>
  <si>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</si>
  <si>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</si>
  <si>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</si>
  <si>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</si>
  <si>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</si>
  <si>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</si>
  <si>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</si>
  <si>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</si>
  <si>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</si>
  <si>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</si>
  <si>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</si>
  <si>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</si>
  <si>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</si>
  <si>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</si>
  <si>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</si>
  <si>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</si>
  <si>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</si>
  <si>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</si>
  <si>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</si>
  <si>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</si>
  <si>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</si>
  <si>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</si>
  <si>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</si>
  <si>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</si>
  <si>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</si>
  <si>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</si>
  <si>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</si>
  <si>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</si>
  <si>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</si>
  <si>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</si>
  <si>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</si>
  <si>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</si>
  <si>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</si>
  <si>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</si>
  <si>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</si>
  <si>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</si>
  <si>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</si>
  <si>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</si>
  <si>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</si>
  <si>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</si>
  <si>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</si>
  <si>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</si>
  <si>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</si>
  <si>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</si>
  <si>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</si>
  <si>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</si>
  <si>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</si>
  <si>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</si>
  <si>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</si>
  <si>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</si>
  <si>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</si>
  <si>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</si>
  <si>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</si>
  <si>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</si>
  <si>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</si>
  <si>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</si>
  <si>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</si>
  <si>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</si>
  <si>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</si>
  <si>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</si>
  <si>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</si>
  <si>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</si>
  <si>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</si>
  <si>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</si>
  <si>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</si>
  <si>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</si>
  <si>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</si>
  <si>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</si>
  <si>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</si>
  <si>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</si>
  <si>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</si>
  <si>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</si>
  <si>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</si>
  <si>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</si>
  <si>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</si>
  <si>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</si>
  <si>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</si>
  <si>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</si>
  <si>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</si>
  <si>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</si>
  <si>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</si>
  <si>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</si>
  <si>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</si>
  <si>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</si>
  <si>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</si>
  <si>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</si>
  <si>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</si>
  <si>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</si>
  <si>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</si>
  <si>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</si>
  <si>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</si>
  <si>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</si>
  <si>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</si>
  <si>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</si>
  <si>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</si>
  <si>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</si>
  <si>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</si>
  <si>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</si>
  <si>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</si>
  <si>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</si>
  <si>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</si>
  <si>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</si>
  <si>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</si>
  <si>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</si>
  <si>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</si>
  <si>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</si>
  <si>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</si>
  <si>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</si>
  <si>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</si>
  <si>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</si>
  <si>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</si>
  <si>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</si>
  <si>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</si>
  <si>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</si>
  <si>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</si>
  <si>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</si>
  <si>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</si>
  <si>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</si>
  <si>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</si>
  <si>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</si>
  <si>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</si>
  <si>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</si>
  <si>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</si>
  <si>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</si>
  <si>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</si>
  <si>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</si>
  <si>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</si>
  <si>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</si>
  <si>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</si>
  <si>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</si>
  <si>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</si>
  <si>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</si>
  <si>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</si>
  <si>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</si>
  <si>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</si>
  <si>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</si>
  <si>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</si>
  <si>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</si>
  <si>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</si>
  <si>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</si>
  <si>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</si>
  <si>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</si>
  <si>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</si>
  <si>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</si>
  <si>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</si>
  <si>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</si>
  <si>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</si>
  <si>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</si>
  <si>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</si>
  <si>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</si>
  <si>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</si>
  <si>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</si>
  <si>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</si>
  <si>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</si>
  <si>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</si>
  <si>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</si>
  <si>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</si>
  <si>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</si>
  <si>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</si>
  <si>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</si>
  <si>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</si>
  <si>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</si>
  <si>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</si>
  <si>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</si>
  <si>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</si>
  <si>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</si>
  <si>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</si>
  <si>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</si>
  <si>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</si>
  <si>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</si>
  <si>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</si>
  <si>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</si>
  <si>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</si>
  <si>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</si>
  <si>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</si>
  <si>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</si>
  <si>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</si>
  <si>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</si>
  <si>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</si>
  <si>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</si>
  <si>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</si>
  <si>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</si>
  <si>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</si>
  <si>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</si>
  <si>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</si>
  <si>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</si>
  <si>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</si>
  <si>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</si>
  <si>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</si>
  <si>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</si>
  <si>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</si>
  <si>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</si>
  <si>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</si>
  <si>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</si>
  <si>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</si>
  <si>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</si>
  <si>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</si>
  <si>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</si>
  <si>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</si>
  <si>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</si>
  <si>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</si>
  <si>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</si>
  <si>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</si>
  <si>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</si>
  <si>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</si>
  <si>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</si>
  <si>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</si>
  <si>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</si>
  <si>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</si>
  <si>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</si>
  <si>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</si>
  <si>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</si>
  <si>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</si>
  <si>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</si>
  <si>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</si>
  <si>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</si>
  <si>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</si>
  <si>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</si>
  <si>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</si>
  <si>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</si>
  <si>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</si>
  <si>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</si>
  <si>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</si>
  <si>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</si>
  <si>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</si>
  <si>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</si>
  <si>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</si>
  <si>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</si>
  <si>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</si>
  <si>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</si>
  <si>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</si>
  <si>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</si>
  <si>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</si>
  <si>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</si>
  <si>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</si>
  <si>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</si>
  <si>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</si>
  <si>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</si>
  <si>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</si>
  <si>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</si>
  <si>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</si>
  <si>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</si>
  <si>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</si>
  <si>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</si>
  <si>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</si>
  <si>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</si>
  <si>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</si>
  <si>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</si>
  <si>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</si>
  <si>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</si>
  <si>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</si>
  <si>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</si>
  <si>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</si>
  <si>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</si>
  <si>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</si>
  <si>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</si>
  <si>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</si>
  <si>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</si>
  <si>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</si>
  <si>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</si>
  <si>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</si>
  <si>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</si>
  <si>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</si>
  <si>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</si>
  <si>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</si>
  <si>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</si>
  <si>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</si>
  <si>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</si>
  <si>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</si>
  <si>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</si>
  <si>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</si>
  <si>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</si>
  <si>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</si>
  <si>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</si>
  <si>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</si>
  <si>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</si>
  <si>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</si>
  <si>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</si>
  <si>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</si>
  <si>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</si>
  <si>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</si>
  <si>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</si>
  <si>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</si>
  <si>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</si>
  <si>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</si>
  <si>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</si>
  <si>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</si>
  <si>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</si>
  <si>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</si>
  <si>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</si>
  <si>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</si>
  <si>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</si>
  <si>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</si>
  <si>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</si>
  <si>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</si>
  <si>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</si>
  <si>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</si>
  <si>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</si>
  <si>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</si>
  <si>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</si>
  <si>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</si>
  <si>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</si>
  <si>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</si>
  <si>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</si>
  <si>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</si>
  <si>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</si>
  <si>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</si>
  <si>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</si>
  <si>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</si>
  <si>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</si>
  <si>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</si>
  <si>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</si>
  <si>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</si>
  <si>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</si>
  <si>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</si>
  <si>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</si>
  <si>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</si>
  <si>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</si>
  <si>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</si>
  <si>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</si>
  <si>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</si>
  <si>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</si>
  <si>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</si>
  <si>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</si>
  <si>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</si>
  <si>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</si>
  <si>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</si>
  <si>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</si>
  <si>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</si>
  <si>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</si>
  <si>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</si>
  <si>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</si>
  <si>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</si>
  <si>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</si>
  <si>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</si>
  <si>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</si>
  <si>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</si>
  <si>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</si>
  <si>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</si>
  <si>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</si>
  <si>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</si>
  <si>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</si>
  <si>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</si>
  <si>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</si>
  <si>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</si>
  <si>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</si>
  <si>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</si>
  <si>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</si>
  <si>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</si>
  <si>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</si>
  <si>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</si>
  <si>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</si>
  <si>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</si>
  <si>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</si>
  <si>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</si>
  <si>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</si>
  <si>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</si>
  <si>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</si>
  <si>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</si>
  <si>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</si>
  <si>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</si>
  <si>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</si>
  <si>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</si>
  <si>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</si>
  <si>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</si>
  <si>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</si>
  <si>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</si>
  <si>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</si>
  <si>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</si>
  <si>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</si>
  <si>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</si>
  <si>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</si>
  <si>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</si>
  <si>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</si>
  <si>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</si>
  <si>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</si>
  <si>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</si>
  <si>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</si>
  <si>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</si>
  <si>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</si>
  <si>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</si>
  <si>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</si>
  <si>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</si>
  <si>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</si>
  <si>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</si>
  <si>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</si>
  <si>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</si>
  <si>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</si>
  <si>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</si>
  <si>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</si>
  <si>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</si>
  <si>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</si>
  <si>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</si>
  <si>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</si>
  <si>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</si>
  <si>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</si>
  <si>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</si>
  <si>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</si>
  <si>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</si>
  <si>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</si>
  <si>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</si>
  <si>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</si>
  <si>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</si>
  <si>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</si>
  <si>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</si>
  <si>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</si>
  <si>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</si>
  <si>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</si>
  <si>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</si>
  <si>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</si>
  <si>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</si>
  <si>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</si>
  <si>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</si>
  <si>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</si>
  <si>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</si>
  <si>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</si>
  <si>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</si>
  <si>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</si>
  <si>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</si>
  <si>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</si>
  <si>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</si>
  <si>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</si>
  <si>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</si>
  <si>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</si>
  <si>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</si>
  <si>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</si>
  <si>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</si>
  <si>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</si>
  <si>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</si>
  <si>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</si>
  <si>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</si>
  <si>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</si>
  <si>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</si>
  <si>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</si>
  <si>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</si>
  <si>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</si>
  <si>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</si>
  <si>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</si>
  <si>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</si>
  <si>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</si>
  <si>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</si>
  <si>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</si>
  <si>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</si>
  <si>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</si>
  <si>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</si>
  <si>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</si>
  <si>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</si>
  <si>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</si>
  <si>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Tehzeem Cash &amp; Carry </t>
  </si>
  <si>
    <t xml:space="preserve">Address: Edin City </t>
  </si>
  <si>
    <t>Fakhir Store</t>
  </si>
  <si>
    <t>Address: Bedian Road</t>
  </si>
  <si>
    <t xml:space="preserve">Mian Bakery </t>
  </si>
  <si>
    <t xml:space="preserve">Address: Bedian </t>
  </si>
  <si>
    <t>Malik Store</t>
  </si>
  <si>
    <t>Saleem Store</t>
  </si>
  <si>
    <t xml:space="preserve">U Mart </t>
  </si>
  <si>
    <t>Address: DHA</t>
  </si>
  <si>
    <t>Khalil Store</t>
  </si>
  <si>
    <t>Yaseen Store</t>
  </si>
  <si>
    <t>Toheed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</si>
</sst>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S41" sqref="S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Tehzeem Cash &amp; Carry 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Fakhir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Mian Bakery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Malik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85</v>
      </c>
      <c r="I7" s="235">
        <f>(G7*D7)*F7+H7*F7</f>
        <v>4459.3125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356.745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156.07593750000001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3946.4915624999999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842.79661016949115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23.946440863347455</v>
      </c>
      <c r="P7" s="310">
        <f>M7+N7+O7</f>
        <v>4813.2346135328389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Saleem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U Mart </v>
      </c>
      <c r="T8" s="301">
        <f>+'6'!P35</f>
        <v>5401.2631679237284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85</v>
      </c>
      <c r="I9" s="236">
        <f t="shared" si="0"/>
        <v>4459.3125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356.745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156.07593750000001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3946.4915624999999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842.79661016949115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23.946440863347455</v>
      </c>
      <c r="P9" s="311">
        <f t="shared" si="2"/>
        <v>4813.2346135328389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Khalil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75</v>
      </c>
      <c r="I10" s="236">
        <f t="shared" si="0"/>
        <v>5448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435.84000000000003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190.68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4821.4799999999996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1029.6610169491526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29.255705084745763</v>
      </c>
      <c r="P10" s="311">
        <f t="shared" si="2"/>
        <v>5880.3967220338973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Yaseen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5142.9119999999994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Toheed Store</v>
      </c>
      <c r="T11" s="301">
        <f>+'9'!P35</f>
        <v>16203.789503771184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2401.9679999999998</v>
      </c>
      <c r="K16" s="275">
        <f t="shared" si="3"/>
        <v>1050.8610000000001</v>
      </c>
      <c r="L16" s="276">
        <f t="shared" si="3"/>
        <v>0</v>
      </c>
      <c r="M16" s="232">
        <f t="shared" si="3"/>
        <v>26571.771000000001</v>
      </c>
      <c r="N16" s="233">
        <f>SUM(N7:N15)</f>
        <v>5674.576271186439</v>
      </c>
      <c r="O16" s="101">
        <f>SUM(O7:O15)</f>
        <v>161.23173635593218</v>
      </c>
      <c r="P16" s="113">
        <f>SUM(P7:P15)</f>
        <v>32407.579007542372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30024.6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2401.9679999999998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1050.8610000000001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26571.770999999997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32246.347271186438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161.23173635593218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32407.579007542368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32407.579007542365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234">
        <f>SUM(P16:P24)</f>
        <v>8101.894751885593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7506.1500000000005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600.49199999999996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262.71525000000003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6642.9427500000002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8061.5868177966095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45" t="s">
        <v>88</v>
      </c>
      <c r="O35" s="346"/>
      <c r="P35" s="297">
        <f>+P33+P34</f>
        <v>8101.8947518855921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2026-10-12T04:35:44Z</dcterms:modified>
</cp:coreProperties>
</file>