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4871EFD-950D-4969-AEB7-36FC562D5165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54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<sst xmlns="http://schemas.openxmlformats.org/spreadsheetml/2006/main" count="3949" uniqueCount="548">
  <si>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</si>
  <si>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</si>
  <si>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</si>
  <si>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</si>
  <si>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</si>
  <si>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</si>
  <si>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</si>
  <si>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</si>
  <si>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</si>
  <si>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</si>
  <si>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</si>
  <si>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</si>
  <si>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</si>
  <si>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</si>
  <si>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</si>
  <si>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</si>
  <si>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</si>
  <si>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</si>
  <si>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</si>
  <si>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</si>
  <si>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</si>
  <si>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</si>
  <si>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</si>
  <si>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</si>
  <si>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</si>
  <si>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</si>
  <si>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</si>
  <si>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</si>
  <si>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</si>
  <si>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</si>
  <si>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</si>
  <si>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</si>
  <si>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</si>
  <si>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</si>
  <si>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</si>
  <si>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</si>
  <si>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</si>
  <si>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</si>
  <si>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</si>
  <si>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</si>
  <si>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</si>
  <si>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</si>
  <si>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</si>
  <si>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</si>
  <si>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</si>
  <si>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</si>
  <si>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</si>
  <si>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</si>
  <si>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</si>
  <si>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</si>
  <si>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</si>
  <si>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</si>
  <si>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</si>
  <si>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</si>
  <si>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</si>
  <si>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</si>
  <si>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</si>
  <si>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</si>
  <si>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</si>
  <si>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</si>
  <si>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</si>
  <si>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</si>
  <si>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</si>
  <si>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</si>
  <si>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</si>
  <si>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</si>
  <si>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</si>
  <si>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</si>
  <si>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</si>
  <si>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</si>
  <si>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</si>
  <si>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</si>
  <si>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</si>
  <si>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</si>
  <si>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</si>
  <si>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</si>
  <si>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</si>
  <si>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</si>
  <si>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</si>
  <si>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</si>
  <si>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</si>
  <si>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</si>
  <si>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</si>
  <si>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</si>
  <si>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</si>
  <si>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</si>
  <si>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</si>
  <si>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</si>
  <si>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</si>
  <si>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</si>
  <si>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</si>
  <si>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</si>
  <si>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</si>
  <si>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</si>
  <si>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</si>
  <si>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</si>
  <si>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</si>
  <si>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</si>
  <si>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</si>
  <si>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</si>
  <si>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</si>
  <si>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</si>
  <si>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</si>
  <si>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</si>
  <si>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</si>
  <si>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</si>
  <si>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</si>
  <si>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</si>
  <si>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</si>
  <si>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</si>
  <si>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</si>
  <si>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</si>
  <si>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</si>
  <si>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</si>
  <si>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</si>
  <si>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</si>
  <si>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</si>
  <si>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</si>
  <si>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</si>
  <si>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</si>
  <si>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</si>
  <si>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</si>
  <si>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</si>
  <si>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</si>
  <si>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</si>
  <si>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</si>
  <si>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</si>
  <si>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</si>
  <si>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</si>
  <si>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</si>
  <si>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</si>
  <si>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</si>
  <si>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</si>
  <si>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</si>
  <si>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</si>
  <si>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</si>
  <si>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</si>
  <si>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</si>
  <si>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</si>
  <si>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</si>
  <si>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</si>
  <si>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</si>
  <si>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</si>
  <si>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</si>
  <si>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</si>
  <si>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</si>
  <si>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</si>
  <si>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</si>
  <si>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</si>
  <si>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</si>
  <si>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</si>
  <si>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</si>
  <si>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</si>
  <si>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</si>
  <si>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</si>
  <si>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</si>
  <si>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</si>
  <si>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</si>
  <si>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</si>
  <si>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</si>
  <si>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</si>
  <si>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</si>
  <si>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</si>
  <si>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</si>
  <si>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</si>
  <si>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</si>
  <si>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</si>
  <si>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</si>
  <si>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</si>
  <si>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</si>
  <si>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</si>
  <si>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</si>
  <si>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</si>
  <si>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</si>
  <si>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</si>
  <si>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</si>
  <si>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</si>
  <si>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</si>
  <si>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</si>
  <si>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</si>
  <si>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</si>
  <si>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</si>
  <si>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</si>
  <si>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</si>
  <si>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</si>
  <si>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</si>
  <si>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</si>
  <si>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</si>
  <si>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</si>
  <si>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</si>
  <si>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</si>
  <si>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</si>
  <si>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</si>
  <si>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</si>
  <si>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</si>
  <si>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</si>
  <si>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</si>
  <si>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</si>
  <si>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</si>
  <si>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</si>
  <si>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</si>
  <si>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</si>
  <si>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</si>
  <si>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</si>
  <si>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</si>
  <si>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</si>
  <si>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</si>
  <si>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</si>
  <si>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</si>
  <si>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</si>
  <si>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</si>
  <si>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</si>
  <si>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</si>
  <si>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</si>
  <si>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</si>
  <si>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</si>
  <si>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</si>
  <si>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</si>
  <si>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</si>
  <si>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</si>
  <si>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</si>
  <si>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</si>
  <si>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</si>
  <si>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</si>
  <si>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</si>
  <si>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</si>
  <si>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</si>
  <si>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</si>
  <si>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</si>
  <si>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</si>
  <si>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</si>
  <si>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</si>
  <si>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</si>
  <si>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</si>
  <si>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</si>
  <si>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</si>
  <si>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</si>
  <si>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</si>
  <si>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</si>
  <si>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</si>
  <si>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</si>
  <si>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</si>
  <si>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</si>
  <si>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</si>
  <si>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</si>
  <si>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</si>
  <si>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</si>
  <si>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</si>
  <si>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</si>
  <si>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</si>
  <si>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</si>
  <si>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</si>
  <si>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</si>
  <si>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</si>
  <si>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</si>
  <si>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</si>
  <si>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</si>
  <si>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</si>
  <si>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</si>
  <si>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</si>
  <si>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</si>
  <si>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</si>
  <si>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</si>
  <si>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</si>
  <si>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</si>
  <si>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</si>
  <si>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</si>
  <si>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</si>
  <si>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</si>
  <si>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</si>
  <si>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</si>
  <si>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</si>
  <si>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</si>
  <si>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</si>
  <si>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</si>
  <si>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</si>
  <si>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</si>
  <si>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</si>
  <si>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</si>
  <si>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</si>
  <si>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</si>
  <si>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</si>
  <si>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</si>
  <si>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</si>
  <si>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</si>
  <si>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</si>
  <si>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</si>
  <si>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</si>
  <si>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</si>
  <si>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</si>
  <si>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</si>
  <si>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</si>
  <si>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</si>
  <si>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</si>
  <si>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</si>
  <si>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</si>
  <si>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</si>
  <si>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</si>
  <si>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</si>
  <si>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</si>
  <si>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</si>
  <si>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</si>
  <si>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</si>
  <si>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</si>
  <si>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</si>
  <si>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</si>
  <si>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</si>
  <si>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</si>
  <si>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</si>
  <si>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</si>
  <si>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</si>
  <si>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</si>
  <si>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</si>
  <si>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</si>
  <si>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</si>
  <si>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</si>
  <si>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</si>
  <si>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</si>
  <si>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</si>
  <si>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</si>
  <si>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</si>
  <si>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</si>
  <si>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</si>
  <si>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</si>
  <si>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</si>
  <si>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</si>
  <si>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</si>
  <si>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</si>
  <si>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</si>
  <si>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</si>
  <si>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</si>
  <si>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</si>
  <si>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</si>
  <si>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</si>
  <si>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</si>
  <si>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</si>
  <si>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</si>
  <si>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</si>
  <si>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</si>
  <si>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</si>
  <si>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</si>
  <si>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</si>
  <si>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</si>
  <si>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</si>
  <si>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</si>
  <si>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</si>
  <si>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</si>
  <si>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</si>
  <si>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</si>
  <si>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</si>
  <si>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</si>
  <si>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</si>
  <si>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</si>
  <si>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</si>
  <si>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</si>
  <si>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</si>
  <si>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</si>
  <si>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</si>
  <si>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</si>
  <si>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</si>
  <si>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</si>
  <si>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</si>
  <si>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</si>
  <si>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</si>
  <si>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</si>
  <si>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</si>
  <si>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</si>
  <si>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</si>
  <si>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</si>
  <si>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</si>
  <si>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</si>
  <si>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</si>
  <si>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</si>
  <si>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</si>
  <si>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</si>
  <si>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</si>
  <si>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</si>
  <si>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</si>
  <si>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</si>
  <si>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</si>
  <si>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</si>
  <si>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</si>
  <si>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</si>
  <si>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</si>
  <si>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</si>
  <si>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</si>
  <si>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</si>
  <si>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</si>
  <si>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</si>
  <si>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</si>
  <si>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</si>
  <si>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</si>
  <si>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</si>
  <si>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</si>
  <si>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</si>
  <si>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</si>
  <si>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</si>
  <si>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</si>
  <si>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</si>
  <si>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</si>
  <si>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</si>
  <si>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</si>
  <si>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</si>
  <si>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</si>
  <si>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</si>
  <si>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</si>
  <si>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</si>
  <si>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</si>
  <si>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</si>
  <si>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</si>
  <si>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</si>
  <si>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</si>
  <si>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</si>
  <si>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</si>
  <si>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</si>
  <si>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</si>
  <si>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</si>
  <si>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</si>
  <si>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</si>
  <si>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</si>
  <si>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</si>
  <si>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</si>
  <si>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</si>
  <si>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</si>
  <si>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</si>
  <si>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</si>
  <si>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</si>
  <si>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</si>
  <si>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</si>
  <si>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</si>
  <si>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</si>
  <si>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</si>
  <si>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</si>
  <si>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</si>
  <si>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</si>
  <si>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</si>
  <si>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</si>
  <si>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</si>
  <si>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</si>
  <si>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</si>
  <si>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</si>
  <si>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</si>
  <si>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</si>
  <si>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</si>
  <si>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</si>
  <si>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</si>
  <si>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</si>
  <si>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</si>
  <si>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</si>
  <si>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</si>
  <si>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</si>
  <si>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</si>
  <si>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</si>
  <si>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</si>
  <si>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</si>
  <si>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</si>
  <si>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</si>
  <si>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</si>
  <si>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</si>
  <si>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</si>
  <si>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</si>
  <si>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</si>
  <si>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</si>
  <si>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</si>
  <si>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</si>
  <si>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</si>
  <si>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</si>
  <si>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</si>
  <si>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</si>
  <si>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</si>
  <si>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</si>
  <si>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</si>
  <si>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</si>
  <si>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</si>
  <si>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</si>
  <si>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</si>
  <si>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</si>
  <si>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</si>
  <si>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</si>
  <si>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</si>
  <si>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</si>
  <si>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</si>
  <si>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</si>
  <si>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</si>
  <si>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</si>
  <si>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</si>
  <si>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</si>
  <si>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</si>
  <si>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</si>
  <si>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</si>
  <si>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</si>
  <si>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</si>
  <si>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</si>
  <si>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</si>
  <si>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</si>
  <si>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</si>
  <si>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</si>
  <si>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</si>
  <si>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</si>
  <si>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</si>
  <si>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</si>
  <si>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</si>
  <si>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</si>
  <si>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</si>
  <si>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</si>
  <si>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</si>
  <si>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</si>
  <si>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</si>
  <si>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</si>
  <si>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</si>
  <si>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</si>
  <si>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</si>
  <si>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</si>
  <si>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</si>
  <si>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</si>
  <si>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Islam Pura</t>
  </si>
  <si>
    <t xml:space="preserve">Shakoor Husain </t>
  </si>
  <si>
    <t xml:space="preserve"> </t>
  </si>
  <si>
    <t xml:space="preserve">Gourmet Food Shadman </t>
  </si>
  <si>
    <t xml:space="preserve">Gourmet Food Jinah Hospital </t>
  </si>
  <si>
    <t xml:space="preserve">Gourmet Food Walton </t>
  </si>
  <si>
    <t>Gourmet Food Krishan Nager</t>
  </si>
  <si>
    <t>Gourmet Food Nadeem Shaheed Road</t>
  </si>
  <si>
    <t xml:space="preserve">Gourmet Food Umer Chowk </t>
  </si>
  <si>
    <t>Invoice No # :0001</t>
  </si>
  <si>
    <t>Gourmet Food College Road</t>
  </si>
  <si>
    <t>Gourmet Food Ghalib Market</t>
  </si>
  <si>
    <t>Gourmet Food Zahoor e ilaahi</t>
  </si>
  <si>
    <t xml:space="preserve">Gourmet Food Pico </t>
  </si>
  <si>
    <t>Gourmet Food Temple Road</t>
  </si>
  <si>
    <t xml:space="preserve">Gourmet Food C Block Model town </t>
  </si>
  <si>
    <t>Gourmet Food Poonch Road</t>
  </si>
  <si>
    <t xml:space="preserve">Gourmet Food Gulshan Ravi </t>
  </si>
  <si>
    <t xml:space="preserve">Gourmet Food Riwind City </t>
  </si>
  <si>
    <t>Gourmet Food Model Town Link Road</t>
  </si>
  <si>
    <t xml:space="preserve">Gourmet Food A Block Model Town </t>
  </si>
  <si>
    <t>Gourmet Food Bata Pur</t>
  </si>
  <si>
    <t xml:space="preserve">Gourmet Food Sadar Kachari </t>
  </si>
  <si>
    <t xml:space="preserve">Gourmet Food Jaurey Pull </t>
  </si>
  <si>
    <t xml:space="preserve">Gourmet Food Bhatta Chowk </t>
  </si>
  <si>
    <t>Gourmet Food XX DHA</t>
  </si>
  <si>
    <t>Gourmet Food H Block DHA</t>
  </si>
  <si>
    <t>Gourmet Food Shalimar Link Road</t>
  </si>
  <si>
    <t>Gourmet Food Salamat pura</t>
  </si>
  <si>
    <t xml:space="preserve">Gourmet Food Dharoghewala </t>
  </si>
  <si>
    <t>Gourmet Food Riwind Road</t>
  </si>
  <si>
    <t xml:space="preserve">Gourmet Food  Chung </t>
  </si>
  <si>
    <t>Gourmet Food Moter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</si>
</sst>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B19" workbookViewId="0">
      <selection activeCell="S25" sqref="S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6.453125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415" t="str">
        <f>+'1'!A6:A6</f>
        <v>Gourmet Food College Road</v>
      </c>
      <c r="T3" s="300">
        <f>+'1'!P35</f>
        <v>8020.7736005084762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20" t="str">
        <f>+'2'!A6:A6</f>
        <v xml:space="preserve">Gourmet Food Shadman </v>
      </c>
      <c r="T4" s="300">
        <f>+'2'!P35</f>
        <v>8020.7736005084762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3" t="s">
        <v>507</v>
      </c>
      <c r="R5" s="317">
        <v>3</v>
      </c>
      <c r="S5" s="318" t="str">
        <f>+'3'!A6:A6</f>
        <v>Gourmet Food Ghalib Market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3" t="s">
        <v>506</v>
      </c>
      <c r="R6" s="317">
        <v>4</v>
      </c>
      <c r="S6" s="318" t="str">
        <f>+'4'!A6:A6</f>
        <v>Gourmet Food Zahoor e ilaahi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1888.6499999999999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8603.85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52.934504237288131</v>
      </c>
      <c r="P7" s="309">
        <f>M7+N7+O7</f>
        <v>10639.835351694914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7">
        <v>5</v>
      </c>
      <c r="S7" s="318" t="str">
        <f>+'5'!A6:A6</f>
        <v>Gourmet Food Islam Pura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280</v>
      </c>
      <c r="I8" s="236">
        <f t="shared" ref="I8:I14" si="0">(G8*D8)*F8+H8*F8</f>
        <v>14689.5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2644.1099999999997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12045.39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2776.2711864406765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74.108305932203379</v>
      </c>
      <c r="P8" s="310">
        <f t="shared" ref="P8:P15" si="2">M8+N8+O8</f>
        <v>14895.76949237288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7">
        <v>6</v>
      </c>
      <c r="S8" s="415" t="str">
        <f>+'6'!A6:A6</f>
        <v xml:space="preserve">Gourmet Food Jinah Hospital </v>
      </c>
      <c r="T8" s="300">
        <f>+'6'!P35</f>
        <v>8839.2097952542372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320</v>
      </c>
      <c r="I9" s="236">
        <f t="shared" si="0"/>
        <v>16788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3021.8399999999997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13766.16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3172.8813559322016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84.695206779661007</v>
      </c>
      <c r="P9" s="310">
        <f t="shared" si="2"/>
        <v>17023.73656271186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120</v>
      </c>
      <c r="R9" s="317">
        <v>7</v>
      </c>
      <c r="S9" s="415" t="str">
        <f>+'7'!A6:A6</f>
        <v xml:space="preserve">Gourmet Food Pico </v>
      </c>
      <c r="T9" s="300">
        <f>+'7'!P35</f>
        <v>2127.9670703389825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360</v>
      </c>
      <c r="I10" s="236">
        <f t="shared" si="0"/>
        <v>26150.400000000001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4707.0719999999992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21443.328000000001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4942.3728813559328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131.92850440677969</v>
      </c>
      <c r="P10" s="310">
        <f t="shared" si="2"/>
        <v>26517.629385762713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80</v>
      </c>
      <c r="R10" s="317">
        <v>8</v>
      </c>
      <c r="S10" s="318" t="str">
        <f>+'8'!A6:A6</f>
        <v>Gourmet Food Temple Road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320</v>
      </c>
      <c r="I11" s="236">
        <f t="shared" si="0"/>
        <v>23244.799999999999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4184.0639999999994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19060.736000000001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4393.2203389830511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117.26978169491528</v>
      </c>
      <c r="P11" s="310">
        <f t="shared" si="2"/>
        <v>23571.226120677966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80</v>
      </c>
      <c r="R11" s="317">
        <v>9</v>
      </c>
      <c r="S11" s="319" t="str">
        <f>+'9'!A6:A6</f>
        <v xml:space="preserve">Gourmet Food Walton </v>
      </c>
      <c r="T11" s="300">
        <f>+'9'!P35</f>
        <v>5892.8065301694915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440</v>
      </c>
      <c r="I12" s="236">
        <f t="shared" si="0"/>
        <v>31961.599999999999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5753.0879999999988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26208.511999999999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6040.6779661016963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161.24594983050852</v>
      </c>
      <c r="P12" s="310">
        <f t="shared" si="2"/>
        <v>32410.435915932201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80</v>
      </c>
      <c r="R12" s="317">
        <v>10</v>
      </c>
      <c r="S12" s="415" t="str">
        <f>+'10'!A6:A6</f>
        <v xml:space="preserve">Gourmet Food C Block Model town </v>
      </c>
      <c r="T12" s="300">
        <f>+'10'!P35</f>
        <v>5074.3703354237296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7">
        <v>11</v>
      </c>
      <c r="S13" s="318" t="str">
        <f>+'11'!A6:A6</f>
        <v>Gourmet Food Krishan Nager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7">
        <v>12</v>
      </c>
      <c r="S14" s="318" t="str">
        <f>+'12'!A6:A6</f>
        <v>Gourmet Food Poonch Road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7">
        <v>13</v>
      </c>
      <c r="S15" s="318" t="str">
        <f>+'13'!A6:A6</f>
        <v>Gourmet Food Nadeem Shaheed Road</v>
      </c>
      <c r="T15" s="300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274">
        <f>H16/40</f>
        <v>48</v>
      </c>
      <c r="H16" s="113">
        <f t="shared" ref="H16:M16" si="3">SUM(H7:H15)</f>
        <v>1920</v>
      </c>
      <c r="I16" s="114">
        <f t="shared" si="3"/>
        <v>123326.79999999999</v>
      </c>
      <c r="J16" s="274">
        <f>SUM(J7:J15)</f>
        <v>22198.823999999997</v>
      </c>
      <c r="K16" s="275">
        <f t="shared" si="3"/>
        <v>0</v>
      </c>
      <c r="L16" s="276">
        <f t="shared" si="3"/>
        <v>0</v>
      </c>
      <c r="M16" s="232">
        <f t="shared" si="3"/>
        <v>101127.976</v>
      </c>
      <c r="N16" s="233">
        <f>SUM(N7:N15)</f>
        <v>23308.474576271183</v>
      </c>
      <c r="O16" s="101">
        <f>SUM(O7:O15)</f>
        <v>622.18225288135602</v>
      </c>
      <c r="P16" s="113">
        <f>SUM(P7:P15)</f>
        <v>125058.63282915254</v>
      </c>
      <c r="Q16" s="128">
        <f>SUM(Q7:Q15)</f>
        <v>440</v>
      </c>
      <c r="R16" s="317">
        <v>14</v>
      </c>
      <c r="S16" s="318" t="str">
        <f>+'14'!A6:A6</f>
        <v xml:space="preserve">Gourmet Food Gulshan Ravi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415" t="str">
        <f>+'15'!A6:A6</f>
        <v xml:space="preserve">Gourmet Food Umer Chowk </v>
      </c>
      <c r="T17" s="300">
        <f>+'15'!P35</f>
        <v>15223.111006271187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20" t="str">
        <f>+'16'!A6:A6</f>
        <v xml:space="preserve">Gourmet Food Riwind City </v>
      </c>
      <c r="T18" s="300">
        <f>+'16'!P35</f>
        <v>15223.111006271187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123326.79999999999</v>
      </c>
      <c r="R19" s="299">
        <v>17</v>
      </c>
      <c r="S19" s="415" t="str">
        <f>+'17'!A6:A6</f>
        <v>Gourmet Food Model Town Link Road</v>
      </c>
      <c r="T19" s="300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22198.823999999997</v>
      </c>
      <c r="R20" s="299">
        <v>18</v>
      </c>
      <c r="S20" s="320" t="str">
        <f>+'18'!A6:A6</f>
        <v xml:space="preserve">Gourmet Food A Block Model Town </v>
      </c>
      <c r="T20" s="300">
        <f>+'18'!P35</f>
        <v>15223.111006271187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18" t="str">
        <f>+'19'!A6:A6</f>
        <v>Gourmet Food Bata Pur</v>
      </c>
      <c r="T21" s="300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101127.976</v>
      </c>
      <c r="R22" s="299">
        <v>20</v>
      </c>
      <c r="S22" s="320" t="str">
        <f>+'20'!A6:A6</f>
        <v xml:space="preserve">Gourmet Food Sadar Kachari </v>
      </c>
      <c r="T22" s="300">
        <f>+'20'!P35</f>
        <v>6383.9012110169497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23308.474576271183</v>
      </c>
      <c r="R23" s="299">
        <v>21</v>
      </c>
      <c r="S23" s="320" t="str">
        <f>+'21'!A6:A6</f>
        <v xml:space="preserve">Gourmet Food Jaurey Pull </v>
      </c>
      <c r="T23" s="300">
        <f>+'21'!P35</f>
        <v>10148.740670847459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124436.45057627118</v>
      </c>
      <c r="R24" s="299">
        <v>22</v>
      </c>
      <c r="S24" s="319" t="str">
        <f>+'22'!A6:A6</f>
        <v xml:space="preserve">Gourmet Food Bhatta Chowk </v>
      </c>
      <c r="T24" s="300">
        <f>+'22'!P35</f>
        <v>5892.8065301694915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622.18225288135602</v>
      </c>
      <c r="R25" s="299">
        <v>23</v>
      </c>
      <c r="S25" s="319" t="str">
        <f>+'23'!A6:A6</f>
        <v>Gourmet Food XX DHA</v>
      </c>
      <c r="T25" s="300">
        <f>+'23'!P35</f>
        <v>8839.2097952542372</v>
      </c>
    </row>
    <row r="26" spans="1:20" ht="21.75" customHeight="1" thickBot="1" x14ac:dyDescent="0.4">
      <c r="N26" s="345" t="s">
        <v>88</v>
      </c>
      <c r="O26" s="346"/>
      <c r="P26" s="297">
        <f>+P24+P25</f>
        <v>125058.63282915253</v>
      </c>
      <c r="R26" s="299">
        <v>24</v>
      </c>
      <c r="S26" s="319" t="str">
        <f>+'24'!A6:A6</f>
        <v>Gourmet Food H Block DHA</v>
      </c>
      <c r="T26" s="300">
        <f>+'24'!P35</f>
        <v>5074.3703354237296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18" t="str">
        <f>+'25'!A6:A6</f>
        <v>Gourmet Food Shalimar Link Road</v>
      </c>
      <c r="T27" s="300">
        <f>+'25'!P35</f>
        <v>0</v>
      </c>
    </row>
    <row r="28" spans="1:20" ht="21.75" customHeight="1" x14ac:dyDescent="0.35">
      <c r="R28" s="299">
        <v>26</v>
      </c>
      <c r="S28" s="318" t="str">
        <f>+'26'!A6:A6</f>
        <v>Gourmet Food Salamat pura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20" t="str">
        <f>+'27'!A6:A6</f>
        <v xml:space="preserve">Gourmet Food Dharoghewala </v>
      </c>
      <c r="T29" s="300">
        <f>+'27'!P35</f>
        <v>5074.3703354237296</v>
      </c>
    </row>
    <row r="30" spans="1:20" ht="21.75" customHeight="1" x14ac:dyDescent="0.35">
      <c r="R30" s="299">
        <v>28</v>
      </c>
      <c r="S30" s="318" t="str">
        <f>+'28'!A6:A6</f>
        <v>Gourmet Food Riwind Road</v>
      </c>
      <c r="T30" s="300">
        <f>+'28'!P35</f>
        <v>0</v>
      </c>
    </row>
    <row r="31" spans="1:20" ht="21.75" customHeight="1" x14ac:dyDescent="0.35">
      <c r="R31" s="299">
        <v>29</v>
      </c>
      <c r="S31" s="318" t="str">
        <f>+'29'!A6:A6</f>
        <v xml:space="preserve">Gourmet Food  Chung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Moter Way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125058.63282915254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1" zoomScaleNormal="10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7.2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7909.7000000000007</v>
      </c>
      <c r="J25" s="274">
        <f>SUM(J16:J24)</f>
        <v>1423.7459999999996</v>
      </c>
      <c r="K25" s="275">
        <f t="shared" si="10"/>
        <v>0</v>
      </c>
      <c r="L25" s="276">
        <f t="shared" si="10"/>
        <v>0</v>
      </c>
      <c r="M25" s="232">
        <f t="shared" si="10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1423.7459999999996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6485.9540000000015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7980.8692542372901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5" t="s">
        <v>88</v>
      </c>
      <c r="O35" s="346"/>
      <c r="P35" s="297">
        <f>+P33+P34</f>
        <v>8020.7736005084762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  <c r="F2" t="s">
        <v>517</v>
      </c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1423.7459999999996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6485.9540000000015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7980.8692542372901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5" t="s">
        <v>88</v>
      </c>
      <c r="O35" s="346"/>
      <c r="P35" s="297">
        <f>+P33+P34</f>
        <v>8020.7736005084762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6" sqref="H16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8.7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40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zoomScaleNormal="10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1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1569.0239999999999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7147.7759999999998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8795.2336271186432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5" t="s">
        <v>88</v>
      </c>
      <c r="O35" s="346"/>
      <c r="P35" s="297">
        <f>+P33+P34</f>
        <v>8839.2097952542372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0</v>
      </c>
      <c r="L25" s="276">
        <f t="shared" si="7"/>
        <v>0</v>
      </c>
      <c r="M25" s="232">
        <f t="shared" si="7"/>
        <v>1720.77</v>
      </c>
      <c r="N25" s="233">
        <f>SUM(N16:N24)</f>
        <v>396.61016949152526</v>
      </c>
      <c r="O25" s="101">
        <f>SUM(O16:O24)</f>
        <v>10.586900847457626</v>
      </c>
      <c r="P25" s="113">
        <f>SUM(P16:P24)</f>
        <v>2127.9670703389825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377.72999999999996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1720.77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2117.3801694915251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10.586900847457626</v>
      </c>
    </row>
    <row r="35" spans="2:16" ht="15.75" customHeight="1" thickBot="1" x14ac:dyDescent="0.4">
      <c r="N35" s="345" t="s">
        <v>88</v>
      </c>
      <c r="O35" s="346"/>
      <c r="P35" s="297">
        <f>+P33+P34</f>
        <v>2127.9670703389825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zoomScale="110" zoomScaleNormal="1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1046.0159999999998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4765.1840000000002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5863.4890847457627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5" t="s">
        <v>88</v>
      </c>
      <c r="O35" s="346"/>
      <c r="P35" s="297">
        <f>+P33+P34</f>
        <v>5892.8065301694915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900.73799999999983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4103.362000000001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5049.1247118644078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5" t="s">
        <v>88</v>
      </c>
      <c r="O35" s="346"/>
      <c r="P35" s="297">
        <f>+P33+P34</f>
        <v>5074.3703354237296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21" workbookViewId="0">
      <selection activeCell="M29" sqref="M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2702.2139999999995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12310.086000000001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15147.374135593222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5" t="s">
        <v>88</v>
      </c>
      <c r="O35" s="346"/>
      <c r="P35" s="297">
        <f>+P33+P34</f>
        <v>15223.111006271187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M29" sqref="M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2702.2139999999995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  <c r="S30" s="215"/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12310.086000000001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15147.374135593222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5" t="s">
        <v>88</v>
      </c>
      <c r="O35" s="346"/>
      <c r="P35" s="297">
        <f>+P33+P34</f>
        <v>15223.111006271187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I21" sqref="I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40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M29" sqref="M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2702.2139999999995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12310.086000000001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15147.374135593222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5" t="s">
        <v>88</v>
      </c>
      <c r="O35" s="346"/>
      <c r="P35" s="297">
        <f>+P33+P34</f>
        <v>15223.111006271187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M29" sqref="M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8.7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1133.1899999999998</v>
      </c>
      <c r="K25" s="275">
        <f t="shared" si="7"/>
        <v>0</v>
      </c>
      <c r="L25" s="276">
        <f t="shared" si="7"/>
        <v>0</v>
      </c>
      <c r="M25" s="232">
        <f t="shared" si="7"/>
        <v>5162.3099999999995</v>
      </c>
      <c r="N25" s="233">
        <f>SUM(N16:N24)</f>
        <v>1189.8305084745757</v>
      </c>
      <c r="O25" s="101">
        <f>SUM(O16:O24)</f>
        <v>31.760702542372876</v>
      </c>
      <c r="P25" s="113">
        <f>SUM(P16:P24)</f>
        <v>6383.9012110169479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6295.5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1133.1899999999998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5162.3100000000004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6352.1405084745766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31.760702542372883</v>
      </c>
    </row>
    <row r="35" spans="2:16" ht="15.75" customHeight="1" thickBot="1" x14ac:dyDescent="0.4">
      <c r="N35" s="345" t="s">
        <v>88</v>
      </c>
      <c r="O35" s="346"/>
      <c r="P35" s="297">
        <f>+P33+P34</f>
        <v>6383.9012110169497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activeCell="M29" sqref="M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1801.4759999999997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8206.724000000002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10098.249423728816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5" t="s">
        <v>88</v>
      </c>
      <c r="O35" s="346"/>
      <c r="P35" s="297">
        <f>+P33+P34</f>
        <v>10148.740670847459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1046.0159999999998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4765.1840000000002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5863.4890847457627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5" t="s">
        <v>88</v>
      </c>
      <c r="O35" s="346"/>
      <c r="P35" s="297">
        <f>+P33+P34</f>
        <v>5892.8065301694915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1569.0239999999999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7147.7759999999998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8795.2336271186432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5" t="s">
        <v>88</v>
      </c>
      <c r="O35" s="346"/>
      <c r="P35" s="297">
        <f>+P33+P34</f>
        <v>8839.2097952542372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900.73799999999983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4103.362000000001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5049.1247118644078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5" t="s">
        <v>88</v>
      </c>
      <c r="O35" s="346"/>
      <c r="P35" s="297">
        <f>+P33+P34</f>
        <v>5074.3703354237296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9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M29" sqref="M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544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900.73799999999983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4103.362000000001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5049.1247118644078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5" t="s">
        <v>88</v>
      </c>
      <c r="O35" s="346"/>
      <c r="P35" s="297">
        <f>+P33+P34</f>
        <v>5074.3703354237296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546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547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2026-10-12T11:03:42Z</dcterms:modified>
</cp:coreProperties>
</file>