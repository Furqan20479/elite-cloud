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OCT_2026\"/>
    </mc:Choice>
  </mc:AlternateContent>
  <xr:revisionPtr revIDLastSave="0" documentId="13_ncr:1_{C78FA5E0-1DEA-4755-B541-1030C03833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lite" sheetId="1" r:id="rId1"/>
    <sheet name="Waseem " sheetId="2" r:id="rId2"/>
    <sheet name="Dolphin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1" l="1"/>
  <c r="Z19" i="1"/>
  <c r="Z23" i="1"/>
  <c r="Z27" i="1"/>
  <c r="Z31" i="1"/>
  <c r="Z35" i="1"/>
  <c r="Y16" i="1"/>
  <c r="Z16" i="1" s="1"/>
  <c r="Y17" i="1"/>
  <c r="Z17" i="1" s="1"/>
  <c r="Y18" i="1"/>
  <c r="Z18" i="1" s="1"/>
  <c r="Y19" i="1"/>
  <c r="Y20" i="1"/>
  <c r="Z20" i="1" s="1"/>
  <c r="Y21" i="1"/>
  <c r="Z21" i="1" s="1"/>
  <c r="Y22" i="1"/>
  <c r="Z22" i="1" s="1"/>
  <c r="Y23" i="1"/>
  <c r="Y24" i="1"/>
  <c r="Z24" i="1" s="1"/>
  <c r="Y25" i="1"/>
  <c r="Z25" i="1" s="1"/>
  <c r="Y26" i="1"/>
  <c r="Z26" i="1" s="1"/>
  <c r="Y27" i="1"/>
  <c r="Y28" i="1"/>
  <c r="Z28" i="1" s="1"/>
  <c r="Y29" i="1"/>
  <c r="Z29" i="1" s="1"/>
  <c r="Y30" i="1"/>
  <c r="Z30" i="1" s="1"/>
  <c r="Y31" i="1"/>
  <c r="Y32" i="1"/>
  <c r="Z32" i="1" s="1"/>
  <c r="Y33" i="1"/>
  <c r="Z33" i="1" s="1"/>
  <c r="Y34" i="1"/>
  <c r="Z34" i="1" s="1"/>
  <c r="Y35" i="1"/>
  <c r="X36" i="1"/>
  <c r="S36" i="1"/>
  <c r="T36" i="1"/>
  <c r="U36" i="1"/>
  <c r="R36" i="1"/>
  <c r="W10" i="1"/>
  <c r="Y10" i="1" s="1"/>
  <c r="Z10" i="1" s="1"/>
  <c r="W14" i="1"/>
  <c r="Y14" i="1" s="1"/>
  <c r="Z14" i="1" s="1"/>
  <c r="V7" i="1"/>
  <c r="W7" i="1" s="1"/>
  <c r="Y7" i="1" s="1"/>
  <c r="Z7" i="1" s="1"/>
  <c r="V8" i="1"/>
  <c r="W8" i="1" s="1"/>
  <c r="Y8" i="1" s="1"/>
  <c r="Z8" i="1" s="1"/>
  <c r="V9" i="1"/>
  <c r="W9" i="1" s="1"/>
  <c r="Y9" i="1" s="1"/>
  <c r="Z9" i="1" s="1"/>
  <c r="V10" i="1"/>
  <c r="V11" i="1"/>
  <c r="W11" i="1" s="1"/>
  <c r="Y11" i="1" s="1"/>
  <c r="Z11" i="1" s="1"/>
  <c r="V12" i="1"/>
  <c r="W12" i="1" s="1"/>
  <c r="Y12" i="1" s="1"/>
  <c r="Z12" i="1" s="1"/>
  <c r="V13" i="1"/>
  <c r="W13" i="1" s="1"/>
  <c r="Y13" i="1" s="1"/>
  <c r="Z13" i="1" s="1"/>
  <c r="V14" i="1"/>
  <c r="V15" i="1"/>
  <c r="W15" i="1" s="1"/>
  <c r="Y15" i="1" s="1"/>
  <c r="Z15" i="1" s="1"/>
  <c r="V6" i="1"/>
  <c r="V36" i="1" s="1"/>
  <c r="W6" i="1" l="1"/>
  <c r="K36" i="1"/>
  <c r="J36" i="1"/>
  <c r="K36" i="2"/>
  <c r="K36" i="3"/>
  <c r="J36" i="3"/>
  <c r="J36" i="2"/>
  <c r="Y6" i="1" l="1"/>
  <c r="Z6" i="1" s="1"/>
  <c r="W36" i="1"/>
  <c r="Y36" i="1" s="1"/>
  <c r="Z36" i="1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7" i="2"/>
  <c r="A8" i="2" s="1"/>
  <c r="A9" i="2" s="1"/>
  <c r="A10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<sst xmlns="http://schemas.openxmlformats.org/spreadsheetml/2006/main" count="215" uniqueCount="67">
  <si>
    <t>Sr#</t>
  </si>
  <si>
    <t>Total</t>
  </si>
  <si>
    <t>Distribution Name</t>
  </si>
  <si>
    <t>ASM Name</t>
  </si>
  <si>
    <t>TSO Name</t>
  </si>
  <si>
    <t>City</t>
  </si>
  <si>
    <t>Target</t>
  </si>
  <si>
    <t>Plan Shop</t>
  </si>
  <si>
    <t>Channel</t>
  </si>
  <si>
    <t>GT</t>
  </si>
  <si>
    <t>OB Code</t>
  </si>
  <si>
    <t>Name</t>
  </si>
  <si>
    <t>Joining Date</t>
  </si>
  <si>
    <t>SKU/Call</t>
  </si>
  <si>
    <t>Signature</t>
  </si>
  <si>
    <t>LMT</t>
  </si>
  <si>
    <t xml:space="preserve">Territory Sales Officer </t>
  </si>
  <si>
    <t>Area Sales Manager</t>
  </si>
  <si>
    <t>OB Name</t>
  </si>
  <si>
    <t>Rana Bilal</t>
  </si>
  <si>
    <t>Qamar Ijaz</t>
  </si>
  <si>
    <t>Lahore</t>
  </si>
  <si>
    <t>Zeeshan Meharban</t>
  </si>
  <si>
    <t xml:space="preserve">Aqeel Malik </t>
  </si>
  <si>
    <t>Salman Hanif</t>
  </si>
  <si>
    <t xml:space="preserve">Umair Rehman </t>
  </si>
  <si>
    <t xml:space="preserve">Shakoor Hussain </t>
  </si>
  <si>
    <t xml:space="preserve">Qasim Khan </t>
  </si>
  <si>
    <t xml:space="preserve">Jabar </t>
  </si>
  <si>
    <t xml:space="preserve">Yasir Ali </t>
  </si>
  <si>
    <t xml:space="preserve">Furqan </t>
  </si>
  <si>
    <t>Vacant</t>
  </si>
  <si>
    <t xml:space="preserve">Elite Marketing </t>
  </si>
  <si>
    <t>EML-001</t>
  </si>
  <si>
    <t>EML-002</t>
  </si>
  <si>
    <t>EML-004</t>
  </si>
  <si>
    <t>EML-007</t>
  </si>
  <si>
    <t>EML-008</t>
  </si>
  <si>
    <t>EML-009</t>
  </si>
  <si>
    <t>EML-010</t>
  </si>
  <si>
    <t>EML-011</t>
  </si>
  <si>
    <t>EML-012</t>
  </si>
  <si>
    <t>Waseem Brother's</t>
  </si>
  <si>
    <t>Ghulam Ahmed</t>
  </si>
  <si>
    <t>M Shahzad</t>
  </si>
  <si>
    <t>Usman Akbar</t>
  </si>
  <si>
    <t>Nouman</t>
  </si>
  <si>
    <t>Jan Muhamamd</t>
  </si>
  <si>
    <t>Dolphine Traders</t>
  </si>
  <si>
    <t>OB Wise Target &amp; KPI's Month of October-2026</t>
  </si>
  <si>
    <t>Shahzad Nayyar</t>
  </si>
  <si>
    <t>M Salah /Muhammad Awais</t>
  </si>
  <si>
    <t>Muhammad Hassan</t>
  </si>
  <si>
    <t>Azeem Arshad</t>
  </si>
  <si>
    <t>Zohaib Sajjad</t>
  </si>
  <si>
    <t>Ahmad Shah</t>
  </si>
  <si>
    <t>JULY</t>
  </si>
  <si>
    <t>AUG</t>
  </si>
  <si>
    <t>SEP</t>
  </si>
  <si>
    <t>JUNE</t>
  </si>
  <si>
    <t>Ach (Ctns)</t>
  </si>
  <si>
    <t>AVG</t>
  </si>
  <si>
    <t>Quater</t>
  </si>
  <si>
    <t xml:space="preserve">Total </t>
  </si>
  <si>
    <t>Shop's</t>
  </si>
  <si>
    <t>Growth 15%</t>
  </si>
  <si>
    <t>Actual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</si>
</sst>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2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9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1" fontId="3" fillId="0" borderId="1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2" xfId="0" applyFont="1" applyFill="1" applyBorder="1"/>
    <xf numFmtId="0" fontId="3" fillId="0" borderId="12" xfId="0" applyFont="1" applyBorder="1"/>
    <xf numFmtId="1" fontId="2" fillId="2" borderId="15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64" fontId="3" fillId="0" borderId="1" xfId="0" applyNumberFormat="1" applyFont="1" applyBorder="1"/>
    <xf numFmtId="9" fontId="3" fillId="0" borderId="25" xfId="0" applyNumberFormat="1" applyFont="1" applyBorder="1"/>
    <xf numFmtId="9" fontId="2" fillId="2" borderId="26" xfId="0" applyNumberFormat="1" applyFont="1" applyFill="1" applyBorder="1" applyAlignment="1">
      <alignment horizontal="center" vertical="center"/>
    </xf>
    <xf numFmtId="1" fontId="6" fillId="3" borderId="13" xfId="0" applyNumberFormat="1" applyFont="1" applyFill="1" applyBorder="1" applyAlignment="1">
      <alignment horizontal="center" vertical="center"/>
    </xf>
    <xf numFmtId="1" fontId="5" fillId="2" borderId="15" xfId="0" applyNumberFormat="1" applyFont="1" applyFill="1" applyBorder="1" applyAlignment="1">
      <alignment horizontal="center" vertical="center"/>
    </xf>
    <xf numFmtId="164" fontId="3" fillId="0" borderId="15" xfId="0" applyNumberFormat="1" applyFont="1" applyBorder="1"/>
    <xf numFmtId="1" fontId="6" fillId="3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41"/>
  <sheetViews>
    <sheetView tabSelected="1" zoomScale="70" zoomScaleNormal="70" workbookViewId="0">
      <selection activeCell="I11" sqref="I11"/>
    </sheetView>
  </sheetViews>
  <sheetFormatPr defaultColWidth="9.1796875" defaultRowHeight="18.5" x14ac:dyDescent="0.45"/>
  <cols>
    <col min="1" max="1" width="4.1796875" style="2" bestFit="1" customWidth="1"/>
    <col min="2" max="2" width="12.54296875" style="2" bestFit="1" customWidth="1"/>
    <col min="3" max="3" width="15.7265625" style="2" bestFit="1" customWidth="1"/>
    <col min="4" max="4" width="8.81640625" style="2" bestFit="1" customWidth="1"/>
    <col min="5" max="5" width="12.1796875" style="3" bestFit="1" customWidth="1"/>
    <col min="6" max="6" width="19.26953125" style="2" bestFit="1" customWidth="1"/>
    <col min="7" max="7" width="11.1796875" style="2" bestFit="1" customWidth="1"/>
    <col min="8" max="8" width="23.1796875" style="2" bestFit="1" customWidth="1"/>
    <col min="9" max="9" width="13.1796875" style="2" bestFit="1" customWidth="1"/>
    <col min="10" max="10" width="7.26953125" style="3" bestFit="1" customWidth="1"/>
    <col min="11" max="11" width="10.81640625" style="3" bestFit="1" customWidth="1"/>
    <col min="12" max="12" width="10.81640625" style="3" customWidth="1"/>
    <col min="13" max="13" width="2.7265625" style="3" bestFit="1" customWidth="1"/>
    <col min="14" max="15" width="5.54296875" style="3" bestFit="1" customWidth="1"/>
    <col min="16" max="16" width="28.453125" style="2" hidden="1" customWidth="1"/>
    <col min="17" max="17" width="22.453125" style="2" bestFit="1" customWidth="1"/>
    <col min="18" max="21" width="9.1796875" style="2"/>
    <col min="22" max="22" width="9.54296875" style="2" bestFit="1" customWidth="1"/>
    <col min="23" max="23" width="11.90625" style="2" customWidth="1"/>
    <col min="24" max="24" width="12.7265625" style="2" customWidth="1"/>
    <col min="25" max="25" width="18.08984375" style="2" hidden="1" customWidth="1"/>
    <col min="26" max="26" width="17.6328125" style="2" bestFit="1" customWidth="1"/>
    <col min="27" max="16384" width="9.1796875" style="2"/>
  </cols>
  <sheetData>
    <row r="2" spans="1:26" ht="19" thickBot="1" x14ac:dyDescent="0.5"/>
    <row r="3" spans="1:26" ht="26.5" thickBot="1" x14ac:dyDescent="0.65">
      <c r="A3" s="60" t="s">
        <v>49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2"/>
    </row>
    <row r="4" spans="1:26" ht="10.5" customHeight="1" thickBot="1" x14ac:dyDescent="0.5">
      <c r="M4" s="56"/>
      <c r="N4" s="56"/>
      <c r="O4" s="56"/>
    </row>
    <row r="5" spans="1:26" ht="35.5" customHeight="1" thickBot="1" x14ac:dyDescent="0.5">
      <c r="A5" s="12" t="s">
        <v>0</v>
      </c>
      <c r="B5" s="13" t="s">
        <v>3</v>
      </c>
      <c r="C5" s="13" t="s">
        <v>4</v>
      </c>
      <c r="D5" s="13" t="s">
        <v>8</v>
      </c>
      <c r="E5" s="14" t="s">
        <v>5</v>
      </c>
      <c r="F5" s="13" t="s">
        <v>2</v>
      </c>
      <c r="G5" s="13" t="s">
        <v>10</v>
      </c>
      <c r="H5" s="13" t="s">
        <v>11</v>
      </c>
      <c r="I5" s="13" t="s">
        <v>12</v>
      </c>
      <c r="J5" s="14" t="s">
        <v>6</v>
      </c>
      <c r="K5" s="14" t="s">
        <v>7</v>
      </c>
      <c r="L5" s="14" t="s">
        <v>66</v>
      </c>
      <c r="M5" s="57" t="s">
        <v>13</v>
      </c>
      <c r="N5" s="57"/>
      <c r="O5" s="57"/>
      <c r="P5" s="36" t="s">
        <v>14</v>
      </c>
      <c r="Q5" s="43" t="s">
        <v>60</v>
      </c>
      <c r="R5" s="44" t="s">
        <v>59</v>
      </c>
      <c r="S5" s="44" t="s">
        <v>56</v>
      </c>
      <c r="T5" s="44" t="s">
        <v>57</v>
      </c>
      <c r="U5" s="44" t="s">
        <v>58</v>
      </c>
      <c r="V5" s="44" t="s">
        <v>62</v>
      </c>
      <c r="W5" s="44" t="s">
        <v>61</v>
      </c>
      <c r="X5" s="44" t="s">
        <v>64</v>
      </c>
      <c r="Y5" s="50">
        <v>0.15</v>
      </c>
      <c r="Z5" s="51" t="s">
        <v>65</v>
      </c>
    </row>
    <row r="6" spans="1:26" ht="24" customHeight="1" x14ac:dyDescent="0.45">
      <c r="A6" s="17">
        <v>1</v>
      </c>
      <c r="B6" s="9" t="s">
        <v>19</v>
      </c>
      <c r="C6" s="9" t="s">
        <v>20</v>
      </c>
      <c r="D6" s="10" t="s">
        <v>9</v>
      </c>
      <c r="E6" s="10" t="s">
        <v>21</v>
      </c>
      <c r="F6" s="9" t="s">
        <v>32</v>
      </c>
      <c r="G6" s="9" t="s">
        <v>33</v>
      </c>
      <c r="H6" s="9" t="s">
        <v>22</v>
      </c>
      <c r="I6" s="9"/>
      <c r="J6" s="8">
        <v>600</v>
      </c>
      <c r="K6" s="8">
        <v>600</v>
      </c>
      <c r="L6" s="8">
        <v>325</v>
      </c>
      <c r="M6" s="11">
        <v>3</v>
      </c>
      <c r="N6" s="11">
        <v>3.5</v>
      </c>
      <c r="O6" s="11">
        <v>3.8</v>
      </c>
      <c r="P6" s="37"/>
      <c r="Q6" s="45" t="s">
        <v>22</v>
      </c>
      <c r="R6" s="35">
        <v>272</v>
      </c>
      <c r="S6" s="35">
        <v>335</v>
      </c>
      <c r="T6" s="35">
        <v>349</v>
      </c>
      <c r="U6" s="35">
        <v>353.52499999999998</v>
      </c>
      <c r="V6" s="35">
        <f>SUM(R6:U6)</f>
        <v>1309.5250000000001</v>
      </c>
      <c r="W6" s="40">
        <f>V6/4</f>
        <v>327.38125000000002</v>
      </c>
      <c r="X6" s="41">
        <v>332</v>
      </c>
      <c r="Y6" s="49">
        <f>W6/100</f>
        <v>3.2738125</v>
      </c>
      <c r="Z6" s="52">
        <f>Y6*115</f>
        <v>376.48843749999997</v>
      </c>
    </row>
    <row r="7" spans="1:26" ht="24" customHeight="1" x14ac:dyDescent="0.45">
      <c r="A7" s="19">
        <f>+A6+1</f>
        <v>2</v>
      </c>
      <c r="B7" s="6" t="s">
        <v>19</v>
      </c>
      <c r="C7" s="6" t="s">
        <v>20</v>
      </c>
      <c r="D7" s="7" t="s">
        <v>9</v>
      </c>
      <c r="E7" s="7" t="s">
        <v>21</v>
      </c>
      <c r="F7" s="6" t="s">
        <v>32</v>
      </c>
      <c r="G7" s="6" t="s">
        <v>35</v>
      </c>
      <c r="H7" s="6" t="s">
        <v>24</v>
      </c>
      <c r="I7" s="6"/>
      <c r="J7" s="5">
        <v>500</v>
      </c>
      <c r="K7" s="5">
        <v>600</v>
      </c>
      <c r="L7" s="5">
        <v>237</v>
      </c>
      <c r="M7" s="4">
        <v>3</v>
      </c>
      <c r="N7" s="4">
        <v>3.5</v>
      </c>
      <c r="O7" s="4">
        <v>3.8</v>
      </c>
      <c r="P7" s="38"/>
      <c r="Q7" s="45" t="s">
        <v>24</v>
      </c>
      <c r="R7" s="35">
        <v>180</v>
      </c>
      <c r="S7" s="35">
        <v>181.4</v>
      </c>
      <c r="T7" s="35">
        <v>227</v>
      </c>
      <c r="U7" s="35">
        <v>205.95</v>
      </c>
      <c r="V7" s="35">
        <f t="shared" ref="V7:V15" si="0">SUM(R7:U7)</f>
        <v>794.34999999999991</v>
      </c>
      <c r="W7" s="40">
        <f t="shared" ref="W7:W15" si="1">V7/4</f>
        <v>198.58749999999998</v>
      </c>
      <c r="X7" s="41">
        <v>361</v>
      </c>
      <c r="Y7" s="49">
        <f t="shared" ref="Y7:Y36" si="2">W7/100</f>
        <v>1.9858749999999998</v>
      </c>
      <c r="Z7" s="52">
        <f t="shared" ref="Z7:Z36" si="3">Y7*115</f>
        <v>228.37562499999999</v>
      </c>
    </row>
    <row r="8" spans="1:26" ht="24" customHeight="1" x14ac:dyDescent="0.45">
      <c r="A8" s="19">
        <f t="shared" ref="A8:A35" si="4">+A7+1</f>
        <v>3</v>
      </c>
      <c r="B8" s="6" t="s">
        <v>19</v>
      </c>
      <c r="C8" s="6" t="s">
        <v>20</v>
      </c>
      <c r="D8" s="7" t="s">
        <v>9</v>
      </c>
      <c r="E8" s="7" t="s">
        <v>21</v>
      </c>
      <c r="F8" s="6" t="s">
        <v>32</v>
      </c>
      <c r="G8" s="6" t="s">
        <v>36</v>
      </c>
      <c r="H8" s="6" t="s">
        <v>25</v>
      </c>
      <c r="I8" s="6"/>
      <c r="J8" s="5">
        <v>500</v>
      </c>
      <c r="K8" s="5">
        <v>600</v>
      </c>
      <c r="L8" s="5">
        <v>250</v>
      </c>
      <c r="M8" s="4">
        <v>3</v>
      </c>
      <c r="N8" s="4">
        <v>3.5</v>
      </c>
      <c r="O8" s="4">
        <v>3.8</v>
      </c>
      <c r="P8" s="38"/>
      <c r="Q8" s="45" t="s">
        <v>25</v>
      </c>
      <c r="R8" s="35">
        <v>61</v>
      </c>
      <c r="S8" s="35">
        <v>366</v>
      </c>
      <c r="T8" s="35">
        <v>294</v>
      </c>
      <c r="U8" s="35">
        <v>213</v>
      </c>
      <c r="V8" s="35">
        <f t="shared" si="0"/>
        <v>934</v>
      </c>
      <c r="W8" s="40">
        <f t="shared" si="1"/>
        <v>233.5</v>
      </c>
      <c r="X8" s="41">
        <v>150</v>
      </c>
      <c r="Y8" s="49">
        <f t="shared" si="2"/>
        <v>2.335</v>
      </c>
      <c r="Z8" s="52">
        <f t="shared" si="3"/>
        <v>268.52499999999998</v>
      </c>
    </row>
    <row r="9" spans="1:26" ht="24" customHeight="1" x14ac:dyDescent="0.45">
      <c r="A9" s="19">
        <f t="shared" si="4"/>
        <v>4</v>
      </c>
      <c r="B9" s="6" t="s">
        <v>19</v>
      </c>
      <c r="C9" s="6" t="s">
        <v>20</v>
      </c>
      <c r="D9" s="7" t="s">
        <v>15</v>
      </c>
      <c r="E9" s="7" t="s">
        <v>21</v>
      </c>
      <c r="F9" s="6" t="s">
        <v>32</v>
      </c>
      <c r="G9" s="6" t="s">
        <v>37</v>
      </c>
      <c r="H9" s="6" t="s">
        <v>26</v>
      </c>
      <c r="I9" s="6"/>
      <c r="J9" s="5">
        <v>2500</v>
      </c>
      <c r="K9" s="5">
        <v>120</v>
      </c>
      <c r="L9" s="5">
        <v>111</v>
      </c>
      <c r="M9" s="4">
        <v>3</v>
      </c>
      <c r="N9" s="4">
        <v>3.5</v>
      </c>
      <c r="O9" s="4">
        <v>3.8</v>
      </c>
      <c r="P9" s="38"/>
      <c r="Q9" s="45" t="s">
        <v>26</v>
      </c>
      <c r="R9" s="35">
        <v>2030</v>
      </c>
      <c r="S9" s="35">
        <v>2051</v>
      </c>
      <c r="T9" s="35">
        <v>1737</v>
      </c>
      <c r="U9" s="35">
        <v>1941</v>
      </c>
      <c r="V9" s="35">
        <f t="shared" si="0"/>
        <v>7759</v>
      </c>
      <c r="W9" s="40">
        <f t="shared" si="1"/>
        <v>1939.75</v>
      </c>
      <c r="X9" s="41">
        <v>95</v>
      </c>
      <c r="Y9" s="49">
        <f t="shared" si="2"/>
        <v>19.397500000000001</v>
      </c>
      <c r="Z9" s="52">
        <f t="shared" si="3"/>
        <v>2230.7125000000001</v>
      </c>
    </row>
    <row r="10" spans="1:26" ht="24" customHeight="1" x14ac:dyDescent="0.45">
      <c r="A10" s="19">
        <f t="shared" si="4"/>
        <v>5</v>
      </c>
      <c r="B10" s="6" t="s">
        <v>19</v>
      </c>
      <c r="C10" s="6" t="s">
        <v>20</v>
      </c>
      <c r="D10" s="7" t="s">
        <v>9</v>
      </c>
      <c r="E10" s="7" t="s">
        <v>21</v>
      </c>
      <c r="F10" s="6" t="s">
        <v>32</v>
      </c>
      <c r="G10" s="6" t="s">
        <v>39</v>
      </c>
      <c r="H10" s="6" t="s">
        <v>28</v>
      </c>
      <c r="I10" s="6"/>
      <c r="J10" s="5">
        <v>400</v>
      </c>
      <c r="K10" s="5">
        <v>600</v>
      </c>
      <c r="L10" s="5">
        <v>288</v>
      </c>
      <c r="M10" s="4">
        <v>3</v>
      </c>
      <c r="N10" s="4">
        <v>3.5</v>
      </c>
      <c r="O10" s="4">
        <v>3.8</v>
      </c>
      <c r="P10" s="38"/>
      <c r="Q10" s="45" t="s">
        <v>28</v>
      </c>
      <c r="R10" s="35">
        <v>114</v>
      </c>
      <c r="S10" s="35">
        <v>45</v>
      </c>
      <c r="T10" s="35">
        <v>104</v>
      </c>
      <c r="U10" s="35">
        <v>180</v>
      </c>
      <c r="V10" s="35">
        <f t="shared" si="0"/>
        <v>443</v>
      </c>
      <c r="W10" s="40">
        <f t="shared" si="1"/>
        <v>110.75</v>
      </c>
      <c r="X10" s="41">
        <v>146</v>
      </c>
      <c r="Y10" s="49">
        <f t="shared" si="2"/>
        <v>1.1074999999999999</v>
      </c>
      <c r="Z10" s="52">
        <f t="shared" si="3"/>
        <v>127.3625</v>
      </c>
    </row>
    <row r="11" spans="1:26" ht="24" customHeight="1" x14ac:dyDescent="0.45">
      <c r="A11" s="19">
        <f t="shared" si="4"/>
        <v>6</v>
      </c>
      <c r="B11" s="6" t="s">
        <v>19</v>
      </c>
      <c r="C11" s="6" t="s">
        <v>20</v>
      </c>
      <c r="D11" s="7" t="s">
        <v>9</v>
      </c>
      <c r="E11" s="7" t="s">
        <v>21</v>
      </c>
      <c r="F11" s="6" t="s">
        <v>32</v>
      </c>
      <c r="G11" s="6" t="s">
        <v>41</v>
      </c>
      <c r="H11" s="6" t="s">
        <v>30</v>
      </c>
      <c r="I11" s="6"/>
      <c r="J11" s="5">
        <v>400</v>
      </c>
      <c r="K11" s="5">
        <v>600</v>
      </c>
      <c r="L11" s="5">
        <v>357</v>
      </c>
      <c r="M11" s="4">
        <v>3</v>
      </c>
      <c r="N11" s="4">
        <v>3.5</v>
      </c>
      <c r="O11" s="4">
        <v>3.8</v>
      </c>
      <c r="P11" s="38"/>
      <c r="Q11" s="45" t="s">
        <v>30</v>
      </c>
      <c r="R11" s="35">
        <v>93</v>
      </c>
      <c r="S11" s="35">
        <v>67</v>
      </c>
      <c r="T11" s="35">
        <v>65</v>
      </c>
      <c r="U11" s="35">
        <v>127</v>
      </c>
      <c r="V11" s="35">
        <f t="shared" si="0"/>
        <v>352</v>
      </c>
      <c r="W11" s="40">
        <f t="shared" si="1"/>
        <v>88</v>
      </c>
      <c r="X11" s="41">
        <v>113</v>
      </c>
      <c r="Y11" s="49">
        <f t="shared" si="2"/>
        <v>0.88</v>
      </c>
      <c r="Z11" s="52">
        <f t="shared" si="3"/>
        <v>101.2</v>
      </c>
    </row>
    <row r="12" spans="1:26" ht="24" customHeight="1" x14ac:dyDescent="0.45">
      <c r="A12" s="19">
        <f t="shared" si="4"/>
        <v>7</v>
      </c>
      <c r="B12" s="6" t="s">
        <v>19</v>
      </c>
      <c r="C12" s="6" t="s">
        <v>20</v>
      </c>
      <c r="D12" s="7" t="s">
        <v>9</v>
      </c>
      <c r="E12" s="7" t="s">
        <v>21</v>
      </c>
      <c r="F12" s="6" t="s">
        <v>32</v>
      </c>
      <c r="G12" s="6"/>
      <c r="H12" s="6" t="s">
        <v>31</v>
      </c>
      <c r="I12" s="6"/>
      <c r="J12" s="5">
        <v>400</v>
      </c>
      <c r="K12" s="5">
        <v>600</v>
      </c>
      <c r="L12" s="5">
        <v>0</v>
      </c>
      <c r="M12" s="4">
        <v>3</v>
      </c>
      <c r="N12" s="4">
        <v>3.5</v>
      </c>
      <c r="O12" s="4">
        <v>3.8</v>
      </c>
      <c r="P12" s="38"/>
      <c r="Q12" s="45" t="s">
        <v>31</v>
      </c>
      <c r="R12" s="35"/>
      <c r="S12" s="35"/>
      <c r="T12" s="35"/>
      <c r="U12" s="35"/>
      <c r="V12" s="35">
        <f t="shared" si="0"/>
        <v>0</v>
      </c>
      <c r="W12" s="40">
        <f t="shared" si="1"/>
        <v>0</v>
      </c>
      <c r="X12" s="41"/>
      <c r="Y12" s="49">
        <f t="shared" si="2"/>
        <v>0</v>
      </c>
      <c r="Z12" s="52">
        <f t="shared" si="3"/>
        <v>0</v>
      </c>
    </row>
    <row r="13" spans="1:26" ht="24" customHeight="1" x14ac:dyDescent="0.45">
      <c r="A13" s="19">
        <f t="shared" si="4"/>
        <v>8</v>
      </c>
      <c r="B13" s="6" t="s">
        <v>19</v>
      </c>
      <c r="C13" s="6" t="s">
        <v>20</v>
      </c>
      <c r="D13" s="7" t="s">
        <v>9</v>
      </c>
      <c r="E13" s="7" t="s">
        <v>21</v>
      </c>
      <c r="F13" s="6" t="s">
        <v>32</v>
      </c>
      <c r="G13" s="6" t="s">
        <v>34</v>
      </c>
      <c r="H13" s="6" t="s">
        <v>23</v>
      </c>
      <c r="I13" s="6"/>
      <c r="J13" s="5">
        <v>500</v>
      </c>
      <c r="K13" s="5">
        <v>600</v>
      </c>
      <c r="L13" s="5">
        <v>322</v>
      </c>
      <c r="M13" s="4">
        <v>3</v>
      </c>
      <c r="N13" s="4">
        <v>3.5</v>
      </c>
      <c r="O13" s="4">
        <v>3.8</v>
      </c>
      <c r="P13" s="38"/>
      <c r="Q13" s="45" t="s">
        <v>23</v>
      </c>
      <c r="R13" s="35"/>
      <c r="S13" s="35">
        <v>501</v>
      </c>
      <c r="T13" s="35">
        <v>384</v>
      </c>
      <c r="U13" s="35">
        <v>405</v>
      </c>
      <c r="V13" s="35">
        <f t="shared" si="0"/>
        <v>1290</v>
      </c>
      <c r="W13" s="40">
        <f t="shared" si="1"/>
        <v>322.5</v>
      </c>
      <c r="X13" s="41">
        <v>250</v>
      </c>
      <c r="Y13" s="49">
        <f t="shared" si="2"/>
        <v>3.2250000000000001</v>
      </c>
      <c r="Z13" s="52">
        <f t="shared" si="3"/>
        <v>370.875</v>
      </c>
    </row>
    <row r="14" spans="1:26" ht="24" customHeight="1" x14ac:dyDescent="0.45">
      <c r="A14" s="19">
        <f t="shared" si="4"/>
        <v>9</v>
      </c>
      <c r="B14" s="6" t="s">
        <v>19</v>
      </c>
      <c r="C14" s="6" t="s">
        <v>20</v>
      </c>
      <c r="D14" s="7" t="s">
        <v>9</v>
      </c>
      <c r="E14" s="7" t="s">
        <v>21</v>
      </c>
      <c r="F14" s="6" t="s">
        <v>32</v>
      </c>
      <c r="G14" s="6" t="s">
        <v>38</v>
      </c>
      <c r="H14" s="6" t="s">
        <v>27</v>
      </c>
      <c r="I14" s="6"/>
      <c r="J14" s="5">
        <v>500</v>
      </c>
      <c r="K14" s="5">
        <v>600</v>
      </c>
      <c r="L14" s="5">
        <v>311</v>
      </c>
      <c r="M14" s="4">
        <v>3</v>
      </c>
      <c r="N14" s="4">
        <v>3.5</v>
      </c>
      <c r="O14" s="4">
        <v>3.8</v>
      </c>
      <c r="P14" s="38"/>
      <c r="Q14" s="45" t="s">
        <v>27</v>
      </c>
      <c r="R14" s="35"/>
      <c r="S14" s="35">
        <v>151</v>
      </c>
      <c r="T14" s="35">
        <v>200</v>
      </c>
      <c r="U14" s="35">
        <v>244</v>
      </c>
      <c r="V14" s="35">
        <f t="shared" si="0"/>
        <v>595</v>
      </c>
      <c r="W14" s="40">
        <f t="shared" si="1"/>
        <v>148.75</v>
      </c>
      <c r="X14" s="41">
        <v>190</v>
      </c>
      <c r="Y14" s="49">
        <f t="shared" si="2"/>
        <v>1.4875</v>
      </c>
      <c r="Z14" s="52">
        <f t="shared" si="3"/>
        <v>171.0625</v>
      </c>
    </row>
    <row r="15" spans="1:26" ht="24" customHeight="1" thickBot="1" x14ac:dyDescent="0.5">
      <c r="A15" s="22">
        <f t="shared" si="4"/>
        <v>10</v>
      </c>
      <c r="B15" s="23" t="s">
        <v>19</v>
      </c>
      <c r="C15" s="23" t="s">
        <v>20</v>
      </c>
      <c r="D15" s="24" t="s">
        <v>9</v>
      </c>
      <c r="E15" s="24" t="s">
        <v>21</v>
      </c>
      <c r="F15" s="23" t="s">
        <v>32</v>
      </c>
      <c r="G15" s="23" t="s">
        <v>40</v>
      </c>
      <c r="H15" s="23" t="s">
        <v>29</v>
      </c>
      <c r="I15" s="23"/>
      <c r="J15" s="25">
        <v>400</v>
      </c>
      <c r="K15" s="25">
        <v>600</v>
      </c>
      <c r="L15" s="25">
        <v>140</v>
      </c>
      <c r="M15" s="21">
        <v>3</v>
      </c>
      <c r="N15" s="21">
        <v>3.5</v>
      </c>
      <c r="O15" s="21">
        <v>3.8</v>
      </c>
      <c r="P15" s="39"/>
      <c r="Q15" s="45" t="s">
        <v>29</v>
      </c>
      <c r="R15" s="35"/>
      <c r="S15" s="35"/>
      <c r="T15" s="35">
        <v>57</v>
      </c>
      <c r="U15" s="35">
        <v>128</v>
      </c>
      <c r="V15" s="35">
        <f t="shared" si="0"/>
        <v>185</v>
      </c>
      <c r="W15" s="40">
        <f t="shared" si="1"/>
        <v>46.25</v>
      </c>
      <c r="X15" s="41">
        <v>150</v>
      </c>
      <c r="Y15" s="49">
        <f t="shared" si="2"/>
        <v>0.46250000000000002</v>
      </c>
      <c r="Z15" s="52">
        <f t="shared" si="3"/>
        <v>53.1875</v>
      </c>
    </row>
    <row r="16" spans="1:26" ht="23.5" hidden="1" x14ac:dyDescent="0.45">
      <c r="A16" s="17">
        <f t="shared" si="4"/>
        <v>11</v>
      </c>
      <c r="B16" s="9"/>
      <c r="C16" s="9"/>
      <c r="D16" s="10"/>
      <c r="E16" s="10"/>
      <c r="F16" s="9"/>
      <c r="G16" s="9"/>
      <c r="H16" s="9"/>
      <c r="I16" s="9"/>
      <c r="J16" s="8"/>
      <c r="K16" s="8"/>
      <c r="L16" s="8"/>
      <c r="M16" s="11"/>
      <c r="N16" s="11"/>
      <c r="O16" s="11"/>
      <c r="P16" s="37"/>
      <c r="Q16" s="46"/>
      <c r="R16" s="6"/>
      <c r="S16" s="6"/>
      <c r="T16" s="6"/>
      <c r="U16" s="6"/>
      <c r="V16" s="6"/>
      <c r="W16" s="6"/>
      <c r="X16" s="7"/>
      <c r="Y16" s="49">
        <f t="shared" si="2"/>
        <v>0</v>
      </c>
      <c r="Z16" s="52">
        <f t="shared" si="3"/>
        <v>0</v>
      </c>
    </row>
    <row r="17" spans="1:26" ht="23.5" hidden="1" x14ac:dyDescent="0.45">
      <c r="A17" s="19">
        <f t="shared" si="4"/>
        <v>12</v>
      </c>
      <c r="B17" s="6"/>
      <c r="C17" s="6"/>
      <c r="D17" s="7"/>
      <c r="E17" s="7"/>
      <c r="F17" s="6"/>
      <c r="G17" s="6"/>
      <c r="H17" s="6"/>
      <c r="I17" s="6"/>
      <c r="J17" s="5"/>
      <c r="K17" s="5"/>
      <c r="L17" s="5"/>
      <c r="M17" s="4"/>
      <c r="N17" s="4"/>
      <c r="O17" s="4"/>
      <c r="P17" s="38"/>
      <c r="Q17" s="46"/>
      <c r="R17" s="6"/>
      <c r="S17" s="6"/>
      <c r="T17" s="6"/>
      <c r="U17" s="6"/>
      <c r="V17" s="6"/>
      <c r="W17" s="6"/>
      <c r="X17" s="7"/>
      <c r="Y17" s="49">
        <f t="shared" si="2"/>
        <v>0</v>
      </c>
      <c r="Z17" s="52">
        <f t="shared" si="3"/>
        <v>0</v>
      </c>
    </row>
    <row r="18" spans="1:26" ht="23.5" hidden="1" x14ac:dyDescent="0.45">
      <c r="A18" s="19">
        <f t="shared" si="4"/>
        <v>13</v>
      </c>
      <c r="B18" s="6"/>
      <c r="C18" s="6"/>
      <c r="D18" s="7"/>
      <c r="E18" s="7"/>
      <c r="F18" s="6"/>
      <c r="G18" s="6"/>
      <c r="H18" s="6"/>
      <c r="I18" s="6"/>
      <c r="J18" s="5"/>
      <c r="K18" s="5"/>
      <c r="L18" s="5"/>
      <c r="M18" s="4"/>
      <c r="N18" s="4"/>
      <c r="O18" s="4"/>
      <c r="P18" s="38"/>
      <c r="Q18" s="46"/>
      <c r="R18" s="6"/>
      <c r="S18" s="6"/>
      <c r="T18" s="6"/>
      <c r="U18" s="6"/>
      <c r="V18" s="6"/>
      <c r="W18" s="6"/>
      <c r="X18" s="7"/>
      <c r="Y18" s="49">
        <f t="shared" si="2"/>
        <v>0</v>
      </c>
      <c r="Z18" s="52">
        <f t="shared" si="3"/>
        <v>0</v>
      </c>
    </row>
    <row r="19" spans="1:26" ht="23.5" hidden="1" x14ac:dyDescent="0.45">
      <c r="A19" s="19">
        <f t="shared" si="4"/>
        <v>14</v>
      </c>
      <c r="B19" s="6"/>
      <c r="C19" s="6"/>
      <c r="D19" s="7"/>
      <c r="E19" s="7"/>
      <c r="F19" s="6"/>
      <c r="G19" s="6"/>
      <c r="H19" s="6"/>
      <c r="I19" s="6"/>
      <c r="J19" s="5"/>
      <c r="K19" s="5"/>
      <c r="L19" s="5"/>
      <c r="M19" s="4"/>
      <c r="N19" s="4"/>
      <c r="O19" s="4"/>
      <c r="P19" s="38"/>
      <c r="Q19" s="46"/>
      <c r="R19" s="6"/>
      <c r="S19" s="6"/>
      <c r="T19" s="6"/>
      <c r="U19" s="6"/>
      <c r="V19" s="6"/>
      <c r="W19" s="6"/>
      <c r="X19" s="7"/>
      <c r="Y19" s="49">
        <f t="shared" si="2"/>
        <v>0</v>
      </c>
      <c r="Z19" s="52">
        <f t="shared" si="3"/>
        <v>0</v>
      </c>
    </row>
    <row r="20" spans="1:26" ht="23.5" hidden="1" x14ac:dyDescent="0.45">
      <c r="A20" s="19">
        <f t="shared" si="4"/>
        <v>15</v>
      </c>
      <c r="B20" s="6"/>
      <c r="C20" s="6"/>
      <c r="D20" s="7"/>
      <c r="E20" s="7"/>
      <c r="F20" s="6"/>
      <c r="G20" s="6"/>
      <c r="H20" s="6"/>
      <c r="I20" s="6"/>
      <c r="J20" s="5"/>
      <c r="K20" s="5"/>
      <c r="L20" s="5"/>
      <c r="M20" s="4"/>
      <c r="N20" s="4"/>
      <c r="O20" s="4"/>
      <c r="P20" s="38"/>
      <c r="Q20" s="46"/>
      <c r="R20" s="6"/>
      <c r="S20" s="6"/>
      <c r="T20" s="6"/>
      <c r="U20" s="6"/>
      <c r="V20" s="6"/>
      <c r="W20" s="6"/>
      <c r="X20" s="7"/>
      <c r="Y20" s="49">
        <f t="shared" si="2"/>
        <v>0</v>
      </c>
      <c r="Z20" s="52">
        <f t="shared" si="3"/>
        <v>0</v>
      </c>
    </row>
    <row r="21" spans="1:26" ht="23.5" hidden="1" x14ac:dyDescent="0.45">
      <c r="A21" s="19">
        <f t="shared" si="4"/>
        <v>16</v>
      </c>
      <c r="B21" s="6"/>
      <c r="C21" s="6"/>
      <c r="D21" s="7"/>
      <c r="E21" s="7"/>
      <c r="F21" s="6"/>
      <c r="G21" s="6"/>
      <c r="H21" s="6"/>
      <c r="I21" s="6"/>
      <c r="J21" s="5"/>
      <c r="K21" s="5"/>
      <c r="L21" s="5"/>
      <c r="M21" s="4"/>
      <c r="N21" s="4"/>
      <c r="O21" s="4"/>
      <c r="P21" s="38"/>
      <c r="Q21" s="46"/>
      <c r="R21" s="6"/>
      <c r="S21" s="6"/>
      <c r="T21" s="6"/>
      <c r="U21" s="6"/>
      <c r="V21" s="6"/>
      <c r="W21" s="6"/>
      <c r="X21" s="7"/>
      <c r="Y21" s="49">
        <f t="shared" si="2"/>
        <v>0</v>
      </c>
      <c r="Z21" s="52">
        <f t="shared" si="3"/>
        <v>0</v>
      </c>
    </row>
    <row r="22" spans="1:26" ht="23.5" hidden="1" x14ac:dyDescent="0.45">
      <c r="A22" s="19">
        <f t="shared" si="4"/>
        <v>17</v>
      </c>
      <c r="B22" s="6"/>
      <c r="C22" s="6"/>
      <c r="D22" s="7"/>
      <c r="E22" s="7"/>
      <c r="F22" s="6"/>
      <c r="G22" s="6"/>
      <c r="H22" s="6"/>
      <c r="I22" s="6"/>
      <c r="J22" s="5"/>
      <c r="K22" s="5"/>
      <c r="L22" s="5"/>
      <c r="M22" s="4"/>
      <c r="N22" s="4"/>
      <c r="O22" s="4"/>
      <c r="P22" s="38"/>
      <c r="Q22" s="46"/>
      <c r="R22" s="6"/>
      <c r="S22" s="6"/>
      <c r="T22" s="6"/>
      <c r="U22" s="6"/>
      <c r="V22" s="6"/>
      <c r="W22" s="6"/>
      <c r="X22" s="7"/>
      <c r="Y22" s="49">
        <f t="shared" si="2"/>
        <v>0</v>
      </c>
      <c r="Z22" s="52">
        <f t="shared" si="3"/>
        <v>0</v>
      </c>
    </row>
    <row r="23" spans="1:26" ht="23.5" hidden="1" x14ac:dyDescent="0.45">
      <c r="A23" s="19">
        <f t="shared" si="4"/>
        <v>18</v>
      </c>
      <c r="B23" s="6"/>
      <c r="C23" s="6"/>
      <c r="D23" s="7"/>
      <c r="E23" s="7"/>
      <c r="F23" s="6"/>
      <c r="G23" s="6"/>
      <c r="H23" s="6"/>
      <c r="I23" s="6"/>
      <c r="J23" s="5"/>
      <c r="K23" s="5"/>
      <c r="L23" s="5"/>
      <c r="M23" s="4"/>
      <c r="N23" s="4"/>
      <c r="O23" s="4"/>
      <c r="P23" s="38"/>
      <c r="Q23" s="46"/>
      <c r="R23" s="6"/>
      <c r="S23" s="6"/>
      <c r="T23" s="6"/>
      <c r="U23" s="6"/>
      <c r="V23" s="6"/>
      <c r="W23" s="6"/>
      <c r="X23" s="7"/>
      <c r="Y23" s="49">
        <f t="shared" si="2"/>
        <v>0</v>
      </c>
      <c r="Z23" s="52">
        <f t="shared" si="3"/>
        <v>0</v>
      </c>
    </row>
    <row r="24" spans="1:26" ht="23.5" hidden="1" x14ac:dyDescent="0.45">
      <c r="A24" s="19">
        <f t="shared" si="4"/>
        <v>19</v>
      </c>
      <c r="B24" s="6"/>
      <c r="C24" s="6"/>
      <c r="D24" s="7"/>
      <c r="E24" s="7"/>
      <c r="F24" s="6"/>
      <c r="G24" s="6"/>
      <c r="H24" s="6"/>
      <c r="I24" s="6"/>
      <c r="J24" s="5"/>
      <c r="K24" s="5"/>
      <c r="L24" s="5"/>
      <c r="M24" s="4"/>
      <c r="N24" s="4"/>
      <c r="O24" s="4"/>
      <c r="P24" s="38"/>
      <c r="Q24" s="46"/>
      <c r="R24" s="6"/>
      <c r="S24" s="6"/>
      <c r="T24" s="6"/>
      <c r="U24" s="6"/>
      <c r="V24" s="6"/>
      <c r="W24" s="6"/>
      <c r="X24" s="7"/>
      <c r="Y24" s="49">
        <f t="shared" si="2"/>
        <v>0</v>
      </c>
      <c r="Z24" s="52">
        <f t="shared" si="3"/>
        <v>0</v>
      </c>
    </row>
    <row r="25" spans="1:26" ht="23.5" hidden="1" x14ac:dyDescent="0.45">
      <c r="A25" s="19">
        <f t="shared" si="4"/>
        <v>20</v>
      </c>
      <c r="B25" s="6"/>
      <c r="C25" s="6"/>
      <c r="D25" s="7"/>
      <c r="E25" s="7"/>
      <c r="F25" s="6"/>
      <c r="G25" s="6"/>
      <c r="H25" s="6"/>
      <c r="I25" s="6"/>
      <c r="J25" s="5"/>
      <c r="K25" s="5"/>
      <c r="L25" s="5"/>
      <c r="M25" s="4"/>
      <c r="N25" s="4"/>
      <c r="O25" s="4"/>
      <c r="P25" s="38"/>
      <c r="Q25" s="46"/>
      <c r="R25" s="6"/>
      <c r="S25" s="6"/>
      <c r="T25" s="6"/>
      <c r="U25" s="6"/>
      <c r="V25" s="6"/>
      <c r="W25" s="6"/>
      <c r="X25" s="7"/>
      <c r="Y25" s="49">
        <f t="shared" si="2"/>
        <v>0</v>
      </c>
      <c r="Z25" s="52">
        <f t="shared" si="3"/>
        <v>0</v>
      </c>
    </row>
    <row r="26" spans="1:26" ht="23.5" hidden="1" x14ac:dyDescent="0.45">
      <c r="A26" s="19">
        <f t="shared" si="4"/>
        <v>21</v>
      </c>
      <c r="B26" s="6"/>
      <c r="C26" s="6"/>
      <c r="D26" s="7"/>
      <c r="E26" s="7"/>
      <c r="F26" s="6"/>
      <c r="G26" s="6"/>
      <c r="H26" s="6"/>
      <c r="I26" s="6"/>
      <c r="J26" s="5"/>
      <c r="K26" s="5"/>
      <c r="L26" s="5"/>
      <c r="M26" s="4"/>
      <c r="N26" s="4"/>
      <c r="O26" s="4"/>
      <c r="P26" s="38"/>
      <c r="Q26" s="46"/>
      <c r="R26" s="6"/>
      <c r="S26" s="6"/>
      <c r="T26" s="6"/>
      <c r="U26" s="6"/>
      <c r="V26" s="6"/>
      <c r="W26" s="6"/>
      <c r="X26" s="7"/>
      <c r="Y26" s="49">
        <f t="shared" si="2"/>
        <v>0</v>
      </c>
      <c r="Z26" s="52">
        <f t="shared" si="3"/>
        <v>0</v>
      </c>
    </row>
    <row r="27" spans="1:26" ht="23.5" hidden="1" x14ac:dyDescent="0.45">
      <c r="A27" s="19">
        <f t="shared" si="4"/>
        <v>22</v>
      </c>
      <c r="B27" s="6"/>
      <c r="C27" s="6"/>
      <c r="D27" s="7"/>
      <c r="E27" s="7"/>
      <c r="F27" s="6"/>
      <c r="G27" s="6"/>
      <c r="H27" s="6"/>
      <c r="I27" s="6"/>
      <c r="J27" s="5"/>
      <c r="K27" s="5"/>
      <c r="L27" s="5"/>
      <c r="M27" s="4"/>
      <c r="N27" s="4"/>
      <c r="O27" s="4"/>
      <c r="P27" s="38"/>
      <c r="Q27" s="46"/>
      <c r="R27" s="6"/>
      <c r="S27" s="6"/>
      <c r="T27" s="6"/>
      <c r="U27" s="6"/>
      <c r="V27" s="6"/>
      <c r="W27" s="6"/>
      <c r="X27" s="7"/>
      <c r="Y27" s="49">
        <f t="shared" si="2"/>
        <v>0</v>
      </c>
      <c r="Z27" s="52">
        <f t="shared" si="3"/>
        <v>0</v>
      </c>
    </row>
    <row r="28" spans="1:26" ht="23.5" hidden="1" x14ac:dyDescent="0.45">
      <c r="A28" s="19">
        <f t="shared" si="4"/>
        <v>23</v>
      </c>
      <c r="B28" s="6"/>
      <c r="C28" s="6"/>
      <c r="D28" s="7"/>
      <c r="E28" s="7"/>
      <c r="F28" s="6"/>
      <c r="G28" s="6"/>
      <c r="H28" s="6"/>
      <c r="I28" s="6"/>
      <c r="J28" s="5"/>
      <c r="K28" s="5"/>
      <c r="L28" s="5"/>
      <c r="M28" s="4"/>
      <c r="N28" s="4"/>
      <c r="O28" s="4"/>
      <c r="P28" s="38"/>
      <c r="Q28" s="46"/>
      <c r="R28" s="6"/>
      <c r="S28" s="6"/>
      <c r="T28" s="6"/>
      <c r="U28" s="6"/>
      <c r="V28" s="6"/>
      <c r="W28" s="6"/>
      <c r="X28" s="7"/>
      <c r="Y28" s="49">
        <f t="shared" si="2"/>
        <v>0</v>
      </c>
      <c r="Z28" s="52">
        <f t="shared" si="3"/>
        <v>0</v>
      </c>
    </row>
    <row r="29" spans="1:26" ht="23.5" hidden="1" x14ac:dyDescent="0.45">
      <c r="A29" s="19">
        <f t="shared" si="4"/>
        <v>24</v>
      </c>
      <c r="B29" s="6"/>
      <c r="C29" s="6"/>
      <c r="D29" s="7"/>
      <c r="E29" s="7"/>
      <c r="F29" s="6"/>
      <c r="G29" s="6"/>
      <c r="H29" s="6"/>
      <c r="I29" s="6"/>
      <c r="J29" s="5"/>
      <c r="K29" s="5"/>
      <c r="L29" s="5"/>
      <c r="M29" s="4"/>
      <c r="N29" s="4"/>
      <c r="O29" s="4"/>
      <c r="P29" s="38"/>
      <c r="Q29" s="46"/>
      <c r="R29" s="6"/>
      <c r="S29" s="6"/>
      <c r="T29" s="6"/>
      <c r="U29" s="6"/>
      <c r="V29" s="6"/>
      <c r="W29" s="6"/>
      <c r="X29" s="7"/>
      <c r="Y29" s="49">
        <f t="shared" si="2"/>
        <v>0</v>
      </c>
      <c r="Z29" s="52">
        <f t="shared" si="3"/>
        <v>0</v>
      </c>
    </row>
    <row r="30" spans="1:26" ht="23.5" hidden="1" x14ac:dyDescent="0.45">
      <c r="A30" s="19">
        <f t="shared" si="4"/>
        <v>25</v>
      </c>
      <c r="B30" s="6"/>
      <c r="C30" s="6"/>
      <c r="D30" s="7"/>
      <c r="E30" s="7"/>
      <c r="F30" s="6"/>
      <c r="G30" s="6"/>
      <c r="H30" s="6"/>
      <c r="I30" s="6"/>
      <c r="J30" s="5"/>
      <c r="K30" s="5"/>
      <c r="L30" s="5"/>
      <c r="M30" s="4"/>
      <c r="N30" s="4"/>
      <c r="O30" s="4"/>
      <c r="P30" s="38"/>
      <c r="Q30" s="46"/>
      <c r="R30" s="6"/>
      <c r="S30" s="6"/>
      <c r="T30" s="6"/>
      <c r="U30" s="6"/>
      <c r="V30" s="6"/>
      <c r="W30" s="6"/>
      <c r="X30" s="7"/>
      <c r="Y30" s="49">
        <f t="shared" si="2"/>
        <v>0</v>
      </c>
      <c r="Z30" s="52">
        <f t="shared" si="3"/>
        <v>0</v>
      </c>
    </row>
    <row r="31" spans="1:26" ht="23.5" hidden="1" x14ac:dyDescent="0.45">
      <c r="A31" s="19">
        <f t="shared" si="4"/>
        <v>26</v>
      </c>
      <c r="B31" s="6"/>
      <c r="C31" s="6"/>
      <c r="D31" s="7"/>
      <c r="E31" s="7"/>
      <c r="F31" s="6"/>
      <c r="G31" s="6"/>
      <c r="H31" s="6"/>
      <c r="I31" s="6"/>
      <c r="J31" s="5"/>
      <c r="K31" s="5"/>
      <c r="L31" s="5"/>
      <c r="M31" s="4"/>
      <c r="N31" s="4"/>
      <c r="O31" s="4"/>
      <c r="P31" s="38"/>
      <c r="Q31" s="46"/>
      <c r="R31" s="6"/>
      <c r="S31" s="6"/>
      <c r="T31" s="6"/>
      <c r="U31" s="6"/>
      <c r="V31" s="6"/>
      <c r="W31" s="6"/>
      <c r="X31" s="7"/>
      <c r="Y31" s="49">
        <f t="shared" si="2"/>
        <v>0</v>
      </c>
      <c r="Z31" s="52">
        <f t="shared" si="3"/>
        <v>0</v>
      </c>
    </row>
    <row r="32" spans="1:26" ht="23.5" hidden="1" x14ac:dyDescent="0.45">
      <c r="A32" s="19">
        <f t="shared" si="4"/>
        <v>27</v>
      </c>
      <c r="B32" s="6"/>
      <c r="C32" s="6"/>
      <c r="D32" s="7"/>
      <c r="E32" s="7"/>
      <c r="F32" s="6"/>
      <c r="G32" s="6"/>
      <c r="H32" s="6"/>
      <c r="I32" s="6"/>
      <c r="J32" s="5"/>
      <c r="K32" s="5"/>
      <c r="L32" s="5"/>
      <c r="M32" s="4"/>
      <c r="N32" s="4"/>
      <c r="O32" s="4"/>
      <c r="P32" s="38"/>
      <c r="Q32" s="46"/>
      <c r="R32" s="6"/>
      <c r="S32" s="6"/>
      <c r="T32" s="6"/>
      <c r="U32" s="6"/>
      <c r="V32" s="6"/>
      <c r="W32" s="6"/>
      <c r="X32" s="7"/>
      <c r="Y32" s="49">
        <f t="shared" si="2"/>
        <v>0</v>
      </c>
      <c r="Z32" s="52">
        <f t="shared" si="3"/>
        <v>0</v>
      </c>
    </row>
    <row r="33" spans="1:26" ht="23.5" hidden="1" x14ac:dyDescent="0.45">
      <c r="A33" s="19">
        <f t="shared" si="4"/>
        <v>28</v>
      </c>
      <c r="B33" s="6"/>
      <c r="C33" s="6"/>
      <c r="D33" s="7"/>
      <c r="E33" s="7"/>
      <c r="F33" s="6"/>
      <c r="G33" s="6"/>
      <c r="H33" s="6"/>
      <c r="I33" s="6"/>
      <c r="J33" s="5"/>
      <c r="K33" s="5"/>
      <c r="L33" s="5"/>
      <c r="M33" s="4"/>
      <c r="N33" s="4"/>
      <c r="O33" s="4"/>
      <c r="P33" s="38"/>
      <c r="Q33" s="46"/>
      <c r="R33" s="6"/>
      <c r="S33" s="6"/>
      <c r="T33" s="6"/>
      <c r="U33" s="6"/>
      <c r="V33" s="6"/>
      <c r="W33" s="6"/>
      <c r="X33" s="7"/>
      <c r="Y33" s="49">
        <f t="shared" si="2"/>
        <v>0</v>
      </c>
      <c r="Z33" s="52">
        <f t="shared" si="3"/>
        <v>0</v>
      </c>
    </row>
    <row r="34" spans="1:26" ht="23.5" hidden="1" x14ac:dyDescent="0.45">
      <c r="A34" s="19">
        <f t="shared" si="4"/>
        <v>29</v>
      </c>
      <c r="B34" s="6"/>
      <c r="C34" s="6"/>
      <c r="D34" s="7"/>
      <c r="E34" s="7"/>
      <c r="F34" s="6"/>
      <c r="G34" s="6"/>
      <c r="H34" s="6"/>
      <c r="I34" s="6"/>
      <c r="J34" s="5"/>
      <c r="K34" s="5"/>
      <c r="L34" s="5"/>
      <c r="M34" s="4"/>
      <c r="N34" s="4"/>
      <c r="O34" s="4"/>
      <c r="P34" s="38"/>
      <c r="Q34" s="46"/>
      <c r="R34" s="6"/>
      <c r="S34" s="6"/>
      <c r="T34" s="6"/>
      <c r="U34" s="6"/>
      <c r="V34" s="6"/>
      <c r="W34" s="6"/>
      <c r="X34" s="7"/>
      <c r="Y34" s="49">
        <f t="shared" si="2"/>
        <v>0</v>
      </c>
      <c r="Z34" s="52">
        <f t="shared" si="3"/>
        <v>0</v>
      </c>
    </row>
    <row r="35" spans="1:26" ht="23.5" hidden="1" x14ac:dyDescent="0.45">
      <c r="A35" s="19">
        <f t="shared" si="4"/>
        <v>30</v>
      </c>
      <c r="B35" s="6"/>
      <c r="C35" s="6"/>
      <c r="D35" s="7"/>
      <c r="E35" s="7"/>
      <c r="F35" s="6"/>
      <c r="G35" s="6"/>
      <c r="H35" s="6"/>
      <c r="I35" s="6"/>
      <c r="J35" s="5"/>
      <c r="K35" s="5"/>
      <c r="L35" s="5"/>
      <c r="M35" s="4"/>
      <c r="N35" s="4"/>
      <c r="O35" s="4"/>
      <c r="P35" s="38"/>
      <c r="Q35" s="46"/>
      <c r="R35" s="6"/>
      <c r="S35" s="6"/>
      <c r="T35" s="6"/>
      <c r="U35" s="6"/>
      <c r="V35" s="6"/>
      <c r="W35" s="6"/>
      <c r="X35" s="7"/>
      <c r="Y35" s="49">
        <f t="shared" si="2"/>
        <v>0</v>
      </c>
      <c r="Z35" s="52">
        <f t="shared" si="3"/>
        <v>0</v>
      </c>
    </row>
    <row r="36" spans="1:26" ht="25.5" customHeight="1" thickBot="1" x14ac:dyDescent="0.5">
      <c r="A36" s="58" t="s">
        <v>1</v>
      </c>
      <c r="B36" s="59"/>
      <c r="C36" s="59"/>
      <c r="D36" s="59"/>
      <c r="E36" s="59"/>
      <c r="F36" s="59"/>
      <c r="G36" s="59"/>
      <c r="H36" s="59"/>
      <c r="I36" s="59"/>
      <c r="J36" s="21">
        <f>SUM(J6:J35)</f>
        <v>6700</v>
      </c>
      <c r="K36" s="21">
        <f>SUM(K6:K35)</f>
        <v>5520</v>
      </c>
      <c r="L36" s="21">
        <f>SUM(L6:L15)</f>
        <v>2341</v>
      </c>
      <c r="M36" s="21"/>
      <c r="N36" s="21"/>
      <c r="O36" s="21"/>
      <c r="P36" s="42"/>
      <c r="Q36" s="48" t="s">
        <v>63</v>
      </c>
      <c r="R36" s="47">
        <f>SUM(R6:R15)</f>
        <v>2750</v>
      </c>
      <c r="S36" s="47">
        <f t="shared" ref="S36:X36" si="5">SUM(S6:S15)</f>
        <v>3697.4</v>
      </c>
      <c r="T36" s="47">
        <f t="shared" si="5"/>
        <v>3417</v>
      </c>
      <c r="U36" s="47">
        <f t="shared" si="5"/>
        <v>3797.4749999999999</v>
      </c>
      <c r="V36" s="47">
        <f t="shared" si="5"/>
        <v>13661.875</v>
      </c>
      <c r="W36" s="53">
        <f t="shared" si="5"/>
        <v>3415.46875</v>
      </c>
      <c r="X36" s="53">
        <f t="shared" si="5"/>
        <v>1787</v>
      </c>
      <c r="Y36" s="54">
        <f t="shared" si="2"/>
        <v>34.154687500000001</v>
      </c>
      <c r="Z36" s="55">
        <f t="shared" si="3"/>
        <v>3927.7890625</v>
      </c>
    </row>
    <row r="38" spans="1:26" ht="19" thickBot="1" x14ac:dyDescent="0.5">
      <c r="A38" s="63" t="s">
        <v>16</v>
      </c>
      <c r="B38" s="63"/>
      <c r="C38" s="63"/>
      <c r="D38" s="63"/>
      <c r="G38" s="63" t="s">
        <v>17</v>
      </c>
      <c r="H38" s="63"/>
      <c r="I38" s="63"/>
      <c r="J38" s="63"/>
    </row>
    <row r="41" spans="1:26" x14ac:dyDescent="0.45">
      <c r="H41" s="35"/>
    </row>
  </sheetData>
  <sortState xmlns:xlrd2="http://schemas.microsoft.com/office/spreadsheetml/2017/richdata2" ref="G6:K15">
    <sortCondition ref="I6:I15"/>
  </sortState>
  <mergeCells count="6">
    <mergeCell ref="M4:O4"/>
    <mergeCell ref="M5:O5"/>
    <mergeCell ref="A36:I36"/>
    <mergeCell ref="A3:P3"/>
    <mergeCell ref="A38:D38"/>
    <mergeCell ref="G38:J38"/>
  </mergeCells>
  <pageMargins left="0.7" right="0.7" top="0.75" bottom="0.75" header="0.3" footer="0.3"/>
  <pageSetup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E51B-9F10-41D0-BA43-59D43BA011CF}">
  <dimension ref="A2:O39"/>
  <sheetViews>
    <sheetView zoomScale="85" zoomScaleNormal="85" workbookViewId="0">
      <selection activeCell="F41" sqref="F41"/>
    </sheetView>
  </sheetViews>
  <sheetFormatPr defaultRowHeight="14.5" x14ac:dyDescent="0.35"/>
  <cols>
    <col min="1" max="1" width="4.1796875" bestFit="1" customWidth="1"/>
    <col min="2" max="2" width="12.54296875" bestFit="1" customWidth="1"/>
    <col min="3" max="3" width="15.7265625" bestFit="1" customWidth="1"/>
    <col min="4" max="4" width="8.81640625" bestFit="1" customWidth="1"/>
    <col min="5" max="5" width="15.26953125" bestFit="1" customWidth="1"/>
    <col min="6" max="6" width="30.54296875" bestFit="1" customWidth="1"/>
    <col min="7" max="7" width="11.54296875" bestFit="1" customWidth="1"/>
    <col min="8" max="8" width="23.1796875" bestFit="1" customWidth="1"/>
    <col min="9" max="9" width="13.1796875" bestFit="1" customWidth="1"/>
    <col min="10" max="10" width="7.26953125" bestFit="1" customWidth="1"/>
    <col min="11" max="11" width="10.81640625" bestFit="1" customWidth="1"/>
    <col min="12" max="12" width="2.7265625" bestFit="1" customWidth="1"/>
    <col min="13" max="14" width="5.54296875" bestFit="1" customWidth="1"/>
    <col min="15" max="15" width="10.453125" bestFit="1" customWidth="1"/>
  </cols>
  <sheetData>
    <row r="2" spans="1:15" ht="15" thickBot="1" x14ac:dyDescent="0.4"/>
    <row r="3" spans="1:15" ht="26.5" thickBot="1" x14ac:dyDescent="0.65">
      <c r="A3" s="60" t="s">
        <v>49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</row>
    <row r="4" spans="1:15" ht="19" thickBot="1" x14ac:dyDescent="0.5">
      <c r="A4" s="2"/>
      <c r="B4" s="2"/>
      <c r="C4" s="2"/>
      <c r="D4" s="2"/>
      <c r="E4" s="3"/>
      <c r="F4" s="2"/>
      <c r="G4" s="2"/>
      <c r="H4" s="2"/>
      <c r="I4" s="2"/>
      <c r="J4" s="3"/>
      <c r="K4" s="3"/>
      <c r="L4" s="56"/>
      <c r="M4" s="56"/>
      <c r="N4" s="56"/>
      <c r="O4" s="2"/>
    </row>
    <row r="5" spans="1:15" ht="16" thickBot="1" x14ac:dyDescent="0.4">
      <c r="A5" s="12" t="s">
        <v>0</v>
      </c>
      <c r="B5" s="13" t="s">
        <v>3</v>
      </c>
      <c r="C5" s="13" t="s">
        <v>4</v>
      </c>
      <c r="D5" s="13" t="s">
        <v>8</v>
      </c>
      <c r="E5" s="14" t="s">
        <v>5</v>
      </c>
      <c r="F5" s="13" t="s">
        <v>2</v>
      </c>
      <c r="G5" s="13" t="s">
        <v>10</v>
      </c>
      <c r="H5" s="13" t="s">
        <v>18</v>
      </c>
      <c r="I5" s="13" t="s">
        <v>12</v>
      </c>
      <c r="J5" s="14" t="s">
        <v>6</v>
      </c>
      <c r="K5" s="14" t="s">
        <v>7</v>
      </c>
      <c r="L5" s="57" t="s">
        <v>13</v>
      </c>
      <c r="M5" s="57"/>
      <c r="N5" s="57"/>
      <c r="O5" s="16" t="s">
        <v>14</v>
      </c>
    </row>
    <row r="6" spans="1:15" ht="24" customHeight="1" x14ac:dyDescent="0.45">
      <c r="A6" s="17">
        <v>1</v>
      </c>
      <c r="B6" s="9" t="s">
        <v>19</v>
      </c>
      <c r="C6" s="9" t="s">
        <v>55</v>
      </c>
      <c r="D6" s="10" t="s">
        <v>9</v>
      </c>
      <c r="E6" s="10" t="s">
        <v>21</v>
      </c>
      <c r="F6" s="9" t="s">
        <v>42</v>
      </c>
      <c r="G6" s="9"/>
      <c r="H6" s="9" t="s">
        <v>47</v>
      </c>
      <c r="I6" s="9"/>
      <c r="J6" s="8">
        <v>460</v>
      </c>
      <c r="K6" s="8">
        <v>600</v>
      </c>
      <c r="L6" s="11">
        <v>3</v>
      </c>
      <c r="M6" s="11">
        <v>3.5</v>
      </c>
      <c r="N6" s="11">
        <v>3.8</v>
      </c>
      <c r="O6" s="18"/>
    </row>
    <row r="7" spans="1:15" ht="24" customHeight="1" x14ac:dyDescent="0.45">
      <c r="A7" s="19">
        <f>+A6+1</f>
        <v>2</v>
      </c>
      <c r="B7" s="6" t="s">
        <v>19</v>
      </c>
      <c r="C7" s="6" t="s">
        <v>55</v>
      </c>
      <c r="D7" s="7" t="s">
        <v>9</v>
      </c>
      <c r="E7" s="7" t="s">
        <v>21</v>
      </c>
      <c r="F7" s="6" t="s">
        <v>42</v>
      </c>
      <c r="G7" s="6"/>
      <c r="H7" s="6" t="s">
        <v>43</v>
      </c>
      <c r="I7" s="6"/>
      <c r="J7" s="5">
        <v>560</v>
      </c>
      <c r="K7" s="5">
        <v>600</v>
      </c>
      <c r="L7" s="4">
        <v>3</v>
      </c>
      <c r="M7" s="4">
        <v>3.5</v>
      </c>
      <c r="N7" s="4">
        <v>3.8</v>
      </c>
      <c r="O7" s="20"/>
    </row>
    <row r="8" spans="1:15" ht="24" customHeight="1" x14ac:dyDescent="0.45">
      <c r="A8" s="19">
        <f t="shared" ref="A8:A35" si="0">+A7+1</f>
        <v>3</v>
      </c>
      <c r="B8" s="6" t="s">
        <v>19</v>
      </c>
      <c r="C8" s="6" t="s">
        <v>55</v>
      </c>
      <c r="D8" s="7" t="s">
        <v>9</v>
      </c>
      <c r="E8" s="7" t="s">
        <v>21</v>
      </c>
      <c r="F8" s="6" t="s">
        <v>42</v>
      </c>
      <c r="G8" s="6"/>
      <c r="H8" s="6" t="s">
        <v>44</v>
      </c>
      <c r="I8" s="6"/>
      <c r="J8" s="5">
        <v>510</v>
      </c>
      <c r="K8" s="5">
        <v>600</v>
      </c>
      <c r="L8" s="4">
        <v>3</v>
      </c>
      <c r="M8" s="4">
        <v>3.5</v>
      </c>
      <c r="N8" s="4">
        <v>3.8</v>
      </c>
      <c r="O8" s="20"/>
    </row>
    <row r="9" spans="1:15" ht="24" customHeight="1" x14ac:dyDescent="0.45">
      <c r="A9" s="19">
        <f t="shared" si="0"/>
        <v>4</v>
      </c>
      <c r="B9" s="6" t="s">
        <v>19</v>
      </c>
      <c r="C9" s="6" t="s">
        <v>55</v>
      </c>
      <c r="D9" s="7" t="s">
        <v>9</v>
      </c>
      <c r="E9" s="7" t="s">
        <v>21</v>
      </c>
      <c r="F9" s="6" t="s">
        <v>42</v>
      </c>
      <c r="G9" s="6"/>
      <c r="H9" s="6" t="s">
        <v>45</v>
      </c>
      <c r="I9" s="6"/>
      <c r="J9" s="5">
        <v>510</v>
      </c>
      <c r="K9" s="5">
        <v>600</v>
      </c>
      <c r="L9" s="4">
        <v>3</v>
      </c>
      <c r="M9" s="4">
        <v>3.5</v>
      </c>
      <c r="N9" s="4">
        <v>3.8</v>
      </c>
      <c r="O9" s="20"/>
    </row>
    <row r="10" spans="1:15" ht="24" customHeight="1" thickBot="1" x14ac:dyDescent="0.5">
      <c r="A10" s="19">
        <f t="shared" si="0"/>
        <v>5</v>
      </c>
      <c r="B10" s="6" t="s">
        <v>19</v>
      </c>
      <c r="C10" s="6" t="s">
        <v>55</v>
      </c>
      <c r="D10" s="7" t="s">
        <v>9</v>
      </c>
      <c r="E10" s="7" t="s">
        <v>21</v>
      </c>
      <c r="F10" s="6" t="s">
        <v>42</v>
      </c>
      <c r="G10" s="6"/>
      <c r="H10" s="6" t="s">
        <v>46</v>
      </c>
      <c r="I10" s="6"/>
      <c r="J10" s="5">
        <v>460</v>
      </c>
      <c r="K10" s="5">
        <v>600</v>
      </c>
      <c r="L10" s="4">
        <v>3</v>
      </c>
      <c r="M10" s="4">
        <v>3.5</v>
      </c>
      <c r="N10" s="4">
        <v>3.8</v>
      </c>
      <c r="O10" s="20"/>
    </row>
    <row r="11" spans="1:15" ht="24" hidden="1" customHeight="1" x14ac:dyDescent="0.45">
      <c r="A11" s="19"/>
      <c r="B11" s="6"/>
      <c r="C11" s="6"/>
      <c r="D11" s="7"/>
      <c r="E11" s="7"/>
      <c r="F11" s="6"/>
      <c r="G11" s="6"/>
      <c r="H11" s="6"/>
      <c r="I11" s="6"/>
      <c r="J11" s="5"/>
      <c r="K11" s="5"/>
      <c r="L11" s="4">
        <v>3</v>
      </c>
      <c r="M11" s="4">
        <v>3.5</v>
      </c>
      <c r="N11" s="4">
        <v>3.8</v>
      </c>
      <c r="O11" s="20"/>
    </row>
    <row r="12" spans="1:15" ht="24" hidden="1" customHeight="1" x14ac:dyDescent="0.45">
      <c r="A12" s="19"/>
      <c r="B12" s="6"/>
      <c r="C12" s="6"/>
      <c r="D12" s="7"/>
      <c r="E12" s="7"/>
      <c r="F12" s="6"/>
      <c r="G12" s="6"/>
      <c r="H12" s="6"/>
      <c r="I12" s="6"/>
      <c r="J12" s="5"/>
      <c r="K12" s="5"/>
      <c r="L12" s="4">
        <v>3</v>
      </c>
      <c r="M12" s="4">
        <v>3.5</v>
      </c>
      <c r="N12" s="4">
        <v>3.8</v>
      </c>
      <c r="O12" s="20"/>
    </row>
    <row r="13" spans="1:15" ht="24" hidden="1" customHeight="1" x14ac:dyDescent="0.45">
      <c r="A13" s="19"/>
      <c r="B13" s="6"/>
      <c r="C13" s="6"/>
      <c r="D13" s="7"/>
      <c r="E13" s="7"/>
      <c r="F13" s="6"/>
      <c r="G13" s="6"/>
      <c r="H13" s="6"/>
      <c r="I13" s="6"/>
      <c r="J13" s="5"/>
      <c r="K13" s="5"/>
      <c r="L13" s="4">
        <v>3</v>
      </c>
      <c r="M13" s="4">
        <v>3.5</v>
      </c>
      <c r="N13" s="4">
        <v>3.8</v>
      </c>
      <c r="O13" s="20"/>
    </row>
    <row r="14" spans="1:15" ht="24" hidden="1" customHeight="1" x14ac:dyDescent="0.45">
      <c r="A14" s="19"/>
      <c r="B14" s="6"/>
      <c r="C14" s="6"/>
      <c r="D14" s="7"/>
      <c r="E14" s="7"/>
      <c r="F14" s="6"/>
      <c r="G14" s="6"/>
      <c r="H14" s="6"/>
      <c r="I14" s="6"/>
      <c r="J14" s="5"/>
      <c r="K14" s="5"/>
      <c r="L14" s="4"/>
      <c r="M14" s="4"/>
      <c r="N14" s="4"/>
      <c r="O14" s="20"/>
    </row>
    <row r="15" spans="1:15" ht="24" hidden="1" customHeight="1" thickBot="1" x14ac:dyDescent="0.5">
      <c r="A15" s="22"/>
      <c r="B15" s="23"/>
      <c r="C15" s="23"/>
      <c r="D15" s="24"/>
      <c r="E15" s="24"/>
      <c r="F15" s="23"/>
      <c r="G15" s="23"/>
      <c r="H15" s="23"/>
      <c r="I15" s="23"/>
      <c r="J15" s="25"/>
      <c r="K15" s="25"/>
      <c r="L15" s="21"/>
      <c r="M15" s="21"/>
      <c r="N15" s="21"/>
      <c r="O15" s="26"/>
    </row>
    <row r="16" spans="1:15" ht="18.5" hidden="1" x14ac:dyDescent="0.45">
      <c r="A16" s="17">
        <f t="shared" si="0"/>
        <v>1</v>
      </c>
      <c r="B16" s="9"/>
      <c r="C16" s="9"/>
      <c r="D16" s="10" t="s">
        <v>9</v>
      </c>
      <c r="E16" s="10"/>
      <c r="F16" s="9"/>
      <c r="G16" s="9"/>
      <c r="H16" s="9"/>
      <c r="I16" s="9"/>
      <c r="J16" s="8"/>
      <c r="K16" s="8"/>
      <c r="L16" s="11"/>
      <c r="M16" s="11"/>
      <c r="N16" s="11"/>
      <c r="O16" s="18"/>
    </row>
    <row r="17" spans="1:15" ht="18.5" hidden="1" x14ac:dyDescent="0.45">
      <c r="A17" s="19">
        <f t="shared" si="0"/>
        <v>2</v>
      </c>
      <c r="B17" s="6"/>
      <c r="C17" s="6"/>
      <c r="D17" s="7" t="s">
        <v>9</v>
      </c>
      <c r="E17" s="7"/>
      <c r="F17" s="6"/>
      <c r="G17" s="6"/>
      <c r="H17" s="6"/>
      <c r="I17" s="6"/>
      <c r="J17" s="5"/>
      <c r="K17" s="5"/>
      <c r="L17" s="4"/>
      <c r="M17" s="4"/>
      <c r="N17" s="4"/>
      <c r="O17" s="20"/>
    </row>
    <row r="18" spans="1:15" ht="18.5" hidden="1" x14ac:dyDescent="0.45">
      <c r="A18" s="19">
        <f t="shared" si="0"/>
        <v>3</v>
      </c>
      <c r="B18" s="6"/>
      <c r="C18" s="6"/>
      <c r="D18" s="7" t="s">
        <v>9</v>
      </c>
      <c r="E18" s="7"/>
      <c r="F18" s="6"/>
      <c r="G18" s="6"/>
      <c r="H18" s="6"/>
      <c r="I18" s="6"/>
      <c r="J18" s="5"/>
      <c r="K18" s="5"/>
      <c r="L18" s="4"/>
      <c r="M18" s="4"/>
      <c r="N18" s="4"/>
      <c r="O18" s="20"/>
    </row>
    <row r="19" spans="1:15" ht="18.5" hidden="1" x14ac:dyDescent="0.45">
      <c r="A19" s="19">
        <f t="shared" si="0"/>
        <v>4</v>
      </c>
      <c r="B19" s="6"/>
      <c r="C19" s="6"/>
      <c r="D19" s="7" t="s">
        <v>9</v>
      </c>
      <c r="E19" s="7"/>
      <c r="F19" s="6"/>
      <c r="G19" s="6"/>
      <c r="H19" s="6"/>
      <c r="I19" s="6"/>
      <c r="J19" s="5"/>
      <c r="K19" s="5"/>
      <c r="L19" s="4"/>
      <c r="M19" s="4"/>
      <c r="N19" s="4"/>
      <c r="O19" s="20"/>
    </row>
    <row r="20" spans="1:15" ht="18.5" hidden="1" x14ac:dyDescent="0.45">
      <c r="A20" s="19">
        <f t="shared" si="0"/>
        <v>5</v>
      </c>
      <c r="B20" s="6"/>
      <c r="C20" s="6"/>
      <c r="D20" s="7" t="s">
        <v>9</v>
      </c>
      <c r="E20" s="7"/>
      <c r="F20" s="6"/>
      <c r="G20" s="6"/>
      <c r="H20" s="6"/>
      <c r="I20" s="6"/>
      <c r="J20" s="5"/>
      <c r="K20" s="5"/>
      <c r="L20" s="4"/>
      <c r="M20" s="4"/>
      <c r="N20" s="4"/>
      <c r="O20" s="20"/>
    </row>
    <row r="21" spans="1:15" ht="18.5" hidden="1" x14ac:dyDescent="0.45">
      <c r="A21" s="19">
        <f t="shared" si="0"/>
        <v>6</v>
      </c>
      <c r="B21" s="6"/>
      <c r="C21" s="6"/>
      <c r="D21" s="7" t="s">
        <v>9</v>
      </c>
      <c r="E21" s="7"/>
      <c r="F21" s="6"/>
      <c r="G21" s="6"/>
      <c r="H21" s="6"/>
      <c r="I21" s="6"/>
      <c r="J21" s="5"/>
      <c r="K21" s="5"/>
      <c r="L21" s="4"/>
      <c r="M21" s="4"/>
      <c r="N21" s="4"/>
      <c r="O21" s="20"/>
    </row>
    <row r="22" spans="1:15" ht="18.5" hidden="1" x14ac:dyDescent="0.45">
      <c r="A22" s="19">
        <f t="shared" si="0"/>
        <v>7</v>
      </c>
      <c r="B22" s="6"/>
      <c r="C22" s="6"/>
      <c r="D22" s="7" t="s">
        <v>9</v>
      </c>
      <c r="E22" s="7"/>
      <c r="F22" s="6"/>
      <c r="G22" s="6"/>
      <c r="H22" s="6"/>
      <c r="I22" s="6"/>
      <c r="J22" s="5"/>
      <c r="K22" s="5"/>
      <c r="L22" s="4"/>
      <c r="M22" s="4"/>
      <c r="N22" s="4"/>
      <c r="O22" s="20"/>
    </row>
    <row r="23" spans="1:15" ht="18.5" hidden="1" x14ac:dyDescent="0.45">
      <c r="A23" s="19">
        <f t="shared" si="0"/>
        <v>8</v>
      </c>
      <c r="B23" s="6"/>
      <c r="C23" s="6"/>
      <c r="D23" s="7" t="s">
        <v>9</v>
      </c>
      <c r="E23" s="7"/>
      <c r="F23" s="6"/>
      <c r="G23" s="6"/>
      <c r="H23" s="6"/>
      <c r="I23" s="6"/>
      <c r="J23" s="5"/>
      <c r="K23" s="5"/>
      <c r="L23" s="4"/>
      <c r="M23" s="4"/>
      <c r="N23" s="4"/>
      <c r="O23" s="20"/>
    </row>
    <row r="24" spans="1:15" ht="18.5" hidden="1" x14ac:dyDescent="0.45">
      <c r="A24" s="19">
        <f t="shared" si="0"/>
        <v>9</v>
      </c>
      <c r="B24" s="6"/>
      <c r="C24" s="6"/>
      <c r="D24" s="7" t="s">
        <v>9</v>
      </c>
      <c r="E24" s="7"/>
      <c r="F24" s="6"/>
      <c r="G24" s="6"/>
      <c r="H24" s="6"/>
      <c r="I24" s="6"/>
      <c r="J24" s="5"/>
      <c r="K24" s="5"/>
      <c r="L24" s="4"/>
      <c r="M24" s="4"/>
      <c r="N24" s="4"/>
      <c r="O24" s="20"/>
    </row>
    <row r="25" spans="1:15" ht="18.5" hidden="1" x14ac:dyDescent="0.45">
      <c r="A25" s="19">
        <f t="shared" si="0"/>
        <v>10</v>
      </c>
      <c r="B25" s="6"/>
      <c r="C25" s="6"/>
      <c r="D25" s="7" t="s">
        <v>9</v>
      </c>
      <c r="E25" s="7"/>
      <c r="F25" s="6"/>
      <c r="G25" s="6"/>
      <c r="H25" s="6"/>
      <c r="I25" s="6"/>
      <c r="J25" s="5"/>
      <c r="K25" s="5"/>
      <c r="L25" s="4"/>
      <c r="M25" s="4"/>
      <c r="N25" s="4"/>
      <c r="O25" s="20"/>
    </row>
    <row r="26" spans="1:15" ht="18.5" hidden="1" x14ac:dyDescent="0.45">
      <c r="A26" s="19">
        <f t="shared" si="0"/>
        <v>11</v>
      </c>
      <c r="B26" s="6"/>
      <c r="C26" s="6"/>
      <c r="D26" s="7" t="s">
        <v>9</v>
      </c>
      <c r="E26" s="7"/>
      <c r="F26" s="6"/>
      <c r="G26" s="6"/>
      <c r="H26" s="6"/>
      <c r="I26" s="6"/>
      <c r="J26" s="5"/>
      <c r="K26" s="5"/>
      <c r="L26" s="4"/>
      <c r="M26" s="4"/>
      <c r="N26" s="4"/>
      <c r="O26" s="20"/>
    </row>
    <row r="27" spans="1:15" ht="18.5" hidden="1" x14ac:dyDescent="0.45">
      <c r="A27" s="19">
        <f t="shared" si="0"/>
        <v>12</v>
      </c>
      <c r="B27" s="6"/>
      <c r="C27" s="6"/>
      <c r="D27" s="7" t="s">
        <v>9</v>
      </c>
      <c r="E27" s="7"/>
      <c r="F27" s="6"/>
      <c r="G27" s="6"/>
      <c r="H27" s="6"/>
      <c r="I27" s="6"/>
      <c r="J27" s="5"/>
      <c r="K27" s="5"/>
      <c r="L27" s="4"/>
      <c r="M27" s="4"/>
      <c r="N27" s="4"/>
      <c r="O27" s="20"/>
    </row>
    <row r="28" spans="1:15" ht="18.5" hidden="1" x14ac:dyDescent="0.45">
      <c r="A28" s="19">
        <f t="shared" si="0"/>
        <v>13</v>
      </c>
      <c r="B28" s="6"/>
      <c r="C28" s="6"/>
      <c r="D28" s="7" t="s">
        <v>9</v>
      </c>
      <c r="E28" s="7"/>
      <c r="F28" s="6"/>
      <c r="G28" s="6"/>
      <c r="H28" s="6"/>
      <c r="I28" s="6"/>
      <c r="J28" s="5"/>
      <c r="K28" s="5"/>
      <c r="L28" s="4"/>
      <c r="M28" s="4"/>
      <c r="N28" s="4"/>
      <c r="O28" s="20"/>
    </row>
    <row r="29" spans="1:15" ht="18.5" hidden="1" x14ac:dyDescent="0.45">
      <c r="A29" s="19">
        <f t="shared" si="0"/>
        <v>14</v>
      </c>
      <c r="B29" s="6"/>
      <c r="C29" s="6"/>
      <c r="D29" s="7" t="s">
        <v>9</v>
      </c>
      <c r="E29" s="7"/>
      <c r="F29" s="6"/>
      <c r="G29" s="6"/>
      <c r="H29" s="6"/>
      <c r="I29" s="6"/>
      <c r="J29" s="5"/>
      <c r="K29" s="5"/>
      <c r="L29" s="4"/>
      <c r="M29" s="4"/>
      <c r="N29" s="4"/>
      <c r="O29" s="20"/>
    </row>
    <row r="30" spans="1:15" ht="18.5" hidden="1" x14ac:dyDescent="0.45">
      <c r="A30" s="19">
        <f t="shared" si="0"/>
        <v>15</v>
      </c>
      <c r="B30" s="6"/>
      <c r="C30" s="6"/>
      <c r="D30" s="7" t="s">
        <v>9</v>
      </c>
      <c r="E30" s="7"/>
      <c r="F30" s="6"/>
      <c r="G30" s="6"/>
      <c r="H30" s="6"/>
      <c r="I30" s="6"/>
      <c r="J30" s="5"/>
      <c r="K30" s="5"/>
      <c r="L30" s="4"/>
      <c r="M30" s="4"/>
      <c r="N30" s="4"/>
      <c r="O30" s="20"/>
    </row>
    <row r="31" spans="1:15" ht="18.5" hidden="1" x14ac:dyDescent="0.45">
      <c r="A31" s="19">
        <f t="shared" si="0"/>
        <v>16</v>
      </c>
      <c r="B31" s="6"/>
      <c r="C31" s="6"/>
      <c r="D31" s="7" t="s">
        <v>9</v>
      </c>
      <c r="E31" s="7"/>
      <c r="F31" s="6"/>
      <c r="G31" s="6"/>
      <c r="H31" s="6"/>
      <c r="I31" s="6"/>
      <c r="J31" s="5"/>
      <c r="K31" s="5"/>
      <c r="L31" s="4"/>
      <c r="M31" s="4"/>
      <c r="N31" s="4"/>
      <c r="O31" s="20"/>
    </row>
    <row r="32" spans="1:15" ht="18.5" hidden="1" x14ac:dyDescent="0.45">
      <c r="A32" s="19">
        <f t="shared" si="0"/>
        <v>17</v>
      </c>
      <c r="B32" s="6"/>
      <c r="C32" s="6"/>
      <c r="D32" s="7" t="s">
        <v>9</v>
      </c>
      <c r="E32" s="7"/>
      <c r="F32" s="6"/>
      <c r="G32" s="6"/>
      <c r="H32" s="6"/>
      <c r="I32" s="6"/>
      <c r="J32" s="5"/>
      <c r="K32" s="5"/>
      <c r="L32" s="4"/>
      <c r="M32" s="4"/>
      <c r="N32" s="4"/>
      <c r="O32" s="20"/>
    </row>
    <row r="33" spans="1:15" ht="18.5" hidden="1" x14ac:dyDescent="0.45">
      <c r="A33" s="19">
        <f t="shared" si="0"/>
        <v>18</v>
      </c>
      <c r="B33" s="6"/>
      <c r="C33" s="6"/>
      <c r="D33" s="7" t="s">
        <v>9</v>
      </c>
      <c r="E33" s="7"/>
      <c r="F33" s="6"/>
      <c r="G33" s="6"/>
      <c r="H33" s="6"/>
      <c r="I33" s="6"/>
      <c r="J33" s="5"/>
      <c r="K33" s="5"/>
      <c r="L33" s="4"/>
      <c r="M33" s="4"/>
      <c r="N33" s="4"/>
      <c r="O33" s="20"/>
    </row>
    <row r="34" spans="1:15" ht="18.5" hidden="1" x14ac:dyDescent="0.45">
      <c r="A34" s="19">
        <f t="shared" si="0"/>
        <v>19</v>
      </c>
      <c r="B34" s="6"/>
      <c r="C34" s="6"/>
      <c r="D34" s="7" t="s">
        <v>9</v>
      </c>
      <c r="E34" s="7"/>
      <c r="F34" s="6"/>
      <c r="G34" s="6"/>
      <c r="H34" s="6"/>
      <c r="I34" s="6"/>
      <c r="J34" s="5"/>
      <c r="K34" s="5"/>
      <c r="L34" s="4"/>
      <c r="M34" s="4"/>
      <c r="N34" s="4"/>
      <c r="O34" s="20"/>
    </row>
    <row r="35" spans="1:15" ht="18.5" hidden="1" x14ac:dyDescent="0.45">
      <c r="A35" s="27">
        <f t="shared" si="0"/>
        <v>20</v>
      </c>
      <c r="B35" s="28"/>
      <c r="C35" s="28"/>
      <c r="D35" s="29" t="s">
        <v>9</v>
      </c>
      <c r="E35" s="29"/>
      <c r="F35" s="28"/>
      <c r="G35" s="28"/>
      <c r="H35" s="28"/>
      <c r="I35" s="28"/>
      <c r="J35" s="30"/>
      <c r="K35" s="30"/>
      <c r="L35" s="31"/>
      <c r="M35" s="31"/>
      <c r="N35" s="31"/>
      <c r="O35" s="32"/>
    </row>
    <row r="36" spans="1:15" ht="19" thickBot="1" x14ac:dyDescent="0.5">
      <c r="A36" s="64" t="s">
        <v>1</v>
      </c>
      <c r="B36" s="65"/>
      <c r="C36" s="65"/>
      <c r="D36" s="65"/>
      <c r="E36" s="65"/>
      <c r="F36" s="65"/>
      <c r="G36" s="65"/>
      <c r="H36" s="65"/>
      <c r="I36" s="65"/>
      <c r="J36" s="33">
        <f>SUM(J6:J35)</f>
        <v>2500</v>
      </c>
      <c r="K36" s="33">
        <f>SUM(K6:K35)</f>
        <v>3000</v>
      </c>
      <c r="L36" s="33"/>
      <c r="M36" s="33"/>
      <c r="N36" s="33"/>
      <c r="O36" s="34"/>
    </row>
    <row r="37" spans="1:15" ht="18.5" x14ac:dyDescent="0.45">
      <c r="A37" s="2"/>
      <c r="B37" s="2"/>
      <c r="C37" s="2"/>
      <c r="D37" s="2"/>
      <c r="E37" s="3"/>
      <c r="F37" s="2"/>
      <c r="G37" s="2"/>
      <c r="H37" s="2"/>
      <c r="I37" s="2"/>
      <c r="J37" s="3"/>
      <c r="K37" s="3"/>
      <c r="L37" s="3"/>
      <c r="M37" s="3"/>
      <c r="N37" s="3"/>
      <c r="O37" s="2"/>
    </row>
    <row r="38" spans="1:15" ht="19" thickBot="1" x14ac:dyDescent="0.5">
      <c r="A38" s="63" t="s">
        <v>16</v>
      </c>
      <c r="B38" s="63"/>
      <c r="C38" s="63"/>
      <c r="D38" s="63"/>
      <c r="E38" s="3"/>
      <c r="F38" s="2"/>
      <c r="G38" s="63" t="s">
        <v>17</v>
      </c>
      <c r="H38" s="63"/>
      <c r="I38" s="63"/>
      <c r="J38" s="63"/>
      <c r="K38" s="3"/>
      <c r="L38" s="3"/>
      <c r="M38" s="3"/>
      <c r="N38" s="3"/>
      <c r="O38" s="2"/>
    </row>
    <row r="39" spans="1:15" ht="18.5" x14ac:dyDescent="0.45">
      <c r="A39" s="2"/>
      <c r="B39" s="2"/>
      <c r="C39" s="2"/>
      <c r="D39" s="2"/>
      <c r="E39" s="3"/>
      <c r="F39" s="2"/>
      <c r="G39" s="2"/>
      <c r="H39" s="2"/>
      <c r="I39" s="2"/>
      <c r="J39" s="3"/>
      <c r="K39" s="3"/>
      <c r="L39" s="3"/>
      <c r="M39" s="3"/>
      <c r="N39" s="3"/>
      <c r="O39" s="2"/>
    </row>
  </sheetData>
  <mergeCells count="6">
    <mergeCell ref="A3:O3"/>
    <mergeCell ref="L4:N4"/>
    <mergeCell ref="L5:N5"/>
    <mergeCell ref="A36:I36"/>
    <mergeCell ref="A38:D38"/>
    <mergeCell ref="G38:J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EDE5-1347-4DE5-9A4C-E43C19F5E87C}">
  <dimension ref="A2:O39"/>
  <sheetViews>
    <sheetView workbookViewId="0">
      <selection activeCell="A36" sqref="A36:I36"/>
    </sheetView>
  </sheetViews>
  <sheetFormatPr defaultRowHeight="14.5" x14ac:dyDescent="0.35"/>
  <cols>
    <col min="1" max="1" width="4.1796875" bestFit="1" customWidth="1"/>
    <col min="2" max="2" width="12.54296875" bestFit="1" customWidth="1"/>
    <col min="3" max="3" width="17" bestFit="1" customWidth="1"/>
    <col min="4" max="4" width="8.81640625" bestFit="1" customWidth="1"/>
    <col min="5" max="5" width="15.26953125" bestFit="1" customWidth="1"/>
    <col min="6" max="6" width="26.1796875" bestFit="1" customWidth="1"/>
    <col min="7" max="7" width="10.54296875" bestFit="1" customWidth="1"/>
    <col min="8" max="8" width="24" bestFit="1" customWidth="1"/>
    <col min="9" max="9" width="8.26953125" style="1" customWidth="1"/>
    <col min="10" max="10" width="7.26953125" bestFit="1" customWidth="1"/>
    <col min="11" max="11" width="10.81640625" bestFit="1" customWidth="1"/>
    <col min="12" max="12" width="2.7265625" bestFit="1" customWidth="1"/>
    <col min="13" max="14" width="5.54296875" bestFit="1" customWidth="1"/>
    <col min="15" max="15" width="19.1796875" customWidth="1"/>
  </cols>
  <sheetData>
    <row r="2" spans="1:15" ht="15" thickBot="1" x14ac:dyDescent="0.4"/>
    <row r="3" spans="1:15" ht="26.5" thickBot="1" x14ac:dyDescent="0.65">
      <c r="A3" s="60" t="s">
        <v>49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</row>
    <row r="4" spans="1:15" ht="19" thickBot="1" x14ac:dyDescent="0.5">
      <c r="A4" s="2"/>
      <c r="B4" s="2"/>
      <c r="C4" s="2"/>
      <c r="D4" s="2"/>
      <c r="E4" s="3"/>
      <c r="F4" s="2"/>
      <c r="G4" s="2"/>
      <c r="H4" s="2"/>
      <c r="I4" s="3"/>
      <c r="J4" s="3"/>
      <c r="K4" s="3"/>
      <c r="L4" s="56"/>
      <c r="M4" s="56"/>
      <c r="N4" s="56"/>
      <c r="O4" s="2"/>
    </row>
    <row r="5" spans="1:15" ht="35.25" customHeight="1" thickBot="1" x14ac:dyDescent="0.4">
      <c r="A5" s="12" t="s">
        <v>0</v>
      </c>
      <c r="B5" s="13" t="s">
        <v>3</v>
      </c>
      <c r="C5" s="13" t="s">
        <v>4</v>
      </c>
      <c r="D5" s="13" t="s">
        <v>8</v>
      </c>
      <c r="E5" s="14" t="s">
        <v>5</v>
      </c>
      <c r="F5" s="13" t="s">
        <v>2</v>
      </c>
      <c r="G5" s="13" t="s">
        <v>10</v>
      </c>
      <c r="H5" s="13" t="s">
        <v>11</v>
      </c>
      <c r="I5" s="15" t="s">
        <v>12</v>
      </c>
      <c r="J5" s="14" t="s">
        <v>6</v>
      </c>
      <c r="K5" s="14" t="s">
        <v>7</v>
      </c>
      <c r="L5" s="57" t="s">
        <v>13</v>
      </c>
      <c r="M5" s="57"/>
      <c r="N5" s="57"/>
      <c r="O5" s="16" t="s">
        <v>14</v>
      </c>
    </row>
    <row r="6" spans="1:15" ht="24" customHeight="1" x14ac:dyDescent="0.45">
      <c r="A6" s="17">
        <v>1</v>
      </c>
      <c r="B6" s="9" t="s">
        <v>19</v>
      </c>
      <c r="C6" s="9" t="s">
        <v>54</v>
      </c>
      <c r="D6" s="10" t="s">
        <v>9</v>
      </c>
      <c r="E6" s="10" t="s">
        <v>21</v>
      </c>
      <c r="F6" s="9" t="s">
        <v>48</v>
      </c>
      <c r="G6" s="9"/>
      <c r="H6" s="9" t="s">
        <v>50</v>
      </c>
      <c r="I6" s="8"/>
      <c r="J6" s="8">
        <v>550</v>
      </c>
      <c r="K6" s="8">
        <v>600</v>
      </c>
      <c r="L6" s="11">
        <v>3</v>
      </c>
      <c r="M6" s="11">
        <v>3.5</v>
      </c>
      <c r="N6" s="11">
        <v>3.8</v>
      </c>
      <c r="O6" s="18"/>
    </row>
    <row r="7" spans="1:15" ht="24" customHeight="1" x14ac:dyDescent="0.45">
      <c r="A7" s="19">
        <f>+A6+1</f>
        <v>2</v>
      </c>
      <c r="B7" s="6" t="s">
        <v>19</v>
      </c>
      <c r="C7" s="6" t="s">
        <v>54</v>
      </c>
      <c r="D7" s="7" t="s">
        <v>9</v>
      </c>
      <c r="E7" s="7" t="s">
        <v>21</v>
      </c>
      <c r="F7" s="6" t="s">
        <v>48</v>
      </c>
      <c r="G7" s="6"/>
      <c r="H7" s="6" t="s">
        <v>51</v>
      </c>
      <c r="I7" s="5"/>
      <c r="J7" s="5">
        <v>500</v>
      </c>
      <c r="K7" s="5">
        <v>600</v>
      </c>
      <c r="L7" s="4">
        <v>3</v>
      </c>
      <c r="M7" s="4">
        <v>3.5</v>
      </c>
      <c r="N7" s="4">
        <v>3.8</v>
      </c>
      <c r="O7" s="20"/>
    </row>
    <row r="8" spans="1:15" ht="24" customHeight="1" x14ac:dyDescent="0.45">
      <c r="A8" s="19">
        <f t="shared" ref="A8:A35" si="0">+A7+1</f>
        <v>3</v>
      </c>
      <c r="B8" s="6" t="s">
        <v>19</v>
      </c>
      <c r="C8" s="6" t="s">
        <v>54</v>
      </c>
      <c r="D8" s="7" t="s">
        <v>9</v>
      </c>
      <c r="E8" s="7" t="s">
        <v>21</v>
      </c>
      <c r="F8" s="6" t="s">
        <v>48</v>
      </c>
      <c r="G8" s="6"/>
      <c r="H8" s="6" t="s">
        <v>52</v>
      </c>
      <c r="I8" s="5"/>
      <c r="J8" s="5">
        <v>550</v>
      </c>
      <c r="K8" s="5">
        <v>600</v>
      </c>
      <c r="L8" s="4">
        <v>3</v>
      </c>
      <c r="M8" s="4">
        <v>3.5</v>
      </c>
      <c r="N8" s="4">
        <v>3.8</v>
      </c>
      <c r="O8" s="20"/>
    </row>
    <row r="9" spans="1:15" ht="24" customHeight="1" thickBot="1" x14ac:dyDescent="0.5">
      <c r="A9" s="19">
        <f t="shared" si="0"/>
        <v>4</v>
      </c>
      <c r="B9" s="6" t="s">
        <v>19</v>
      </c>
      <c r="C9" s="6" t="s">
        <v>54</v>
      </c>
      <c r="D9" s="7" t="s">
        <v>9</v>
      </c>
      <c r="E9" s="7" t="s">
        <v>21</v>
      </c>
      <c r="F9" s="6" t="s">
        <v>48</v>
      </c>
      <c r="G9" s="6"/>
      <c r="H9" s="6" t="s">
        <v>53</v>
      </c>
      <c r="I9" s="5"/>
      <c r="J9" s="5">
        <v>500</v>
      </c>
      <c r="K9" s="5">
        <v>600</v>
      </c>
      <c r="L9" s="4">
        <v>3</v>
      </c>
      <c r="M9" s="4">
        <v>3.5</v>
      </c>
      <c r="N9" s="4">
        <v>3.8</v>
      </c>
      <c r="O9" s="20"/>
    </row>
    <row r="10" spans="1:15" ht="24" hidden="1" customHeight="1" x14ac:dyDescent="0.45">
      <c r="A10" s="19">
        <f t="shared" si="0"/>
        <v>5</v>
      </c>
      <c r="B10" s="6"/>
      <c r="C10" s="6"/>
      <c r="D10" s="7"/>
      <c r="E10" s="7"/>
      <c r="F10" s="6"/>
      <c r="G10" s="6"/>
      <c r="H10" s="6"/>
      <c r="I10" s="5"/>
      <c r="J10" s="5"/>
      <c r="K10" s="5"/>
      <c r="L10" s="4"/>
      <c r="M10" s="4"/>
      <c r="N10" s="4"/>
      <c r="O10" s="20"/>
    </row>
    <row r="11" spans="1:15" ht="24" hidden="1" customHeight="1" x14ac:dyDescent="0.45">
      <c r="A11" s="19">
        <f t="shared" si="0"/>
        <v>6</v>
      </c>
      <c r="B11" s="6"/>
      <c r="C11" s="6"/>
      <c r="D11" s="7"/>
      <c r="E11" s="7"/>
      <c r="F11" s="6"/>
      <c r="G11" s="6"/>
      <c r="H11" s="6"/>
      <c r="I11" s="5"/>
      <c r="J11" s="5"/>
      <c r="K11" s="5"/>
      <c r="L11" s="4"/>
      <c r="M11" s="4"/>
      <c r="N11" s="4"/>
      <c r="O11" s="20"/>
    </row>
    <row r="12" spans="1:15" ht="24" hidden="1" customHeight="1" x14ac:dyDescent="0.45">
      <c r="A12" s="19">
        <f t="shared" si="0"/>
        <v>7</v>
      </c>
      <c r="B12" s="6"/>
      <c r="C12" s="6"/>
      <c r="D12" s="7"/>
      <c r="E12" s="7"/>
      <c r="F12" s="6"/>
      <c r="G12" s="6"/>
      <c r="H12" s="6"/>
      <c r="I12" s="5"/>
      <c r="J12" s="5"/>
      <c r="K12" s="5"/>
      <c r="L12" s="4"/>
      <c r="M12" s="4"/>
      <c r="N12" s="4"/>
      <c r="O12" s="20"/>
    </row>
    <row r="13" spans="1:15" ht="24" hidden="1" customHeight="1" x14ac:dyDescent="0.45">
      <c r="A13" s="19">
        <f t="shared" si="0"/>
        <v>8</v>
      </c>
      <c r="B13" s="6"/>
      <c r="C13" s="6"/>
      <c r="D13" s="7"/>
      <c r="E13" s="7"/>
      <c r="F13" s="6"/>
      <c r="G13" s="6"/>
      <c r="H13" s="6"/>
      <c r="I13" s="5"/>
      <c r="J13" s="5"/>
      <c r="K13" s="5"/>
      <c r="L13" s="4"/>
      <c r="M13" s="4"/>
      <c r="N13" s="4"/>
      <c r="O13" s="20"/>
    </row>
    <row r="14" spans="1:15" ht="24" hidden="1" customHeight="1" x14ac:dyDescent="0.45">
      <c r="A14" s="19">
        <f t="shared" si="0"/>
        <v>9</v>
      </c>
      <c r="B14" s="6"/>
      <c r="C14" s="6"/>
      <c r="D14" s="7"/>
      <c r="E14" s="7"/>
      <c r="F14" s="6"/>
      <c r="G14" s="6"/>
      <c r="H14" s="6"/>
      <c r="I14" s="5"/>
      <c r="J14" s="5"/>
      <c r="K14" s="5"/>
      <c r="L14" s="4"/>
      <c r="M14" s="4"/>
      <c r="N14" s="4"/>
      <c r="O14" s="20"/>
    </row>
    <row r="15" spans="1:15" ht="24" hidden="1" customHeight="1" thickBot="1" x14ac:dyDescent="0.5">
      <c r="A15" s="22">
        <f t="shared" si="0"/>
        <v>10</v>
      </c>
      <c r="B15" s="23"/>
      <c r="C15" s="23"/>
      <c r="D15" s="24"/>
      <c r="E15" s="24"/>
      <c r="F15" s="23"/>
      <c r="G15" s="23"/>
      <c r="H15" s="23"/>
      <c r="I15" s="25"/>
      <c r="J15" s="25"/>
      <c r="K15" s="25"/>
      <c r="L15" s="21"/>
      <c r="M15" s="21"/>
      <c r="N15" s="21"/>
      <c r="O15" s="26"/>
    </row>
    <row r="16" spans="1:15" ht="18.5" hidden="1" x14ac:dyDescent="0.45">
      <c r="A16" s="17">
        <f t="shared" si="0"/>
        <v>11</v>
      </c>
      <c r="B16" s="9"/>
      <c r="C16" s="9"/>
      <c r="D16" s="10"/>
      <c r="E16" s="10"/>
      <c r="F16" s="9"/>
      <c r="G16" s="9"/>
      <c r="H16" s="9"/>
      <c r="I16" s="8"/>
      <c r="J16" s="8"/>
      <c r="K16" s="8"/>
      <c r="L16" s="11"/>
      <c r="M16" s="11"/>
      <c r="N16" s="11"/>
      <c r="O16" s="18"/>
    </row>
    <row r="17" spans="1:15" ht="18.5" hidden="1" x14ac:dyDescent="0.45">
      <c r="A17" s="19">
        <f t="shared" si="0"/>
        <v>12</v>
      </c>
      <c r="B17" s="6"/>
      <c r="C17" s="6"/>
      <c r="D17" s="7"/>
      <c r="E17" s="7"/>
      <c r="F17" s="6"/>
      <c r="G17" s="6"/>
      <c r="H17" s="6"/>
      <c r="I17" s="5"/>
      <c r="J17" s="5"/>
      <c r="K17" s="5"/>
      <c r="L17" s="4"/>
      <c r="M17" s="4"/>
      <c r="N17" s="4"/>
      <c r="O17" s="20"/>
    </row>
    <row r="18" spans="1:15" ht="18.5" hidden="1" x14ac:dyDescent="0.45">
      <c r="A18" s="19">
        <f t="shared" si="0"/>
        <v>13</v>
      </c>
      <c r="B18" s="6"/>
      <c r="C18" s="6"/>
      <c r="D18" s="7"/>
      <c r="E18" s="7"/>
      <c r="F18" s="6"/>
      <c r="G18" s="6"/>
      <c r="H18" s="6"/>
      <c r="I18" s="5"/>
      <c r="J18" s="5"/>
      <c r="K18" s="5"/>
      <c r="L18" s="4"/>
      <c r="M18" s="4"/>
      <c r="N18" s="4"/>
      <c r="O18" s="20"/>
    </row>
    <row r="19" spans="1:15" ht="18.5" hidden="1" x14ac:dyDescent="0.45">
      <c r="A19" s="19">
        <f t="shared" si="0"/>
        <v>14</v>
      </c>
      <c r="B19" s="6"/>
      <c r="C19" s="6"/>
      <c r="D19" s="7"/>
      <c r="E19" s="7"/>
      <c r="F19" s="6"/>
      <c r="G19" s="6"/>
      <c r="H19" s="6"/>
      <c r="I19" s="5"/>
      <c r="J19" s="5"/>
      <c r="K19" s="5"/>
      <c r="L19" s="4"/>
      <c r="M19" s="4"/>
      <c r="N19" s="4"/>
      <c r="O19" s="20"/>
    </row>
    <row r="20" spans="1:15" ht="18.5" hidden="1" x14ac:dyDescent="0.45">
      <c r="A20" s="19">
        <f t="shared" si="0"/>
        <v>15</v>
      </c>
      <c r="B20" s="6"/>
      <c r="C20" s="6"/>
      <c r="D20" s="7"/>
      <c r="E20" s="7"/>
      <c r="F20" s="6"/>
      <c r="G20" s="6"/>
      <c r="H20" s="6"/>
      <c r="I20" s="5"/>
      <c r="J20" s="5"/>
      <c r="K20" s="5"/>
      <c r="L20" s="4"/>
      <c r="M20" s="4"/>
      <c r="N20" s="4"/>
      <c r="O20" s="20"/>
    </row>
    <row r="21" spans="1:15" ht="18.5" hidden="1" x14ac:dyDescent="0.45">
      <c r="A21" s="19">
        <f t="shared" si="0"/>
        <v>16</v>
      </c>
      <c r="B21" s="6"/>
      <c r="C21" s="6"/>
      <c r="D21" s="7"/>
      <c r="E21" s="7"/>
      <c r="F21" s="6"/>
      <c r="G21" s="6"/>
      <c r="H21" s="6"/>
      <c r="I21" s="5"/>
      <c r="J21" s="5"/>
      <c r="K21" s="5"/>
      <c r="L21" s="4"/>
      <c r="M21" s="4"/>
      <c r="N21" s="4"/>
      <c r="O21" s="20"/>
    </row>
    <row r="22" spans="1:15" ht="18.5" hidden="1" x14ac:dyDescent="0.45">
      <c r="A22" s="19">
        <f t="shared" si="0"/>
        <v>17</v>
      </c>
      <c r="B22" s="6"/>
      <c r="C22" s="6"/>
      <c r="D22" s="7"/>
      <c r="E22" s="7"/>
      <c r="F22" s="6"/>
      <c r="G22" s="6"/>
      <c r="H22" s="6"/>
      <c r="I22" s="5"/>
      <c r="J22" s="5"/>
      <c r="K22" s="5"/>
      <c r="L22" s="4"/>
      <c r="M22" s="4"/>
      <c r="N22" s="4"/>
      <c r="O22" s="20"/>
    </row>
    <row r="23" spans="1:15" ht="18.5" hidden="1" x14ac:dyDescent="0.45">
      <c r="A23" s="19">
        <f t="shared" si="0"/>
        <v>18</v>
      </c>
      <c r="B23" s="6"/>
      <c r="C23" s="6"/>
      <c r="D23" s="7"/>
      <c r="E23" s="7"/>
      <c r="F23" s="6"/>
      <c r="G23" s="6"/>
      <c r="H23" s="6"/>
      <c r="I23" s="5"/>
      <c r="J23" s="5"/>
      <c r="K23" s="5"/>
      <c r="L23" s="4"/>
      <c r="M23" s="4"/>
      <c r="N23" s="4"/>
      <c r="O23" s="20"/>
    </row>
    <row r="24" spans="1:15" ht="18.5" hidden="1" x14ac:dyDescent="0.45">
      <c r="A24" s="19">
        <f t="shared" si="0"/>
        <v>19</v>
      </c>
      <c r="B24" s="6"/>
      <c r="C24" s="6"/>
      <c r="D24" s="7"/>
      <c r="E24" s="7"/>
      <c r="F24" s="6"/>
      <c r="G24" s="6"/>
      <c r="H24" s="6"/>
      <c r="I24" s="5"/>
      <c r="J24" s="5"/>
      <c r="K24" s="5"/>
      <c r="L24" s="4"/>
      <c r="M24" s="4"/>
      <c r="N24" s="4"/>
      <c r="O24" s="20"/>
    </row>
    <row r="25" spans="1:15" ht="18.5" hidden="1" x14ac:dyDescent="0.45">
      <c r="A25" s="19">
        <f t="shared" si="0"/>
        <v>20</v>
      </c>
      <c r="B25" s="6"/>
      <c r="C25" s="6"/>
      <c r="D25" s="7"/>
      <c r="E25" s="7"/>
      <c r="F25" s="6"/>
      <c r="G25" s="6"/>
      <c r="H25" s="6"/>
      <c r="I25" s="5"/>
      <c r="J25" s="5"/>
      <c r="K25" s="5"/>
      <c r="L25" s="4"/>
      <c r="M25" s="4"/>
      <c r="N25" s="4"/>
      <c r="O25" s="20"/>
    </row>
    <row r="26" spans="1:15" ht="18.5" hidden="1" x14ac:dyDescent="0.45">
      <c r="A26" s="19">
        <f t="shared" si="0"/>
        <v>21</v>
      </c>
      <c r="B26" s="6"/>
      <c r="C26" s="6"/>
      <c r="D26" s="7"/>
      <c r="E26" s="7"/>
      <c r="F26" s="6"/>
      <c r="G26" s="6"/>
      <c r="H26" s="6"/>
      <c r="I26" s="5"/>
      <c r="J26" s="5"/>
      <c r="K26" s="5"/>
      <c r="L26" s="4"/>
      <c r="M26" s="4"/>
      <c r="N26" s="4"/>
      <c r="O26" s="20"/>
    </row>
    <row r="27" spans="1:15" ht="18.5" hidden="1" x14ac:dyDescent="0.45">
      <c r="A27" s="19">
        <f t="shared" si="0"/>
        <v>22</v>
      </c>
      <c r="B27" s="6"/>
      <c r="C27" s="6"/>
      <c r="D27" s="7"/>
      <c r="E27" s="7"/>
      <c r="F27" s="6"/>
      <c r="G27" s="6"/>
      <c r="H27" s="6"/>
      <c r="I27" s="5"/>
      <c r="J27" s="5"/>
      <c r="K27" s="5"/>
      <c r="L27" s="4"/>
      <c r="M27" s="4"/>
      <c r="N27" s="4"/>
      <c r="O27" s="20"/>
    </row>
    <row r="28" spans="1:15" ht="18.5" hidden="1" x14ac:dyDescent="0.45">
      <c r="A28" s="19">
        <f t="shared" si="0"/>
        <v>23</v>
      </c>
      <c r="B28" s="6"/>
      <c r="C28" s="6"/>
      <c r="D28" s="7"/>
      <c r="E28" s="7"/>
      <c r="F28" s="6"/>
      <c r="G28" s="6"/>
      <c r="H28" s="6"/>
      <c r="I28" s="5"/>
      <c r="J28" s="5"/>
      <c r="K28" s="5"/>
      <c r="L28" s="4"/>
      <c r="M28" s="4"/>
      <c r="N28" s="4"/>
      <c r="O28" s="20"/>
    </row>
    <row r="29" spans="1:15" ht="18.5" hidden="1" x14ac:dyDescent="0.45">
      <c r="A29" s="19">
        <f t="shared" si="0"/>
        <v>24</v>
      </c>
      <c r="B29" s="6"/>
      <c r="C29" s="6"/>
      <c r="D29" s="7"/>
      <c r="E29" s="7"/>
      <c r="F29" s="6"/>
      <c r="G29" s="6"/>
      <c r="H29" s="6"/>
      <c r="I29" s="5"/>
      <c r="J29" s="5"/>
      <c r="K29" s="5"/>
      <c r="L29" s="4"/>
      <c r="M29" s="4"/>
      <c r="N29" s="4"/>
      <c r="O29" s="20"/>
    </row>
    <row r="30" spans="1:15" ht="18.5" hidden="1" x14ac:dyDescent="0.45">
      <c r="A30" s="19">
        <f t="shared" si="0"/>
        <v>25</v>
      </c>
      <c r="B30" s="6"/>
      <c r="C30" s="6"/>
      <c r="D30" s="7"/>
      <c r="E30" s="7"/>
      <c r="F30" s="6"/>
      <c r="G30" s="6"/>
      <c r="H30" s="6"/>
      <c r="I30" s="5"/>
      <c r="J30" s="5"/>
      <c r="K30" s="5"/>
      <c r="L30" s="4"/>
      <c r="M30" s="4"/>
      <c r="N30" s="4"/>
      <c r="O30" s="20"/>
    </row>
    <row r="31" spans="1:15" ht="18.5" hidden="1" x14ac:dyDescent="0.45">
      <c r="A31" s="19">
        <f t="shared" si="0"/>
        <v>26</v>
      </c>
      <c r="B31" s="6"/>
      <c r="C31" s="6"/>
      <c r="D31" s="7"/>
      <c r="E31" s="7"/>
      <c r="F31" s="6"/>
      <c r="G31" s="6"/>
      <c r="H31" s="6"/>
      <c r="I31" s="5"/>
      <c r="J31" s="5"/>
      <c r="K31" s="5"/>
      <c r="L31" s="4"/>
      <c r="M31" s="4"/>
      <c r="N31" s="4"/>
      <c r="O31" s="20"/>
    </row>
    <row r="32" spans="1:15" ht="18.5" hidden="1" x14ac:dyDescent="0.45">
      <c r="A32" s="19">
        <f t="shared" si="0"/>
        <v>27</v>
      </c>
      <c r="B32" s="6"/>
      <c r="C32" s="6"/>
      <c r="D32" s="7"/>
      <c r="E32" s="7"/>
      <c r="F32" s="6"/>
      <c r="G32" s="6"/>
      <c r="H32" s="6"/>
      <c r="I32" s="5"/>
      <c r="J32" s="5"/>
      <c r="K32" s="5"/>
      <c r="L32" s="4"/>
      <c r="M32" s="4"/>
      <c r="N32" s="4"/>
      <c r="O32" s="20"/>
    </row>
    <row r="33" spans="1:15" ht="18.5" hidden="1" x14ac:dyDescent="0.45">
      <c r="A33" s="19">
        <f t="shared" si="0"/>
        <v>28</v>
      </c>
      <c r="B33" s="6"/>
      <c r="C33" s="6"/>
      <c r="D33" s="7"/>
      <c r="E33" s="7"/>
      <c r="F33" s="6"/>
      <c r="G33" s="6"/>
      <c r="H33" s="6"/>
      <c r="I33" s="5"/>
      <c r="J33" s="5"/>
      <c r="K33" s="5"/>
      <c r="L33" s="4"/>
      <c r="M33" s="4"/>
      <c r="N33" s="4"/>
      <c r="O33" s="20"/>
    </row>
    <row r="34" spans="1:15" ht="18.5" hidden="1" x14ac:dyDescent="0.45">
      <c r="A34" s="19">
        <f t="shared" si="0"/>
        <v>29</v>
      </c>
      <c r="B34" s="6"/>
      <c r="C34" s="6"/>
      <c r="D34" s="7"/>
      <c r="E34" s="7"/>
      <c r="F34" s="6"/>
      <c r="G34" s="6"/>
      <c r="H34" s="6"/>
      <c r="I34" s="5"/>
      <c r="J34" s="5"/>
      <c r="K34" s="5"/>
      <c r="L34" s="4"/>
      <c r="M34" s="4"/>
      <c r="N34" s="4"/>
      <c r="O34" s="20"/>
    </row>
    <row r="35" spans="1:15" ht="18.5" hidden="1" x14ac:dyDescent="0.45">
      <c r="A35" s="27">
        <f t="shared" si="0"/>
        <v>30</v>
      </c>
      <c r="B35" s="28"/>
      <c r="C35" s="28"/>
      <c r="D35" s="29"/>
      <c r="E35" s="29"/>
      <c r="F35" s="28"/>
      <c r="G35" s="28"/>
      <c r="H35" s="28"/>
      <c r="I35" s="30"/>
      <c r="J35" s="30"/>
      <c r="K35" s="30"/>
      <c r="L35" s="31"/>
      <c r="M35" s="31"/>
      <c r="N35" s="31"/>
      <c r="O35" s="32"/>
    </row>
    <row r="36" spans="1:15" ht="19" thickBot="1" x14ac:dyDescent="0.5">
      <c r="A36" s="64" t="s">
        <v>1</v>
      </c>
      <c r="B36" s="65"/>
      <c r="C36" s="65"/>
      <c r="D36" s="65"/>
      <c r="E36" s="65"/>
      <c r="F36" s="65"/>
      <c r="G36" s="65"/>
      <c r="H36" s="65"/>
      <c r="I36" s="65"/>
      <c r="J36" s="33">
        <f>SUM(J6:J35)</f>
        <v>2100</v>
      </c>
      <c r="K36" s="33">
        <f>SUM(K6:K35)</f>
        <v>2400</v>
      </c>
      <c r="L36" s="33"/>
      <c r="M36" s="33"/>
      <c r="N36" s="33"/>
      <c r="O36" s="34"/>
    </row>
    <row r="37" spans="1:15" ht="18.5" x14ac:dyDescent="0.45">
      <c r="A37" s="2"/>
      <c r="B37" s="2"/>
      <c r="C37" s="2"/>
      <c r="D37" s="2"/>
      <c r="E37" s="3"/>
      <c r="F37" s="2"/>
      <c r="G37" s="2"/>
      <c r="H37" s="2"/>
      <c r="I37" s="3"/>
      <c r="J37" s="3"/>
      <c r="K37" s="3"/>
      <c r="L37" s="3"/>
      <c r="M37" s="3"/>
      <c r="N37" s="3"/>
      <c r="O37" s="2"/>
    </row>
    <row r="38" spans="1:15" ht="19" thickBot="1" x14ac:dyDescent="0.5">
      <c r="A38" s="63" t="s">
        <v>16</v>
      </c>
      <c r="B38" s="63"/>
      <c r="C38" s="63"/>
      <c r="D38" s="63"/>
      <c r="E38" s="3"/>
      <c r="F38" s="2"/>
      <c r="G38" s="63" t="s">
        <v>17</v>
      </c>
      <c r="H38" s="63"/>
      <c r="I38" s="63"/>
      <c r="J38" s="63"/>
      <c r="K38" s="3"/>
      <c r="L38" s="3"/>
      <c r="M38" s="3"/>
      <c r="N38" s="3"/>
      <c r="O38" s="2"/>
    </row>
    <row r="39" spans="1:15" ht="18.5" x14ac:dyDescent="0.45">
      <c r="A39" s="2"/>
      <c r="B39" s="2"/>
      <c r="C39" s="2"/>
      <c r="D39" s="2"/>
      <c r="E39" s="3"/>
      <c r="F39" s="2"/>
      <c r="G39" s="2"/>
      <c r="H39" s="2"/>
      <c r="I39" s="3"/>
      <c r="J39" s="3"/>
      <c r="K39" s="3"/>
      <c r="L39" s="3"/>
      <c r="M39" s="3"/>
      <c r="N39" s="3"/>
      <c r="O39" s="2"/>
    </row>
  </sheetData>
  <mergeCells count="6">
    <mergeCell ref="A3:O3"/>
    <mergeCell ref="L4:N4"/>
    <mergeCell ref="L5:N5"/>
    <mergeCell ref="A36:I36"/>
    <mergeCell ref="A38:D38"/>
    <mergeCell ref="G38:J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Elite</vt:lpstr>
      <vt:lpstr>Waseem </vt:lpstr>
      <vt:lpstr>Dolphine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cp:lastPrinted>2026-10-01T05:30:27Z</cp:lastPrinted>
  <dcterms:created xsi:type="dcterms:W3CDTF">2015-06-05T18:17:20Z</dcterms:created>
  <dcterms:modified xsi:type="dcterms:W3CDTF">2026-10-01T07:04:46Z</dcterms:modified>
</cp:coreProperties>
</file>