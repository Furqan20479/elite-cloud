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C19E358-5F50-4270-86C0-36B659C8A32E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6" i="48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<sst xmlns="http://schemas.openxmlformats.org/spreadsheetml/2006/main" count="3977" uniqueCount="519">
  <si>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</si>
  <si>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</si>
  <si>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</si>
  <si>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</si>
  <si>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</si>
  <si>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</si>
  <si>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</si>
  <si>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</si>
  <si>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</si>
  <si>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</si>
  <si>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</si>
  <si>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</si>
  <si>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</si>
  <si>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</si>
  <si>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</si>
  <si>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</si>
  <si>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</si>
  <si>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</si>
  <si>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</si>
  <si>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</si>
  <si>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</si>
  <si>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</si>
  <si>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</si>
  <si>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</si>
  <si>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</si>
  <si>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</si>
  <si>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</si>
  <si>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</si>
  <si>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</si>
  <si>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</si>
  <si>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</si>
  <si>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</si>
  <si>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</si>
  <si>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</si>
  <si>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</si>
  <si>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</si>
  <si>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</si>
  <si>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</si>
  <si>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</si>
  <si>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</si>
  <si>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</si>
  <si>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</si>
  <si>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</si>
  <si>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</si>
  <si>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</si>
  <si>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</si>
  <si>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</si>
  <si>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</si>
  <si>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</si>
  <si>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</si>
  <si>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</si>
  <si>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</si>
  <si>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</si>
  <si>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</si>
  <si>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</si>
  <si>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</si>
  <si>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</si>
  <si>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</si>
  <si>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</si>
  <si>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</si>
  <si>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</si>
  <si>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</si>
  <si>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</si>
  <si>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</si>
  <si>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</si>
  <si>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</si>
  <si>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</si>
  <si>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</si>
  <si>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</si>
  <si>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</si>
  <si>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</si>
  <si>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</si>
  <si>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</si>
  <si>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</si>
  <si>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</si>
  <si>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</si>
  <si>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</si>
  <si>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</si>
  <si>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</si>
  <si>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</si>
  <si>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</si>
  <si>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</si>
  <si>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</si>
  <si>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</si>
  <si>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</si>
  <si>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</si>
  <si>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</si>
  <si>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</si>
  <si>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</si>
  <si>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</si>
  <si>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</si>
  <si>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</si>
  <si>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</si>
  <si>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</si>
  <si>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</si>
  <si>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</si>
  <si>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</si>
  <si>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</si>
  <si>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</si>
  <si>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</si>
  <si>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</si>
  <si>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</si>
  <si>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</si>
  <si>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</si>
  <si>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</si>
  <si>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</si>
  <si>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</si>
  <si>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</si>
  <si>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</si>
  <si>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</si>
  <si>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</si>
  <si>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</si>
  <si>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</si>
  <si>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</si>
  <si>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</si>
  <si>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</si>
  <si>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</si>
  <si>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</si>
  <si>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</si>
  <si>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</si>
  <si>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</si>
  <si>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</si>
  <si>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</si>
  <si>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</si>
  <si>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</si>
  <si>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</si>
  <si>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</si>
  <si>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</si>
  <si>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</si>
  <si>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</si>
  <si>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</si>
  <si>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</si>
  <si>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</si>
  <si>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</si>
  <si>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</si>
  <si>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</si>
  <si>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</si>
  <si>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</si>
  <si>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</si>
  <si>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</si>
  <si>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</si>
  <si>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</si>
  <si>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</si>
  <si>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</si>
  <si>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</si>
  <si>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</si>
  <si>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</si>
  <si>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</si>
  <si>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</si>
  <si>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</si>
  <si>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</si>
  <si>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</si>
  <si>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</si>
  <si>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</si>
  <si>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</si>
  <si>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</si>
  <si>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</si>
  <si>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</si>
  <si>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</si>
  <si>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</si>
  <si>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</si>
  <si>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</si>
  <si>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</si>
  <si>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</si>
  <si>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</si>
  <si>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</si>
  <si>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</si>
  <si>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</si>
  <si>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</si>
  <si>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</si>
  <si>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</si>
  <si>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</si>
  <si>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</si>
  <si>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</si>
  <si>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</si>
  <si>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</si>
  <si>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</si>
  <si>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</si>
  <si>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</si>
  <si>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</si>
  <si>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</si>
  <si>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</si>
  <si>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</si>
  <si>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</si>
  <si>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</si>
  <si>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</si>
  <si>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</si>
  <si>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</si>
  <si>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</si>
  <si>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</si>
  <si>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</si>
  <si>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</si>
  <si>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</si>
  <si>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</si>
  <si>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</si>
  <si>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</si>
  <si>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</si>
  <si>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</si>
  <si>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</si>
  <si>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</si>
  <si>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</si>
  <si>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</si>
  <si>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</si>
  <si>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</si>
  <si>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</si>
  <si>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</si>
  <si>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</si>
  <si>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</si>
  <si>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</si>
  <si>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</si>
  <si>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</si>
  <si>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</si>
  <si>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</si>
  <si>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</si>
  <si>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</si>
  <si>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</si>
  <si>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</si>
  <si>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</si>
  <si>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</si>
  <si>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</si>
  <si>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</si>
  <si>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</si>
  <si>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</si>
  <si>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</si>
  <si>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</si>
  <si>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</si>
  <si>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</si>
  <si>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</si>
  <si>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</si>
  <si>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</si>
  <si>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</si>
  <si>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</si>
  <si>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</si>
  <si>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</si>
  <si>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</si>
  <si>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</si>
  <si>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</si>
  <si>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</si>
  <si>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</si>
  <si>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</si>
  <si>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</si>
  <si>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</si>
  <si>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</si>
  <si>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</si>
  <si>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</si>
  <si>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</si>
  <si>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</si>
  <si>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</si>
  <si>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</si>
  <si>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</si>
  <si>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</si>
  <si>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</si>
  <si>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</si>
  <si>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</si>
  <si>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</si>
  <si>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</si>
  <si>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</si>
  <si>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</si>
  <si>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</si>
  <si>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</si>
  <si>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</si>
  <si>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</si>
  <si>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</si>
  <si>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</si>
  <si>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</si>
  <si>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</si>
  <si>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</si>
  <si>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</si>
  <si>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</si>
  <si>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</si>
  <si>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</si>
  <si>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</si>
  <si>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</si>
  <si>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</si>
  <si>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</si>
  <si>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</si>
  <si>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</si>
  <si>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</si>
  <si>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</si>
  <si>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</si>
  <si>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</si>
  <si>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</si>
  <si>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</si>
  <si>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</si>
  <si>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</si>
  <si>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</si>
  <si>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</si>
  <si>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</si>
  <si>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</si>
  <si>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</si>
  <si>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</si>
  <si>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</si>
  <si>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</si>
  <si>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</si>
  <si>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</si>
  <si>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</si>
  <si>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</si>
  <si>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</si>
  <si>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</si>
  <si>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</si>
  <si>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</si>
  <si>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</si>
  <si>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</si>
  <si>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</si>
  <si>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</si>
  <si>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</si>
  <si>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</si>
  <si>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</si>
  <si>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</si>
  <si>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</si>
  <si>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</si>
  <si>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</si>
  <si>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</si>
  <si>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</si>
  <si>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</si>
  <si>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</si>
  <si>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</si>
  <si>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</si>
  <si>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</si>
  <si>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</si>
  <si>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</si>
  <si>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</si>
  <si>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</si>
  <si>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</si>
  <si>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</si>
  <si>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</si>
  <si>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</si>
  <si>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</si>
  <si>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</si>
  <si>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</si>
  <si>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</si>
  <si>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</si>
  <si>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</si>
  <si>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</si>
  <si>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</si>
  <si>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</si>
  <si>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</si>
  <si>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</si>
  <si>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</si>
  <si>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</si>
  <si>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</si>
  <si>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</si>
  <si>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</si>
  <si>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</si>
  <si>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</si>
  <si>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</si>
  <si>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</si>
  <si>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</si>
  <si>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</si>
  <si>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</si>
  <si>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</si>
  <si>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</si>
  <si>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</si>
  <si>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</si>
  <si>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</si>
  <si>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</si>
  <si>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</si>
  <si>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</si>
  <si>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</si>
  <si>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</si>
  <si>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</si>
  <si>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</si>
  <si>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</si>
  <si>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</si>
  <si>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</si>
  <si>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</si>
  <si>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</si>
  <si>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</si>
  <si>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</si>
  <si>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</si>
  <si>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</si>
  <si>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</si>
  <si>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</si>
  <si>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</si>
  <si>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</si>
  <si>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</si>
  <si>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</si>
  <si>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</si>
  <si>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</si>
  <si>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</si>
  <si>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</si>
  <si>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</si>
  <si>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</si>
  <si>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</si>
  <si>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</si>
  <si>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</si>
  <si>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</si>
  <si>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</si>
  <si>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</si>
  <si>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</si>
  <si>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</si>
  <si>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</si>
  <si>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</si>
  <si>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</si>
  <si>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</si>
  <si>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</si>
  <si>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</si>
  <si>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</si>
  <si>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</si>
  <si>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</si>
  <si>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</si>
  <si>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</si>
  <si>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</si>
  <si>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</si>
  <si>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</si>
  <si>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</si>
  <si>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</si>
  <si>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</si>
  <si>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</si>
  <si>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</si>
  <si>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</si>
  <si>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</si>
  <si>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</si>
  <si>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</si>
  <si>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</si>
  <si>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</si>
  <si>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</si>
  <si>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</si>
  <si>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</si>
  <si>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</si>
  <si>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</si>
  <si>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</si>
  <si>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</si>
  <si>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</si>
  <si>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</si>
  <si>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</si>
  <si>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</si>
  <si>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</si>
  <si>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</si>
  <si>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</si>
  <si>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</si>
  <si>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</si>
  <si>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</si>
  <si>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</si>
  <si>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</si>
  <si>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</si>
  <si>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</si>
  <si>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</si>
  <si>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</si>
  <si>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</si>
  <si>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</si>
  <si>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</si>
  <si>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</si>
  <si>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</si>
  <si>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</si>
  <si>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</si>
  <si>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</si>
  <si>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</si>
  <si>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</si>
  <si>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</si>
  <si>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</si>
  <si>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</si>
  <si>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</si>
  <si>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</si>
  <si>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</si>
  <si>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</si>
  <si>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</si>
  <si>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</si>
  <si>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</si>
  <si>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</si>
  <si>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</si>
  <si>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</si>
  <si>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</si>
  <si>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</si>
  <si>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</si>
  <si>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</si>
  <si>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</si>
  <si>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</si>
  <si>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</si>
  <si>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</si>
  <si>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</si>
  <si>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</si>
  <si>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</si>
  <si>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</si>
  <si>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</si>
  <si>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</si>
  <si>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</si>
  <si>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</si>
  <si>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</si>
  <si>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</si>
  <si>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</si>
  <si>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</si>
  <si>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</si>
  <si>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</si>
  <si>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</si>
  <si>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</si>
  <si>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</si>
  <si>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</si>
  <si>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</si>
  <si>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</si>
  <si>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</si>
  <si>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</si>
  <si>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</si>
  <si>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</si>
  <si>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</si>
  <si>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</si>
  <si>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</si>
  <si>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</si>
  <si>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</si>
  <si>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</si>
  <si>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</si>
  <si>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</si>
  <si>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</si>
  <si>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</si>
  <si>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</si>
  <si>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</si>
  <si>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</si>
  <si>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</si>
  <si>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</si>
  <si>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</si>
  <si>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</si>
  <si>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</si>
  <si>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</si>
  <si>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</si>
  <si>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</si>
  <si>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 xml:space="preserve">Address: Behria Orchard </t>
  </si>
  <si>
    <t>Invoice No # : 15141</t>
  </si>
  <si>
    <t xml:space="preserve">Address:  Johar Town </t>
  </si>
  <si>
    <t>Invoice No # :1543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</si>
</sst>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46298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Jalal Sons </v>
      </c>
      <c r="T3" s="301">
        <f>+'1'!P35</f>
        <v>29324.569620603816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15675.731851271186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113</v>
      </c>
      <c r="I7" s="235">
        <f>(G7*D7)*F7+H7*F7</f>
        <v>5928.2624999999998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889.23937499999988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5039.0231249999997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1120.4237288135589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30.797234269067793</v>
      </c>
      <c r="P7" s="310">
        <f>M7+N7+O7</f>
        <v>6190.2440880826271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7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95</v>
      </c>
      <c r="I8" s="236">
        <f t="shared" ref="I8:I14" si="0">(G8*D8)*F8+H8*F8</f>
        <v>4983.9375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747.59062500000005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4236.3468750000002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941.94915254237253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25.891480137711859</v>
      </c>
      <c r="P8" s="311">
        <f t="shared" ref="P8:P15" si="2">M8+N8+O8</f>
        <v>5204.1875076800852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25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115</v>
      </c>
      <c r="I9" s="236">
        <f t="shared" si="0"/>
        <v>6033.1875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904.97812499999998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5128.2093750000004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1140.2542372881351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31.342318061440675</v>
      </c>
      <c r="P9" s="311">
        <f t="shared" si="2"/>
        <v>6299.8059303495766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5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1307.52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7409.2799999999988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45.283688135593216</v>
      </c>
      <c r="P10" s="311">
        <f t="shared" si="2"/>
        <v>9102.0213152542365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1307.52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7409.2799999999988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45.283688135593216</v>
      </c>
      <c r="P11" s="311">
        <f t="shared" si="2"/>
        <v>9102.0213152542365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1307.52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7409.2799999999988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45.283688135593216</v>
      </c>
      <c r="P12" s="311">
        <f t="shared" si="2"/>
        <v>9102.0213152542365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17.074999999999999</v>
      </c>
      <c r="H16" s="113">
        <f t="shared" ref="H16:M16" si="3">SUM(H7:H15)</f>
        <v>683</v>
      </c>
      <c r="I16" s="114">
        <f t="shared" si="3"/>
        <v>43095.787500000006</v>
      </c>
      <c r="J16" s="274">
        <f>SUM(J7:J15)</f>
        <v>6464.3681250000009</v>
      </c>
      <c r="K16" s="275">
        <f t="shared" si="3"/>
        <v>0</v>
      </c>
      <c r="L16" s="276">
        <f t="shared" si="3"/>
        <v>0</v>
      </c>
      <c r="M16" s="232">
        <f t="shared" si="3"/>
        <v>36631.419374999998</v>
      </c>
      <c r="N16" s="233">
        <f>SUM(N7:N15)</f>
        <v>8144.9999999999991</v>
      </c>
      <c r="O16" s="101">
        <f>SUM(O7:O15)</f>
        <v>223.882096875</v>
      </c>
      <c r="P16" s="113">
        <f>SUM(P7:P15)</f>
        <v>45000.301471874991</v>
      </c>
      <c r="Q16" s="128">
        <f>SUM(Q7:Q15)</f>
        <v>37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43095.787500000006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6464.3681250000009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36631.419375000005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8144.9999999999991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44776.419375000005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223.882096875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45000.301471875006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45000.301471875006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46296</v>
      </c>
      <c r="O5" s="367"/>
      <c r="P5" s="367"/>
      <c r="R5" s="85"/>
      <c r="S5" s="266"/>
    </row>
    <row r="6" spans="1:22 16383:16384" ht="17.2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73</v>
      </c>
      <c r="I16" s="235">
        <f>(G16*D16)*F16+H16*F16</f>
        <v>3829.7624999999998</v>
      </c>
      <c r="J16" s="271">
        <f>$I16*S16</f>
        <v>574.4643749999999</v>
      </c>
      <c r="K16" s="127">
        <f>$I16*T16</f>
        <v>0</v>
      </c>
      <c r="L16" s="118">
        <f>$I16*U16</f>
        <v>0</v>
      </c>
      <c r="M16" s="229">
        <f>I16-SUM(J16:L16)</f>
        <v>3255.2981249999998</v>
      </c>
      <c r="N16" s="248">
        <f>+(G16*D16+H16)*V16</f>
        <v>723.8135593220336</v>
      </c>
      <c r="O16" s="238">
        <f>(N16+M16)*$O$15</f>
        <v>19.895558421610168</v>
      </c>
      <c r="P16" s="310">
        <f>M16+N16+O16</f>
        <v>3999.0072427436435</v>
      </c>
      <c r="Q16" s="313">
        <v>7</v>
      </c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55</v>
      </c>
      <c r="I17" s="236">
        <f t="shared" ref="I17:I23" si="0">(G17*D17)*F17+H17*F17</f>
        <v>2885.4375</v>
      </c>
      <c r="J17" s="272">
        <f t="shared" ref="J17:L24" si="1">$I17*S17</f>
        <v>432.81562500000001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2452.6218749999998</v>
      </c>
      <c r="N17" s="277">
        <f t="shared" ref="N17:N24" si="3">+(G17*D17+H17)*V17</f>
        <v>545.33898305084722</v>
      </c>
      <c r="O17" s="239">
        <f t="shared" ref="O17:O24" si="4">(N17+M17)*$O$15</f>
        <v>14.989804290254236</v>
      </c>
      <c r="P17" s="311">
        <f t="shared" ref="P17:P24" si="5">M17+N17+O17</f>
        <v>3012.9506623411012</v>
      </c>
      <c r="Q17" s="156">
        <v>25</v>
      </c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75</v>
      </c>
      <c r="I18" s="236">
        <f t="shared" ref="I18:I21" si="7">(G18*D18)*F18+H18*F18</f>
        <v>3934.6875</v>
      </c>
      <c r="J18" s="272">
        <f t="shared" si="1"/>
        <v>590.203125</v>
      </c>
      <c r="K18" s="128">
        <f t="shared" si="1"/>
        <v>0</v>
      </c>
      <c r="L18" s="119">
        <f t="shared" si="1"/>
        <v>0</v>
      </c>
      <c r="M18" s="230">
        <f t="shared" si="2"/>
        <v>3344.484375</v>
      </c>
      <c r="N18" s="277">
        <f t="shared" si="3"/>
        <v>743.64406779660987</v>
      </c>
      <c r="O18" s="239">
        <f t="shared" si="4"/>
        <v>20.44064221398305</v>
      </c>
      <c r="P18" s="311">
        <f t="shared" si="5"/>
        <v>4108.569085010593</v>
      </c>
      <c r="Q18" s="156">
        <v>5</v>
      </c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871.68</v>
      </c>
      <c r="K19" s="128">
        <f t="shared" si="1"/>
        <v>0</v>
      </c>
      <c r="L19" s="119">
        <f t="shared" si="1"/>
        <v>0</v>
      </c>
      <c r="M19" s="230">
        <f t="shared" si="2"/>
        <v>4939.5199999999995</v>
      </c>
      <c r="N19" s="277">
        <f t="shared" si="3"/>
        <v>1098.3050847457628</v>
      </c>
      <c r="O19" s="239">
        <f t="shared" si="4"/>
        <v>30.189125423728811</v>
      </c>
      <c r="P19" s="311">
        <f t="shared" si="5"/>
        <v>6068.014210169491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871.68</v>
      </c>
      <c r="K20" s="128">
        <f t="shared" si="1"/>
        <v>0</v>
      </c>
      <c r="L20" s="119">
        <f t="shared" si="1"/>
        <v>0</v>
      </c>
      <c r="M20" s="230">
        <f t="shared" si="2"/>
        <v>4939.5199999999995</v>
      </c>
      <c r="N20" s="277">
        <f t="shared" si="3"/>
        <v>1098.3050847457628</v>
      </c>
      <c r="O20" s="239">
        <f t="shared" si="4"/>
        <v>30.189125423728811</v>
      </c>
      <c r="P20" s="311">
        <f t="shared" si="5"/>
        <v>6068.014210169491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871.68</v>
      </c>
      <c r="K21" s="128">
        <f t="shared" si="1"/>
        <v>0</v>
      </c>
      <c r="L21" s="119">
        <f t="shared" si="1"/>
        <v>0</v>
      </c>
      <c r="M21" s="230">
        <f t="shared" si="2"/>
        <v>4939.5199999999995</v>
      </c>
      <c r="N21" s="277">
        <f t="shared" si="3"/>
        <v>1098.3050847457628</v>
      </c>
      <c r="O21" s="239">
        <f t="shared" si="4"/>
        <v>30.189125423728811</v>
      </c>
      <c r="P21" s="311">
        <f t="shared" si="5"/>
        <v>6068.014210169491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443</v>
      </c>
      <c r="I25" s="114">
        <f t="shared" ref="I25:M25" si="10">SUM(I16:I24)</f>
        <v>28083.487500000003</v>
      </c>
      <c r="J25" s="274">
        <f>SUM(J16:J24)</f>
        <v>4212.5231249999997</v>
      </c>
      <c r="K25" s="275">
        <f t="shared" si="10"/>
        <v>0</v>
      </c>
      <c r="L25" s="276">
        <f t="shared" si="10"/>
        <v>0</v>
      </c>
      <c r="M25" s="232">
        <f t="shared" si="10"/>
        <v>23870.964375</v>
      </c>
      <c r="N25" s="233">
        <f>SUM(N16:N24)</f>
        <v>5307.7118644067787</v>
      </c>
      <c r="O25" s="101">
        <f>SUM(O16:O24)</f>
        <v>145.89338119703388</v>
      </c>
      <c r="P25" s="113">
        <f>SUM(P16:P24)</f>
        <v>29324.569620603812</v>
      </c>
      <c r="Q25" s="128">
        <f>SUM(Q16:Q24)</f>
        <v>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28083.487500000003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4212.5231249999997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23870.964375000003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5307.7118644067787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29178.676239406781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145.8933811970339</v>
      </c>
    </row>
    <row r="35" spans="2:16" ht="15.75" customHeight="1" thickBot="1" x14ac:dyDescent="0.4">
      <c r="N35" s="342" t="s">
        <v>88</v>
      </c>
      <c r="O35" s="343"/>
      <c r="P35" s="297">
        <f>+P33+P34</f>
        <v>29324.569620603816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518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46296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310">
        <f>M16+N16+O16</f>
        <v>2191.2368453389827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314.77499999999998</v>
      </c>
      <c r="K18" s="128">
        <f t="shared" si="1"/>
        <v>0</v>
      </c>
      <c r="L18" s="119">
        <f t="shared" si="1"/>
        <v>0</v>
      </c>
      <c r="M18" s="230">
        <f t="shared" si="2"/>
        <v>1783.7249999999999</v>
      </c>
      <c r="N18" s="277">
        <f t="shared" si="3"/>
        <v>396.61016949152526</v>
      </c>
      <c r="O18" s="239">
        <f t="shared" si="4"/>
        <v>10.901675847457625</v>
      </c>
      <c r="P18" s="311">
        <f t="shared" si="5"/>
        <v>2191.2368453389827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311">
        <f t="shared" si="5"/>
        <v>3034.0071050847455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2251.8449999999998</v>
      </c>
      <c r="K25" s="275">
        <f t="shared" si="7"/>
        <v>0</v>
      </c>
      <c r="L25" s="276">
        <f t="shared" si="7"/>
        <v>0</v>
      </c>
      <c r="M25" s="232">
        <f t="shared" si="7"/>
        <v>12760.455</v>
      </c>
      <c r="N25" s="233">
        <f>SUM(N16:N24)</f>
        <v>2837.2881355932195</v>
      </c>
      <c r="O25" s="101">
        <f>SUM(O16:O24)</f>
        <v>77.988715677966098</v>
      </c>
      <c r="P25" s="113">
        <f>SUM(P16:P24)</f>
        <v>15675.731851271184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15012.300000000001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2251.8449999999998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12760.455000000002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15597.74313559322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77.988715677966098</v>
      </c>
    </row>
    <row r="35" spans="2:16" ht="15.75" customHeight="1" thickBot="1" x14ac:dyDescent="0.4">
      <c r="N35" s="342" t="s">
        <v>88</v>
      </c>
      <c r="O35" s="343"/>
      <c r="P35" s="297">
        <f>+P33+P34</f>
        <v>15675.731851271186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46299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46298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2026-10-03T05:44:17Z</dcterms:modified>
</cp:coreProperties>
</file>