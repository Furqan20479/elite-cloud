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477C97D-0930-475D-8B61-43A4393159F1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<sst xmlns="http://schemas.openxmlformats.org/spreadsheetml/2006/main" count="3948" uniqueCount="521">
  <si>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</si>
  <si>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</si>
  <si>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</si>
  <si>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</si>
  <si>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</si>
  <si>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</si>
  <si>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</si>
  <si>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</si>
  <si>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</si>
  <si>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</si>
  <si>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</si>
  <si>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</si>
  <si>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</si>
  <si>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</si>
  <si>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</si>
  <si>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</si>
  <si>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</si>
  <si>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</si>
  <si>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</si>
  <si>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</si>
  <si>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</si>
  <si>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</si>
  <si>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</si>
  <si>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</si>
  <si>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</si>
  <si>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</si>
  <si>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</si>
  <si>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</si>
  <si>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</si>
  <si>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</si>
  <si>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</si>
  <si>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</si>
  <si>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</si>
  <si>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</si>
  <si>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</si>
  <si>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</si>
  <si>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</si>
  <si>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</si>
  <si>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</si>
  <si>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</si>
  <si>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</si>
  <si>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</si>
  <si>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</si>
  <si>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</si>
  <si>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</si>
  <si>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</si>
  <si>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</si>
  <si>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</si>
  <si>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</si>
  <si>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</si>
  <si>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</si>
  <si>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</si>
  <si>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</si>
  <si>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</si>
  <si>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</si>
  <si>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</si>
  <si>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</si>
  <si>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</si>
  <si>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</si>
  <si>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</si>
  <si>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</si>
  <si>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</si>
  <si>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</si>
  <si>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</si>
  <si>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</si>
  <si>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</si>
  <si>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</si>
  <si>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</si>
  <si>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</si>
  <si>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</si>
  <si>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</si>
  <si>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</si>
  <si>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</si>
  <si>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</si>
  <si>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</si>
  <si>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</si>
  <si>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</si>
  <si>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</si>
  <si>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</si>
  <si>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</si>
  <si>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</si>
  <si>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</si>
  <si>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</si>
  <si>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</si>
  <si>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</si>
  <si>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</si>
  <si>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</si>
  <si>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</si>
  <si>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</si>
  <si>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</si>
  <si>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</si>
  <si>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</si>
  <si>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</si>
  <si>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</si>
  <si>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</si>
  <si>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</si>
  <si>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</si>
  <si>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</si>
  <si>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</si>
  <si>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</si>
  <si>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</si>
  <si>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</si>
  <si>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</si>
  <si>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</si>
  <si>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</si>
  <si>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</si>
  <si>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</si>
  <si>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</si>
  <si>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</si>
  <si>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</si>
  <si>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</si>
  <si>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</si>
  <si>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</si>
  <si>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</si>
  <si>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</si>
  <si>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</si>
  <si>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</si>
  <si>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</si>
  <si>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</si>
  <si>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</si>
  <si>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</si>
  <si>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</si>
  <si>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</si>
  <si>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</si>
  <si>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</si>
  <si>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</si>
  <si>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</si>
  <si>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</si>
  <si>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</si>
  <si>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</si>
  <si>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</si>
  <si>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</si>
  <si>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</si>
  <si>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</si>
  <si>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</si>
  <si>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</si>
  <si>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</si>
  <si>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</si>
  <si>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</si>
  <si>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</si>
  <si>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</si>
  <si>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</si>
  <si>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</si>
  <si>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</si>
  <si>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</si>
  <si>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</si>
  <si>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</si>
  <si>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</si>
  <si>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</si>
  <si>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</si>
  <si>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</si>
  <si>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</si>
  <si>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</si>
  <si>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</si>
  <si>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</si>
  <si>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</si>
  <si>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</si>
  <si>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</si>
  <si>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</si>
  <si>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</si>
  <si>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</si>
  <si>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</si>
  <si>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</si>
  <si>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</si>
  <si>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</si>
  <si>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</si>
  <si>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</si>
  <si>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</si>
  <si>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</si>
  <si>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</si>
  <si>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</si>
  <si>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</si>
  <si>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</si>
  <si>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</si>
  <si>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</si>
  <si>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</si>
  <si>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</si>
  <si>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</si>
  <si>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</si>
  <si>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</si>
  <si>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</si>
  <si>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</si>
  <si>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</si>
  <si>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</si>
  <si>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</si>
  <si>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</si>
  <si>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</si>
  <si>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</si>
  <si>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</si>
  <si>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</si>
  <si>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</si>
  <si>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</si>
  <si>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</si>
  <si>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</si>
  <si>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</si>
  <si>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</si>
  <si>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</si>
  <si>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</si>
  <si>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</si>
  <si>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</si>
  <si>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</si>
  <si>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</si>
  <si>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</si>
  <si>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</si>
  <si>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</si>
  <si>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</si>
  <si>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</si>
  <si>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</si>
  <si>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</si>
  <si>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</si>
  <si>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</si>
  <si>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</si>
  <si>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</si>
  <si>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</si>
  <si>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</si>
  <si>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</si>
  <si>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</si>
  <si>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</si>
  <si>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</si>
  <si>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</si>
  <si>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</si>
  <si>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</si>
  <si>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</si>
  <si>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</si>
  <si>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</si>
  <si>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</si>
  <si>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</si>
  <si>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</si>
  <si>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</si>
  <si>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</si>
  <si>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</si>
  <si>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</si>
  <si>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</si>
  <si>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</si>
  <si>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</si>
  <si>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</si>
  <si>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</si>
  <si>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</si>
  <si>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</si>
  <si>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</si>
  <si>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</si>
  <si>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</si>
  <si>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</si>
  <si>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</si>
  <si>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</si>
  <si>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</si>
  <si>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</si>
  <si>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</si>
  <si>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</si>
  <si>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</si>
  <si>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</si>
  <si>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</si>
  <si>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</si>
  <si>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</si>
  <si>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</si>
  <si>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</si>
  <si>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</si>
  <si>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</si>
  <si>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</si>
  <si>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</si>
  <si>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</si>
  <si>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</si>
  <si>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</si>
  <si>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</si>
  <si>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</si>
  <si>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</si>
  <si>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</si>
  <si>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</si>
  <si>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</si>
  <si>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</si>
  <si>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</si>
  <si>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</si>
  <si>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</si>
  <si>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</si>
  <si>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</si>
  <si>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</si>
  <si>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</si>
  <si>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</si>
  <si>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</si>
  <si>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</si>
  <si>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</si>
  <si>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</si>
  <si>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</si>
  <si>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</si>
  <si>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</si>
  <si>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</si>
  <si>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</si>
  <si>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</si>
  <si>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</si>
  <si>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</si>
  <si>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</si>
  <si>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</si>
  <si>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</si>
  <si>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</si>
  <si>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</si>
  <si>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</si>
  <si>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</si>
  <si>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</si>
  <si>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</si>
  <si>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</si>
  <si>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</si>
  <si>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</si>
  <si>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</si>
  <si>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</si>
  <si>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</si>
  <si>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</si>
  <si>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</si>
  <si>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</si>
  <si>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</si>
  <si>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</si>
  <si>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</si>
  <si>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</si>
  <si>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</si>
  <si>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</si>
  <si>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</si>
  <si>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</si>
  <si>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</si>
  <si>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</si>
  <si>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</si>
  <si>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</si>
  <si>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</si>
  <si>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</si>
  <si>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</si>
  <si>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</si>
  <si>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</si>
  <si>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</si>
  <si>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</si>
  <si>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</si>
  <si>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</si>
  <si>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</si>
  <si>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</si>
  <si>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</si>
  <si>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</si>
  <si>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</si>
  <si>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</si>
  <si>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</si>
  <si>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</si>
  <si>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</si>
  <si>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</si>
  <si>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</si>
  <si>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</si>
  <si>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</si>
  <si>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</si>
  <si>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</si>
  <si>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</si>
  <si>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</si>
  <si>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</si>
  <si>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</si>
  <si>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</si>
  <si>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</si>
  <si>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</si>
  <si>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</si>
  <si>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</si>
  <si>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</si>
  <si>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</si>
  <si>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</si>
  <si>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</si>
  <si>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</si>
  <si>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</si>
  <si>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</si>
  <si>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</si>
  <si>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</si>
  <si>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</si>
  <si>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</si>
  <si>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</si>
  <si>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</si>
  <si>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</si>
  <si>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</si>
  <si>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</si>
  <si>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</si>
  <si>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</si>
  <si>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</si>
  <si>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</si>
  <si>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</si>
  <si>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</si>
  <si>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</si>
  <si>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</si>
  <si>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</si>
  <si>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</si>
  <si>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</si>
  <si>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</si>
  <si>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</si>
  <si>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</si>
  <si>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</si>
  <si>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</si>
  <si>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</si>
  <si>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</si>
  <si>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</si>
  <si>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</si>
  <si>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</si>
  <si>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</si>
  <si>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</si>
  <si>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</si>
  <si>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</si>
  <si>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</si>
  <si>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</si>
  <si>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</si>
  <si>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</si>
  <si>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</si>
  <si>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</si>
  <si>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</si>
  <si>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</si>
  <si>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</si>
  <si>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</si>
  <si>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</si>
  <si>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</si>
  <si>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</si>
  <si>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</si>
  <si>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</si>
  <si>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</si>
  <si>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</si>
  <si>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</si>
  <si>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</si>
  <si>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</si>
  <si>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</si>
  <si>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</si>
  <si>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</si>
  <si>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</si>
  <si>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</si>
  <si>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</si>
  <si>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</si>
  <si>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</si>
  <si>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</si>
  <si>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</si>
  <si>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</si>
  <si>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</si>
  <si>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</si>
  <si>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</si>
  <si>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</si>
  <si>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</si>
  <si>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</si>
  <si>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</si>
  <si>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</si>
  <si>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</si>
  <si>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</si>
  <si>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</si>
  <si>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</si>
  <si>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</si>
  <si>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</si>
  <si>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</si>
  <si>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</si>
  <si>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</si>
  <si>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</si>
  <si>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</si>
  <si>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</si>
  <si>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</si>
  <si>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</si>
  <si>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</si>
  <si>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</si>
  <si>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</si>
  <si>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</si>
  <si>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</si>
  <si>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</si>
  <si>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</si>
  <si>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</si>
  <si>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</si>
  <si>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</si>
  <si>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</si>
  <si>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</si>
  <si>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</si>
  <si>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</si>
  <si>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</si>
  <si>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</si>
  <si>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</si>
  <si>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</si>
  <si>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</si>
  <si>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</si>
  <si>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</si>
  <si>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</si>
  <si>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</si>
  <si>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</si>
  <si>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</si>
  <si>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</si>
  <si>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</si>
  <si>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</si>
  <si>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</si>
  <si>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</si>
  <si>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</si>
  <si>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</si>
  <si>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</si>
  <si>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</si>
  <si>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</si>
  <si>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</si>
  <si>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</si>
  <si>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</si>
  <si>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</si>
  <si>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</si>
  <si>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</si>
  <si>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</si>
  <si>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</si>
  <si>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</si>
  <si>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</si>
  <si>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</si>
  <si>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</si>
  <si>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</si>
  <si>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</si>
  <si>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</si>
  <si>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</si>
  <si>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</si>
  <si>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</si>
  <si>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</si>
  <si>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</si>
  <si>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</si>
  <si>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</si>
  <si>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</si>
  <si>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</si>
  <si>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</si>
  <si>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</si>
  <si>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</si>
  <si>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</si>
  <si>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</si>
  <si>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</si>
  <si>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</si>
  <si>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</si>
  <si>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</si>
  <si>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 xml:space="preserve">Address: Askari Market </t>
  </si>
  <si>
    <t>Cantt Store</t>
  </si>
  <si>
    <t>Sitara Bakers</t>
  </si>
  <si>
    <t xml:space="preserve">Askari Cash &amp; Carry </t>
  </si>
  <si>
    <t xml:space="preserve">Chalet Bakers </t>
  </si>
  <si>
    <t xml:space="preserve">Al Falah Bakers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</si>
</sst>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46297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Cantt Store</v>
      </c>
      <c r="T3" s="301">
        <f>+'1'!P35</f>
        <v>10802.526335847459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Sitara Bakers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Askari Cash &amp; Carry </v>
      </c>
      <c r="T5" s="301">
        <f>+'3'!P35</f>
        <v>6681.9021693749992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Chalet Bakers </v>
      </c>
      <c r="T6" s="301">
        <f>+'4'!P35</f>
        <v>5244.452588669491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53</v>
      </c>
      <c r="I7" s="235">
        <f>(G7*D7)*F7+H7*F7</f>
        <v>2780.5124999999998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222.44100000000003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97.317937499999999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2460.7535625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525.50847457627094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14.931310185381356</v>
      </c>
      <c r="P7" s="310">
        <f>M7+N7+O7</f>
        <v>3001.1933472616524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2</v>
      </c>
      <c r="R7" s="313">
        <v>5</v>
      </c>
      <c r="S7" s="300" t="str">
        <f>+'5'!A6:A6</f>
        <v xml:space="preserve">Al Falah Bakers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90</v>
      </c>
      <c r="I8" s="236">
        <f t="shared" ref="I8:I14" si="0">(G8*D8)*F8+H8*F8</f>
        <v>4721.625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377.73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165.25687500000001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4178.6381249999995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892.37288135593178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25.35505503177966</v>
      </c>
      <c r="P8" s="311">
        <f t="shared" ref="P8:P15" si="2">M8+N8+O8</f>
        <v>5096.3660613877109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95</v>
      </c>
      <c r="I9" s="236">
        <f t="shared" si="0"/>
        <v>4983.9375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398.71499999999997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174.43781250000001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4410.7846874999996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941.94915254237253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26.763669200211865</v>
      </c>
      <c r="P9" s="311">
        <f t="shared" si="2"/>
        <v>5379.4975092425839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55</v>
      </c>
      <c r="I10" s="236">
        <f t="shared" si="0"/>
        <v>3995.2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319.61599999999999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139.83200000000002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3535.752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755.08474576271192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21.454183728813561</v>
      </c>
      <c r="P10" s="311">
        <f t="shared" si="2"/>
        <v>4312.2909294915253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15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48</v>
      </c>
      <c r="I11" s="236">
        <f t="shared" si="0"/>
        <v>3486.7200000000003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278.93760000000003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122.03520000000002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3085.7472000000002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658.98305084745766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18.723651254237289</v>
      </c>
      <c r="P11" s="311">
        <f t="shared" si="2"/>
        <v>3763.4539021016949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12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55</v>
      </c>
      <c r="I12" s="236">
        <f t="shared" si="0"/>
        <v>3995.2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319.61599999999999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139.83200000000002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3535.752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755.08474576271192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21.454183728813561</v>
      </c>
      <c r="P12" s="311">
        <f t="shared" si="2"/>
        <v>4312.2909294915253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15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9.9</v>
      </c>
      <c r="H16" s="113">
        <f t="shared" ref="H16:M16" si="3">SUM(H7:H15)</f>
        <v>396</v>
      </c>
      <c r="I16" s="114">
        <f t="shared" si="3"/>
        <v>23963.195000000003</v>
      </c>
      <c r="J16" s="274">
        <f>SUM(J7:J15)</f>
        <v>1917.0555999999999</v>
      </c>
      <c r="K16" s="275">
        <f t="shared" si="3"/>
        <v>838.71182500000009</v>
      </c>
      <c r="L16" s="276">
        <f t="shared" si="3"/>
        <v>0</v>
      </c>
      <c r="M16" s="232">
        <f t="shared" si="3"/>
        <v>21207.427575000002</v>
      </c>
      <c r="N16" s="233">
        <f>SUM(N7:N15)</f>
        <v>4528.983050847457</v>
      </c>
      <c r="O16" s="101">
        <f>SUM(O7:O15)</f>
        <v>128.68205312923732</v>
      </c>
      <c r="P16" s="113">
        <f>SUM(P7:P15)</f>
        <v>25865.092678976693</v>
      </c>
      <c r="Q16" s="128">
        <f>SUM(Q7:Q15)</f>
        <v>44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23963.195000000003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1917.0555999999999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838.71182500000009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21207.427575000005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4528.983050847457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25736.410625847464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128.68205312923732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25865.0926789767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25865.092678976693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10008.200000000001</v>
      </c>
      <c r="J25" s="274">
        <f>SUM(J16:J24)</f>
        <v>800.65599999999995</v>
      </c>
      <c r="K25" s="275">
        <f t="shared" si="10"/>
        <v>350.28700000000003</v>
      </c>
      <c r="L25" s="276">
        <f t="shared" si="10"/>
        <v>0</v>
      </c>
      <c r="M25" s="232">
        <f t="shared" si="10"/>
        <v>8857.2570000000014</v>
      </c>
      <c r="N25" s="233">
        <f>SUM(N16:N24)</f>
        <v>1891.5254237288132</v>
      </c>
      <c r="O25" s="101">
        <f>SUM(O16:O24)</f>
        <v>53.743912118644062</v>
      </c>
      <c r="P25" s="234">
        <f>SUM(P16:P24)</f>
        <v>10802.526335847459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10008.200000000001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800.65599999999995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350.28700000000003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8857.2570000000014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10748.782423728815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53.743912118644076</v>
      </c>
    </row>
    <row r="35" spans="2:16" ht="15.75" customHeight="1" thickBot="1" x14ac:dyDescent="0.4">
      <c r="N35" s="374" t="s">
        <v>88</v>
      </c>
      <c r="O35" s="375"/>
      <c r="P35" s="297">
        <f>+P33+P34</f>
        <v>10802.526335847459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38</v>
      </c>
      <c r="I16" s="235">
        <f>(G16*D16)*F16+H16*F16</f>
        <v>1993.575</v>
      </c>
      <c r="J16" s="271">
        <f>$I16*S16</f>
        <v>159.48600000000002</v>
      </c>
      <c r="K16" s="127">
        <f>$I16*T16</f>
        <v>69.775125000000003</v>
      </c>
      <c r="L16" s="118">
        <f>$I16*U16</f>
        <v>0</v>
      </c>
      <c r="M16" s="229">
        <f>I16-SUM(J16:L16)</f>
        <v>1764.3138750000001</v>
      </c>
      <c r="N16" s="248">
        <f>+(G16*D16+H16)*V16</f>
        <v>376.77966101694898</v>
      </c>
      <c r="O16" s="238">
        <f>(N16+M16)*$O$15</f>
        <v>10.705467680084746</v>
      </c>
      <c r="P16" s="118">
        <f>M16+N16+O16</f>
        <v>2151.7990036970341</v>
      </c>
      <c r="Q16" s="318">
        <v>2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118</v>
      </c>
      <c r="I25" s="114">
        <f t="shared" si="7"/>
        <v>6190.5749999999998</v>
      </c>
      <c r="J25" s="274">
        <f>SUM(J16:J24)</f>
        <v>495.24599999999998</v>
      </c>
      <c r="K25" s="275">
        <f t="shared" si="7"/>
        <v>216.67012499999998</v>
      </c>
      <c r="L25" s="276">
        <f t="shared" si="7"/>
        <v>0</v>
      </c>
      <c r="M25" s="232">
        <f t="shared" si="7"/>
        <v>5478.658875000001</v>
      </c>
      <c r="N25" s="233">
        <f>SUM(N16:N24)</f>
        <v>1169.9999999999995</v>
      </c>
      <c r="O25" s="101">
        <f>SUM(O16:O24)</f>
        <v>33.243294374999998</v>
      </c>
      <c r="P25" s="234">
        <f>SUM(P16:P24)</f>
        <v>6681.9021693750001</v>
      </c>
      <c r="Q25" s="239">
        <f>SUM(Q16:Q24)</f>
        <v>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6190.5749999999998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495.24599999999998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216.67012499999998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5478.6588750000001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1169.9999999999995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6648.6588749999992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33.243294374999998</v>
      </c>
    </row>
    <row r="35" spans="2:16" ht="15.75" customHeight="1" thickBot="1" x14ac:dyDescent="0.4">
      <c r="N35" s="374" t="s">
        <v>88</v>
      </c>
      <c r="O35" s="375"/>
      <c r="P35" s="297">
        <f>+P33+P34</f>
        <v>6681.9021693749992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2" workbookViewId="0">
      <selection activeCell="Q19" sqref="Q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</v>
      </c>
      <c r="I20" s="236">
        <f t="shared" si="0"/>
        <v>581.12</v>
      </c>
      <c r="J20" s="272">
        <f t="shared" si="1"/>
        <v>46.489600000000003</v>
      </c>
      <c r="K20" s="128">
        <f t="shared" si="1"/>
        <v>20.339200000000002</v>
      </c>
      <c r="L20" s="119">
        <f t="shared" si="1"/>
        <v>0</v>
      </c>
      <c r="M20" s="230">
        <f t="shared" si="2"/>
        <v>514.2912</v>
      </c>
      <c r="N20" s="277">
        <f t="shared" si="3"/>
        <v>109.83050847457628</v>
      </c>
      <c r="O20" s="239">
        <f t="shared" si="4"/>
        <v>3.1206085423728815</v>
      </c>
      <c r="P20" s="119">
        <f t="shared" si="5"/>
        <v>627.24231701694919</v>
      </c>
      <c r="Q20" s="319">
        <v>2</v>
      </c>
      <c r="R20">
        <f>P20/21</f>
        <v>29.868681762711866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78</v>
      </c>
      <c r="I25" s="114">
        <f t="shared" si="7"/>
        <v>4858.82</v>
      </c>
      <c r="J25" s="274">
        <f>SUM(J16:J24)</f>
        <v>388.7056</v>
      </c>
      <c r="K25" s="275">
        <f t="shared" si="7"/>
        <v>170.05870000000002</v>
      </c>
      <c r="L25" s="276">
        <f t="shared" si="7"/>
        <v>0</v>
      </c>
      <c r="M25" s="232">
        <f t="shared" si="7"/>
        <v>4300.0556999999999</v>
      </c>
      <c r="N25" s="233">
        <f>SUM(N16:N24)</f>
        <v>918.30508474576254</v>
      </c>
      <c r="O25" s="101">
        <f>SUM(O16:O24)</f>
        <v>26.091803923728815</v>
      </c>
      <c r="P25" s="234">
        <f>SUM(P16:P24)</f>
        <v>5244.452588669491</v>
      </c>
      <c r="Q25" s="239">
        <f>SUM(Q16:Q24)</f>
        <v>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4858.82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388.7056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170.05870000000002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4300.0556999999999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918.30508474576254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5218.3607847457624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26.091803923728811</v>
      </c>
    </row>
    <row r="35" spans="2:16" ht="15.75" customHeight="1" thickBot="1" x14ac:dyDescent="0.4">
      <c r="N35" s="374" t="s">
        <v>88</v>
      </c>
      <c r="O35" s="375"/>
      <c r="P35" s="297">
        <f>+P33+P34</f>
        <v>5244.452588669491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9" workbookViewId="0">
      <selection activeCell="H21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46298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46297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2026-10-02T11:16:03Z</dcterms:modified>
</cp:coreProperties>
</file>