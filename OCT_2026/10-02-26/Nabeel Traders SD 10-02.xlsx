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0FB5571-7A6E-4BCE-A377-D631444F5F76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  <definedName name="_xlnm.Print_Area" localSheetId="4">'1'!$A$1:$P$36</definedName>
  </definedNames>
  <calcPr calcId="191029"/>
</workbook>
</file>

<file path=xl/calcChain.xml><?xml version="1.0" encoding="utf-8"?>
<calcChain xmlns="http://schemas.openxmlformats.org/spreadsheetml/2006/main">
  <c r="H11" i="62" l="1"/>
  <c r="H13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2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4" l="1"/>
  <c r="M17" i="44"/>
  <c r="O17" i="44" s="1"/>
  <c r="P17" i="44" s="1"/>
  <c r="J7" i="62"/>
  <c r="M21" i="44"/>
  <c r="O21" i="44" s="1"/>
  <c r="P21" i="44" s="1"/>
  <c r="M16" i="43"/>
  <c r="M20" i="43"/>
  <c r="O20" i="43" s="1"/>
  <c r="P20" i="43" s="1"/>
  <c r="R20" i="43" s="1"/>
  <c r="M21" i="43"/>
  <c r="O21" i="43" s="1"/>
  <c r="P21" i="43" s="1"/>
  <c r="M22" i="43"/>
  <c r="O22" i="43" s="1"/>
  <c r="P22" i="43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<sst xmlns="http://schemas.openxmlformats.org/spreadsheetml/2006/main" count="3973" uniqueCount="520">
  <si>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</si>
  <si>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</si>
  <si>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</si>
  <si>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</si>
  <si>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</si>
  <si>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</si>
  <si>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</si>
  <si>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</si>
  <si>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</si>
  <si>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</si>
  <si>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</si>
  <si>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</si>
  <si>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</si>
  <si>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</si>
  <si>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</si>
  <si>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</si>
  <si>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</si>
  <si>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</si>
  <si>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</si>
  <si>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</si>
  <si>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</si>
  <si>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</si>
  <si>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</si>
  <si>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</si>
  <si>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</si>
  <si>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</si>
  <si>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</si>
  <si>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</si>
  <si>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</si>
  <si>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</si>
  <si>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</si>
  <si>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</si>
  <si>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</si>
  <si>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</si>
  <si>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</si>
  <si>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</si>
  <si>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</si>
  <si>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</si>
  <si>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</si>
  <si>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</si>
  <si>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</si>
  <si>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</si>
  <si>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</si>
  <si>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</si>
  <si>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</si>
  <si>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</si>
  <si>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</si>
  <si>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</si>
  <si>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</si>
  <si>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</si>
  <si>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</si>
  <si>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</si>
  <si>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</si>
  <si>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</si>
  <si>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</si>
  <si>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</si>
  <si>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</si>
  <si>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</si>
  <si>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</si>
  <si>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</si>
  <si>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</si>
  <si>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</si>
  <si>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</si>
  <si>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</si>
  <si>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</si>
  <si>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</si>
  <si>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</si>
  <si>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</si>
  <si>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</si>
  <si>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</si>
  <si>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</si>
  <si>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</si>
  <si>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</si>
  <si>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</si>
  <si>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</si>
  <si>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</si>
  <si>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</si>
  <si>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</si>
  <si>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</si>
  <si>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</si>
  <si>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</si>
  <si>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</si>
  <si>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</si>
  <si>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</si>
  <si>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</si>
  <si>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</si>
  <si>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</si>
  <si>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</si>
  <si>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</si>
  <si>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</si>
  <si>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</si>
  <si>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</si>
  <si>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</si>
  <si>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</si>
  <si>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</si>
  <si>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</si>
  <si>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</si>
  <si>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</si>
  <si>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</si>
  <si>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</si>
  <si>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</si>
  <si>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</si>
  <si>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</si>
  <si>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</si>
  <si>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</si>
  <si>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</si>
  <si>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</si>
  <si>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</si>
  <si>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</si>
  <si>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</si>
  <si>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</si>
  <si>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</si>
  <si>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</si>
  <si>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</si>
  <si>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</si>
  <si>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</si>
  <si>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</si>
  <si>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</si>
  <si>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</si>
  <si>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</si>
  <si>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</si>
  <si>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</si>
  <si>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</si>
  <si>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</si>
  <si>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</si>
  <si>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</si>
  <si>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</si>
  <si>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</si>
  <si>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</si>
  <si>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</si>
  <si>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</si>
  <si>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</si>
  <si>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</si>
  <si>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</si>
  <si>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</si>
  <si>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</si>
  <si>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</si>
  <si>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</si>
  <si>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</si>
  <si>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</si>
  <si>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</si>
  <si>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</si>
  <si>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</si>
  <si>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</si>
  <si>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</si>
  <si>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</si>
  <si>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</si>
  <si>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</si>
  <si>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</si>
  <si>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</si>
  <si>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</si>
  <si>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</si>
  <si>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</si>
  <si>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</si>
  <si>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</si>
  <si>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</si>
  <si>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</si>
  <si>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</si>
  <si>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</si>
  <si>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</si>
  <si>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</si>
  <si>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</si>
  <si>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</si>
  <si>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</si>
  <si>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</si>
  <si>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</si>
  <si>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</si>
  <si>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</si>
  <si>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</si>
  <si>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</si>
  <si>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</si>
  <si>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</si>
  <si>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</si>
  <si>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</si>
  <si>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</si>
  <si>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</si>
  <si>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</si>
  <si>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</si>
  <si>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</si>
  <si>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</si>
  <si>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</si>
  <si>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</si>
  <si>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</si>
  <si>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</si>
  <si>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</si>
  <si>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</si>
  <si>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</si>
  <si>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</si>
  <si>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</si>
  <si>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</si>
  <si>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</si>
  <si>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</si>
  <si>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</si>
  <si>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</si>
  <si>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</si>
  <si>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</si>
  <si>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</si>
  <si>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</si>
  <si>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</si>
  <si>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</si>
  <si>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</si>
  <si>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</si>
  <si>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</si>
  <si>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</si>
  <si>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</si>
  <si>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</si>
  <si>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</si>
  <si>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</si>
  <si>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</si>
  <si>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</si>
  <si>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</si>
  <si>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</si>
  <si>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</si>
  <si>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</si>
  <si>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</si>
  <si>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</si>
  <si>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</si>
  <si>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</si>
  <si>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</si>
  <si>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</si>
  <si>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</si>
  <si>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</si>
  <si>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</si>
  <si>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</si>
  <si>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</si>
  <si>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</si>
  <si>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</si>
  <si>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</si>
  <si>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</si>
  <si>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</si>
  <si>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</si>
  <si>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</si>
  <si>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</si>
  <si>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</si>
  <si>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</si>
  <si>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</si>
  <si>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</si>
  <si>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</si>
  <si>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</si>
  <si>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</si>
  <si>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</si>
  <si>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</si>
  <si>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</si>
  <si>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</si>
  <si>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</si>
  <si>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</si>
  <si>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</si>
  <si>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</si>
  <si>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</si>
  <si>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</si>
  <si>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</si>
  <si>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</si>
  <si>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</si>
  <si>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</si>
  <si>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</si>
  <si>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</si>
  <si>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</si>
  <si>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</si>
  <si>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</si>
  <si>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</si>
  <si>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</si>
  <si>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</si>
  <si>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</si>
  <si>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</si>
  <si>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</si>
  <si>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</si>
  <si>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</si>
  <si>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</si>
  <si>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</si>
  <si>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</si>
  <si>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</si>
  <si>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</si>
  <si>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</si>
  <si>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</si>
  <si>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</si>
  <si>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</si>
  <si>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</si>
  <si>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</si>
  <si>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</si>
  <si>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</si>
  <si>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</si>
  <si>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</si>
  <si>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</si>
  <si>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</si>
  <si>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</si>
  <si>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</si>
  <si>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</si>
  <si>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</si>
  <si>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</si>
  <si>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</si>
  <si>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</si>
  <si>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</si>
  <si>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</si>
  <si>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</si>
  <si>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</si>
  <si>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</si>
  <si>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</si>
  <si>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</si>
  <si>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</si>
  <si>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</si>
  <si>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</si>
  <si>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</si>
  <si>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</si>
  <si>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</si>
  <si>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</si>
  <si>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</si>
  <si>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</si>
  <si>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</si>
  <si>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</si>
  <si>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</si>
  <si>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</si>
  <si>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</si>
  <si>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</si>
  <si>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</si>
  <si>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</si>
  <si>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</si>
  <si>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</si>
  <si>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</si>
  <si>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</si>
  <si>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</si>
  <si>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</si>
  <si>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</si>
  <si>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</si>
  <si>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</si>
  <si>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</si>
  <si>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</si>
  <si>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</si>
  <si>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</si>
  <si>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</si>
  <si>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</si>
  <si>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</si>
  <si>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</si>
  <si>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</si>
  <si>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</si>
  <si>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</si>
  <si>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</si>
  <si>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</si>
  <si>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</si>
  <si>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</si>
  <si>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</si>
  <si>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</si>
  <si>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</si>
  <si>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</si>
  <si>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</si>
  <si>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</si>
  <si>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</si>
  <si>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</si>
  <si>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</si>
  <si>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</si>
  <si>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</si>
  <si>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</si>
  <si>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</si>
  <si>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</si>
  <si>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</si>
  <si>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</si>
  <si>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</si>
  <si>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</si>
  <si>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</si>
  <si>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</si>
  <si>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</si>
  <si>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</si>
  <si>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</si>
  <si>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</si>
  <si>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</si>
  <si>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</si>
  <si>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</si>
  <si>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</si>
  <si>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</si>
  <si>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</si>
  <si>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</si>
  <si>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</si>
  <si>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</si>
  <si>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</si>
  <si>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</si>
  <si>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</si>
  <si>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</si>
  <si>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</si>
  <si>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</si>
  <si>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</si>
  <si>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</si>
  <si>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</si>
  <si>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</si>
  <si>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</si>
  <si>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</si>
  <si>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</si>
  <si>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</si>
  <si>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</si>
  <si>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</si>
  <si>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</si>
  <si>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</si>
  <si>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</si>
  <si>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</si>
  <si>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</si>
  <si>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</si>
  <si>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</si>
  <si>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</si>
  <si>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</si>
  <si>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</si>
  <si>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</si>
  <si>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</si>
  <si>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</si>
  <si>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</si>
  <si>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</si>
  <si>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</si>
  <si>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</si>
  <si>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</si>
  <si>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</si>
  <si>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</si>
  <si>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</si>
  <si>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</si>
  <si>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</si>
  <si>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</si>
  <si>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</si>
  <si>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</si>
  <si>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</si>
  <si>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</si>
  <si>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</si>
  <si>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</si>
  <si>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</si>
  <si>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</si>
  <si>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</si>
  <si>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</si>
  <si>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</si>
  <si>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</si>
  <si>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</si>
  <si>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</si>
  <si>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</si>
  <si>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</si>
  <si>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</si>
  <si>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</si>
  <si>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</si>
  <si>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</si>
  <si>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</si>
  <si>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</si>
  <si>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</si>
  <si>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</si>
  <si>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</si>
  <si>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</si>
  <si>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</si>
  <si>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</si>
  <si>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</si>
  <si>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</si>
  <si>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</si>
  <si>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</si>
  <si>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</si>
  <si>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</si>
  <si>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</si>
  <si>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</si>
  <si>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</si>
  <si>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</si>
  <si>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</si>
  <si>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</si>
  <si>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</si>
  <si>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</si>
  <si>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</si>
  <si>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</si>
  <si>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</si>
  <si>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</si>
  <si>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</si>
  <si>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</si>
  <si>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</si>
  <si>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</si>
  <si>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</si>
  <si>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</si>
  <si>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</si>
  <si>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</si>
  <si>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</si>
  <si>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</si>
  <si>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</si>
  <si>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</si>
  <si>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</si>
  <si>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</si>
  <si>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</si>
  <si>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</si>
  <si>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</si>
  <si>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</si>
  <si>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</si>
  <si>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</si>
  <si>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</si>
  <si>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</si>
  <si>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</si>
  <si>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</si>
  <si>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</si>
  <si>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</si>
  <si>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</si>
  <si>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</si>
  <si>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</si>
  <si>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</si>
  <si>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</si>
  <si>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</si>
  <si>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</si>
  <si>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</si>
  <si>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</si>
  <si>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</si>
  <si>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</si>
  <si>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</si>
  <si>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</si>
  <si>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</si>
  <si>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</si>
  <si>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</si>
  <si>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</si>
  <si>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</si>
  <si>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</si>
  <si>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</si>
  <si>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</si>
  <si>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</si>
  <si>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</si>
  <si>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</si>
  <si>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</si>
  <si>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</si>
  <si>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</si>
  <si>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</si>
  <si>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</si>
  <si>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</si>
  <si>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 xml:space="preserve">Nabeel Traders </t>
  </si>
  <si>
    <t xml:space="preserve">Address: Mughalpura </t>
  </si>
  <si>
    <t>Address: Mughalpura</t>
  </si>
  <si>
    <t>Address:Mughalpura</t>
  </si>
  <si>
    <t>Shakoor</t>
  </si>
  <si>
    <t>Invoice No # :12442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</si>
</sst>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499</v>
      </c>
      <c r="F2" s="383"/>
      <c r="G2" s="383"/>
      <c r="H2" s="380" t="s">
        <v>510</v>
      </c>
      <c r="I2" s="380"/>
      <c r="J2" s="381"/>
      <c r="R2" s="377" t="s">
        <v>498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500</v>
      </c>
      <c r="F3" s="387"/>
      <c r="G3" s="387"/>
      <c r="H3" s="384">
        <f>+'1'!N4:N4</f>
        <v>46297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 xml:space="preserve">Nabeel Traders </v>
      </c>
      <c r="T3" s="301">
        <f>+'1'!P35</f>
        <v>870780.40352542361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Nabeel Traders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513</v>
      </c>
      <c r="R5" s="314">
        <v>3</v>
      </c>
      <c r="S5" s="300" t="str">
        <f>+'3'!A6:A6</f>
        <v xml:space="preserve">Nabeel Traders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512</v>
      </c>
      <c r="R6" s="314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100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290560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46489.599999999999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10169.6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233900.79999999999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54915.254237288136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1444.0802711864408</v>
      </c>
      <c r="P10" s="311">
        <f t="shared" si="2"/>
        <v>290260.13450847456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80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232448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37191.68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8135.6800000000012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187120.64000000001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43932.203389830509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1155.2642169491526</v>
      </c>
      <c r="P11" s="311">
        <f t="shared" si="2"/>
        <v>232208.10760677967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120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348672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55787.520000000004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12203.52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280680.95999999996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65898.305084745763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1732.8963254237285</v>
      </c>
      <c r="P12" s="311">
        <f t="shared" si="2"/>
        <v>348312.16141016944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0</v>
      </c>
      <c r="H16" s="113">
        <f t="shared" ref="H16:M16" si="3">SUM(H7:H15)</f>
        <v>0</v>
      </c>
      <c r="I16" s="114">
        <f t="shared" si="3"/>
        <v>871680</v>
      </c>
      <c r="J16" s="274">
        <f>SUM(J7:J15)</f>
        <v>139468.79999999999</v>
      </c>
      <c r="K16" s="275">
        <f t="shared" si="3"/>
        <v>30508.800000000003</v>
      </c>
      <c r="L16" s="276">
        <f t="shared" si="3"/>
        <v>0</v>
      </c>
      <c r="M16" s="232">
        <f t="shared" si="3"/>
        <v>701702.39999999991</v>
      </c>
      <c r="N16" s="233">
        <f>SUM(N7:N15)</f>
        <v>164745.76271186443</v>
      </c>
      <c r="O16" s="101">
        <f>SUM(O7:O15)</f>
        <v>4332.2408135593223</v>
      </c>
      <c r="P16" s="113">
        <f>SUM(P7:P15)</f>
        <v>870780.40352542372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871680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139468.79999999999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30508.800000000003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701702.39999999991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164745.76271186443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866448.16271186434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4332.2408135593223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870780.40352542361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870780.40352542361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F4" sqref="F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81640625" bestFit="1" customWidth="1"/>
    <col min="9" max="9" width="9.36328125" bestFit="1" customWidth="1"/>
    <col min="10" max="12" width="8.36328125" bestFit="1" customWidth="1"/>
    <col min="13" max="13" width="11.90625" bestFit="1" customWidth="1"/>
    <col min="14" max="14" width="8.36328125" style="61" bestFit="1" customWidth="1"/>
    <col min="15" max="15" width="7.36328125" bestFit="1" customWidth="1"/>
    <col min="16" max="16" width="9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519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46297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46296</v>
      </c>
      <c r="O5" s="391"/>
      <c r="P5" s="391"/>
      <c r="R5" s="85"/>
      <c r="S5" s="266"/>
    </row>
    <row r="6" spans="1:22 16383:16384" ht="17.25" customHeight="1" x14ac:dyDescent="0.4">
      <c r="A6" s="397" t="s">
        <v>514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89" t="s">
        <v>56</v>
      </c>
      <c r="Q14" s="412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317">
        <v>0.16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91" t="s">
        <v>38</v>
      </c>
      <c r="Q15" s="412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413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414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414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>
        <v>100</v>
      </c>
      <c r="H19" s="96"/>
      <c r="I19" s="236">
        <f t="shared" si="7"/>
        <v>290560</v>
      </c>
      <c r="J19" s="272">
        <f t="shared" si="1"/>
        <v>46489.599999999999</v>
      </c>
      <c r="K19" s="128">
        <f t="shared" si="1"/>
        <v>10169.6</v>
      </c>
      <c r="L19" s="119">
        <f t="shared" si="1"/>
        <v>0</v>
      </c>
      <c r="M19" s="230">
        <f t="shared" si="2"/>
        <v>233900.79999999999</v>
      </c>
      <c r="N19" s="277">
        <f t="shared" si="3"/>
        <v>54915.254237288136</v>
      </c>
      <c r="O19" s="239">
        <f t="shared" si="4"/>
        <v>1444.0802711864408</v>
      </c>
      <c r="P19" s="119">
        <f t="shared" si="5"/>
        <v>290260.13450847456</v>
      </c>
      <c r="Q19" s="414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>
        <v>80</v>
      </c>
      <c r="H20" s="96"/>
      <c r="I20" s="236">
        <f t="shared" si="7"/>
        <v>232448</v>
      </c>
      <c r="J20" s="272">
        <f t="shared" si="1"/>
        <v>37191.68</v>
      </c>
      <c r="K20" s="128">
        <f t="shared" si="1"/>
        <v>8135.6800000000012</v>
      </c>
      <c r="L20" s="119">
        <f t="shared" si="1"/>
        <v>0</v>
      </c>
      <c r="M20" s="230">
        <f t="shared" si="2"/>
        <v>187120.64000000001</v>
      </c>
      <c r="N20" s="277">
        <f t="shared" si="3"/>
        <v>43932.203389830509</v>
      </c>
      <c r="O20" s="239">
        <f t="shared" si="4"/>
        <v>1155.2642169491526</v>
      </c>
      <c r="P20" s="119">
        <f t="shared" si="5"/>
        <v>232208.10760677967</v>
      </c>
      <c r="Q20" s="414"/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>
        <v>120</v>
      </c>
      <c r="H21" s="96"/>
      <c r="I21" s="236">
        <f t="shared" si="7"/>
        <v>348672</v>
      </c>
      <c r="J21" s="272">
        <f t="shared" si="1"/>
        <v>55787.520000000004</v>
      </c>
      <c r="K21" s="128">
        <f t="shared" si="1"/>
        <v>12203.52</v>
      </c>
      <c r="L21" s="119">
        <f t="shared" si="1"/>
        <v>0</v>
      </c>
      <c r="M21" s="230">
        <f t="shared" si="2"/>
        <v>280680.95999999996</v>
      </c>
      <c r="N21" s="277">
        <f t="shared" si="3"/>
        <v>65898.305084745763</v>
      </c>
      <c r="O21" s="239">
        <f t="shared" si="4"/>
        <v>1732.8963254237285</v>
      </c>
      <c r="P21" s="119">
        <f t="shared" si="5"/>
        <v>348312.16141016944</v>
      </c>
      <c r="Q21" s="414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414"/>
      <c r="S22" s="269">
        <v>0.11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414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414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300</v>
      </c>
      <c r="H25" s="113">
        <f t="shared" ref="H25" si="9">SUM(H16:H24)</f>
        <v>0</v>
      </c>
      <c r="I25" s="114">
        <f t="shared" ref="I25:M25" si="10">SUM(I16:I24)</f>
        <v>871680</v>
      </c>
      <c r="J25" s="274">
        <f>SUM(J16:J24)</f>
        <v>139468.79999999999</v>
      </c>
      <c r="K25" s="275">
        <f t="shared" si="10"/>
        <v>30508.800000000003</v>
      </c>
      <c r="L25" s="276">
        <f t="shared" si="10"/>
        <v>0</v>
      </c>
      <c r="M25" s="232">
        <f t="shared" si="10"/>
        <v>701702.39999999991</v>
      </c>
      <c r="N25" s="233">
        <f>SUM(N16:N24)</f>
        <v>164745.76271186443</v>
      </c>
      <c r="O25" s="101">
        <f>SUM(O16:O24)</f>
        <v>4332.2408135593223</v>
      </c>
      <c r="P25" s="234">
        <f>SUM(P16:P24)</f>
        <v>870780.40352542372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871680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139468.79999999999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30508.800000000003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701702.39999999991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164745.76271186443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866448.16271186434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4332.2408135593214</v>
      </c>
    </row>
    <row r="35" spans="2:16" ht="15.75" customHeight="1" thickBot="1" x14ac:dyDescent="0.4">
      <c r="N35" s="371" t="s">
        <v>88</v>
      </c>
      <c r="O35" s="372"/>
      <c r="P35" s="297">
        <f>+P33+P34</f>
        <v>870780.40352542361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7" workbookViewId="0">
      <selection activeCell="G16" sqref="G16:G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1" width="8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9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46245</v>
      </c>
      <c r="O5" s="391"/>
      <c r="P5" s="391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92" t="s">
        <v>69</v>
      </c>
      <c r="L6" s="392"/>
      <c r="M6" s="392"/>
      <c r="N6" s="394" t="s">
        <v>508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112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0.11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10" workbookViewId="0">
      <selection activeCell="G16" sqref="G16:G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9.36328125" bestFit="1" customWidth="1"/>
    <col min="10" max="11" width="8.36328125" bestFit="1" customWidth="1"/>
    <col min="12" max="12" width="7.36328125" bestFit="1" customWidth="1"/>
    <col min="13" max="13" width="7.81640625" bestFit="1" customWidth="1"/>
    <col min="14" max="14" width="8.36328125" style="61" bestFit="1" customWidth="1"/>
    <col min="15" max="15" width="7.36328125" bestFit="1" customWidth="1"/>
    <col min="16" max="16" width="9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46263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46262</v>
      </c>
      <c r="O5" s="391"/>
      <c r="P5" s="391"/>
      <c r="R5" s="85"/>
      <c r="S5" s="266"/>
    </row>
    <row r="6" spans="1:22 16383:16384" ht="18.75" customHeight="1" x14ac:dyDescent="0.4">
      <c r="A6" s="397" t="s">
        <v>514</v>
      </c>
      <c r="B6" s="397"/>
      <c r="C6" s="397"/>
      <c r="F6" s="85"/>
      <c r="G6" s="86"/>
      <c r="K6" s="392" t="s">
        <v>69</v>
      </c>
      <c r="L6" s="392"/>
      <c r="M6" s="392"/>
      <c r="N6" s="394" t="s">
        <v>518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317">
        <v>0.16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0.11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topLeftCell="A10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46298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46297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46298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46297</v>
      </c>
      <c r="O5" s="391"/>
      <c r="P5" s="391"/>
      <c r="R5" s="85"/>
      <c r="S5" s="266"/>
    </row>
    <row r="6" spans="1:22 16383:16384" ht="15" customHeight="1" x14ac:dyDescent="0.4">
      <c r="A6" s="397" t="s">
        <v>501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46298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46297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46298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46297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46298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46297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46298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46297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topLeftCell="A7"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46298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46297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topLeftCell="A13" workbookViewId="0">
      <selection activeCell="Q22" sqref="Q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46298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46297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46298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46297</v>
      </c>
      <c r="O5" s="391"/>
      <c r="P5" s="391"/>
      <c r="R5" s="85"/>
      <c r="S5" s="266"/>
    </row>
    <row r="6" spans="1:22 16383:16384" ht="15" customHeight="1" x14ac:dyDescent="0.4">
      <c r="A6" s="397" t="s">
        <v>502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46298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46297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topLeftCell="A10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46298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46297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topLeftCell="A10" workbookViewId="0">
      <selection activeCell="H7" sqref="H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46298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46297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46298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46297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46298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46297</v>
      </c>
      <c r="O5" s="391"/>
      <c r="P5" s="391"/>
      <c r="R5" s="85"/>
      <c r="S5" s="266"/>
    </row>
    <row r="6" spans="1:22 16383:16384" ht="15" customHeight="1" x14ac:dyDescent="0.4">
      <c r="A6" s="397" t="s">
        <v>503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46298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46297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46298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46297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46298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46297</v>
      </c>
      <c r="O5" s="391"/>
      <c r="P5" s="391"/>
      <c r="R5" s="85"/>
      <c r="S5" s="266"/>
    </row>
    <row r="6" spans="1:22 16383:16384" ht="18.75" customHeight="1" x14ac:dyDescent="0.4">
      <c r="A6" s="397" t="s">
        <v>504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46298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46297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46298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46297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46298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46297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46298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46297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46298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46297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46298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46297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46298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46297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46298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46297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46298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46297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46298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46297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46298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46297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1</vt:i4>
      </vt:variant>
    </vt:vector>
  </HeadingPairs>
  <TitlesOfParts>
    <vt:vector size="39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2026-10-02T10:24:22Z</dcterms:modified>
</cp:coreProperties>
</file>