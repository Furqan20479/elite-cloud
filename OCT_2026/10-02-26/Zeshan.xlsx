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C6842EC-8945-4E46-BAAA-FB9324CDE7F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<sst xmlns="http://schemas.openxmlformats.org/spreadsheetml/2006/main" count="3948" uniqueCount="523">
  <si>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</si>
  <si>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</si>
  <si>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</si>
  <si>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</si>
  <si>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</si>
  <si>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</si>
  <si>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</si>
  <si>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</si>
  <si>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</si>
  <si>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</si>
  <si>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</si>
  <si>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</si>
  <si>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</si>
  <si>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</si>
  <si>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</si>
  <si>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</si>
  <si>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</si>
  <si>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</si>
  <si>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</si>
  <si>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</si>
  <si>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</si>
  <si>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</si>
  <si>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</si>
  <si>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</si>
  <si>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</si>
  <si>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</si>
  <si>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</si>
  <si>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</si>
  <si>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</si>
  <si>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</si>
  <si>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</si>
  <si>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</si>
  <si>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</si>
  <si>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</si>
  <si>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</si>
  <si>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</si>
  <si>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</si>
  <si>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</si>
  <si>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</si>
  <si>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</si>
  <si>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</si>
  <si>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</si>
  <si>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</si>
  <si>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</si>
  <si>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</si>
  <si>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</si>
  <si>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</si>
  <si>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</si>
  <si>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</si>
  <si>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</si>
  <si>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</si>
  <si>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</si>
  <si>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</si>
  <si>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</si>
  <si>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</si>
  <si>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</si>
  <si>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</si>
  <si>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</si>
  <si>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</si>
  <si>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</si>
  <si>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</si>
  <si>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</si>
  <si>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</si>
  <si>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</si>
  <si>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</si>
  <si>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</si>
  <si>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</si>
  <si>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</si>
  <si>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</si>
  <si>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</si>
  <si>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</si>
  <si>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</si>
  <si>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</si>
  <si>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</si>
  <si>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</si>
  <si>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</si>
  <si>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</si>
  <si>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</si>
  <si>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</si>
  <si>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</si>
  <si>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</si>
  <si>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</si>
  <si>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</si>
  <si>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</si>
  <si>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</si>
  <si>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</si>
  <si>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</si>
  <si>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</si>
  <si>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</si>
  <si>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</si>
  <si>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</si>
  <si>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</si>
  <si>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</si>
  <si>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</si>
  <si>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</si>
  <si>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</si>
  <si>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</si>
  <si>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</si>
  <si>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</si>
  <si>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</si>
  <si>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</si>
  <si>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</si>
  <si>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</si>
  <si>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</si>
  <si>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</si>
  <si>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</si>
  <si>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</si>
  <si>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</si>
  <si>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</si>
  <si>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</si>
  <si>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</si>
  <si>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</si>
  <si>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</si>
  <si>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</si>
  <si>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</si>
  <si>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</si>
  <si>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</si>
  <si>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</si>
  <si>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</si>
  <si>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</si>
  <si>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</si>
  <si>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</si>
  <si>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</si>
  <si>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</si>
  <si>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</si>
  <si>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</si>
  <si>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</si>
  <si>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</si>
  <si>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</si>
  <si>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</si>
  <si>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</si>
  <si>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</si>
  <si>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</si>
  <si>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</si>
  <si>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</si>
  <si>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</si>
  <si>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</si>
  <si>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</si>
  <si>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</si>
  <si>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</si>
  <si>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</si>
  <si>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</si>
  <si>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</si>
  <si>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</si>
  <si>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</si>
  <si>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</si>
  <si>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</si>
  <si>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</si>
  <si>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</si>
  <si>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</si>
  <si>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</si>
  <si>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</si>
  <si>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</si>
  <si>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</si>
  <si>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</si>
  <si>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</si>
  <si>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</si>
  <si>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</si>
  <si>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</si>
  <si>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</si>
  <si>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</si>
  <si>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</si>
  <si>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</si>
  <si>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</si>
  <si>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</si>
  <si>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</si>
  <si>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</si>
  <si>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</si>
  <si>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</si>
  <si>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</si>
  <si>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</si>
  <si>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</si>
  <si>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</si>
  <si>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</si>
  <si>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</si>
  <si>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</si>
  <si>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</si>
  <si>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</si>
  <si>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</si>
  <si>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</si>
  <si>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</si>
  <si>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</si>
  <si>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</si>
  <si>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</si>
  <si>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</si>
  <si>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</si>
  <si>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</si>
  <si>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</si>
  <si>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</si>
  <si>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</si>
  <si>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</si>
  <si>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</si>
  <si>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</si>
  <si>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</si>
  <si>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</si>
  <si>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</si>
  <si>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</si>
  <si>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</si>
  <si>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</si>
  <si>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</si>
  <si>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</si>
  <si>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</si>
  <si>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</si>
  <si>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</si>
  <si>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</si>
  <si>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</si>
  <si>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</si>
  <si>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</si>
  <si>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</si>
  <si>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</si>
  <si>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</si>
  <si>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</si>
  <si>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</si>
  <si>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</si>
  <si>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</si>
  <si>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</si>
  <si>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</si>
  <si>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</si>
  <si>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</si>
  <si>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</si>
  <si>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</si>
  <si>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</si>
  <si>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</si>
  <si>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</si>
  <si>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</si>
  <si>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</si>
  <si>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</si>
  <si>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</si>
  <si>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</si>
  <si>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</si>
  <si>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</si>
  <si>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</si>
  <si>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</si>
  <si>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</si>
  <si>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</si>
  <si>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</si>
  <si>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</si>
  <si>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</si>
  <si>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</si>
  <si>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</si>
  <si>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</si>
  <si>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</si>
  <si>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</si>
  <si>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</si>
  <si>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</si>
  <si>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</si>
  <si>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</si>
  <si>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</si>
  <si>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</si>
  <si>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</si>
  <si>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</si>
  <si>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</si>
  <si>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</si>
  <si>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</si>
  <si>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</si>
  <si>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</si>
  <si>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</si>
  <si>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</si>
  <si>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</si>
  <si>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</si>
  <si>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</si>
  <si>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</si>
  <si>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</si>
  <si>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</si>
  <si>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</si>
  <si>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</si>
  <si>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</si>
  <si>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</si>
  <si>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</si>
  <si>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</si>
  <si>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</si>
  <si>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</si>
  <si>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</si>
  <si>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</si>
  <si>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</si>
  <si>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</si>
  <si>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</si>
  <si>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</si>
  <si>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</si>
  <si>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</si>
  <si>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</si>
  <si>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</si>
  <si>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</si>
  <si>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</si>
  <si>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</si>
  <si>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</si>
  <si>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</si>
  <si>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</si>
  <si>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</si>
  <si>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</si>
  <si>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</si>
  <si>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</si>
  <si>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</si>
  <si>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</si>
  <si>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</si>
  <si>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</si>
  <si>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</si>
  <si>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</si>
  <si>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</si>
  <si>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</si>
  <si>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</si>
  <si>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</si>
  <si>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</si>
  <si>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</si>
  <si>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</si>
  <si>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</si>
  <si>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</si>
  <si>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</si>
  <si>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</si>
  <si>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</si>
  <si>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</si>
  <si>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</si>
  <si>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</si>
  <si>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</si>
  <si>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</si>
  <si>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</si>
  <si>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</si>
  <si>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</si>
  <si>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</si>
  <si>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</si>
  <si>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</si>
  <si>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</si>
  <si>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</si>
  <si>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</si>
  <si>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</si>
  <si>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</si>
  <si>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</si>
  <si>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</si>
  <si>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</si>
  <si>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</si>
  <si>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</si>
  <si>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</si>
  <si>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</si>
  <si>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</si>
  <si>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</si>
  <si>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</si>
  <si>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</si>
  <si>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</si>
  <si>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</si>
  <si>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</si>
  <si>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</si>
  <si>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</si>
  <si>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</si>
  <si>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</si>
  <si>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</si>
  <si>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</si>
  <si>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</si>
  <si>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</si>
  <si>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</si>
  <si>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</si>
  <si>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</si>
  <si>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</si>
  <si>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</si>
  <si>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</si>
  <si>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</si>
  <si>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</si>
  <si>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</si>
  <si>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</si>
  <si>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</si>
  <si>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</si>
  <si>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</si>
  <si>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</si>
  <si>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</si>
  <si>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</si>
  <si>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</si>
  <si>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</si>
  <si>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</si>
  <si>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</si>
  <si>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</si>
  <si>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</si>
  <si>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</si>
  <si>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</si>
  <si>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</si>
  <si>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</si>
  <si>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</si>
  <si>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</si>
  <si>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</si>
  <si>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</si>
  <si>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</si>
  <si>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</si>
  <si>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</si>
  <si>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</si>
  <si>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</si>
  <si>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</si>
  <si>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</si>
  <si>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</si>
  <si>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</si>
  <si>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</si>
  <si>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</si>
  <si>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</si>
  <si>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</si>
  <si>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</si>
  <si>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</si>
  <si>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</si>
  <si>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</si>
  <si>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</si>
  <si>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</si>
  <si>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</si>
  <si>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</si>
  <si>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</si>
  <si>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</si>
  <si>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</si>
  <si>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</si>
  <si>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</si>
  <si>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</si>
  <si>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</si>
  <si>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</si>
  <si>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</si>
  <si>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</si>
  <si>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</si>
  <si>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</si>
  <si>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</si>
  <si>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</si>
  <si>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</si>
  <si>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</si>
  <si>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</si>
  <si>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</si>
  <si>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</si>
  <si>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</si>
  <si>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</si>
  <si>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</si>
  <si>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</si>
  <si>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</si>
  <si>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</si>
  <si>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</si>
  <si>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</si>
  <si>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</si>
  <si>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</si>
  <si>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</si>
  <si>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</si>
  <si>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</si>
  <si>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</si>
  <si>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</si>
  <si>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</si>
  <si>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</si>
  <si>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</si>
  <si>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</si>
  <si>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</si>
  <si>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</si>
  <si>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</si>
  <si>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</si>
  <si>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</si>
  <si>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</si>
  <si>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</si>
  <si>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</si>
  <si>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</si>
  <si>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</si>
  <si>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</si>
  <si>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</si>
  <si>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</si>
  <si>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</si>
  <si>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</si>
  <si>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</si>
  <si>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</si>
  <si>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</si>
  <si>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</si>
  <si>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</si>
  <si>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</si>
  <si>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</si>
  <si>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</si>
  <si>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</si>
  <si>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</si>
  <si>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</si>
  <si>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</si>
  <si>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</si>
  <si>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</si>
  <si>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</si>
  <si>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</si>
  <si>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</si>
  <si>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</si>
  <si>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</si>
  <si>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</si>
  <si>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</si>
  <si>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</si>
  <si>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</si>
  <si>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</si>
  <si>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</si>
  <si>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</si>
  <si>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</si>
  <si>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</si>
  <si>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</si>
  <si>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</si>
  <si>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</si>
  <si>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</si>
  <si>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</si>
  <si>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</si>
  <si>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</si>
  <si>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</si>
  <si>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</si>
  <si>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</si>
  <si>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</si>
  <si>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</si>
  <si>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</si>
  <si>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</si>
  <si>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</si>
  <si>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</si>
  <si>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</si>
  <si>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</si>
  <si>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</si>
  <si>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</si>
  <si>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</si>
  <si>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</si>
  <si>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</si>
  <si>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</si>
  <si>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</si>
  <si>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</si>
  <si>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</si>
  <si>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</si>
  <si>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</si>
  <si>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</si>
  <si>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</si>
  <si>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</si>
  <si>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</si>
  <si>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</si>
  <si>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</si>
  <si>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 xml:space="preserve">Address: Ali Park </t>
  </si>
  <si>
    <t>Bilal Store</t>
  </si>
  <si>
    <t>Shary Store</t>
  </si>
  <si>
    <t>Fakhir Store</t>
  </si>
  <si>
    <t>Mian Store</t>
  </si>
  <si>
    <t xml:space="preserve">Green Mart </t>
  </si>
  <si>
    <t>Address: DHA</t>
  </si>
  <si>
    <t>Babar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</si>
</sst>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Bilal Store</v>
      </c>
      <c r="T3" s="301">
        <f>+'1'!P35</f>
        <v>566.26289570974575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Shary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Fakhir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Mian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Green Mart </v>
      </c>
      <c r="T7" s="301">
        <f>+'5'!P35</f>
        <v>23347.372676186445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Babar Store</v>
      </c>
      <c r="T8" s="301">
        <f>+'6'!P35</f>
        <v>958.28934384533898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70</v>
      </c>
      <c r="I9" s="236">
        <f t="shared" si="0"/>
        <v>3672.375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293.78999999999996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128.53312500000001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3250.0518750000001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694.06779661016913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19.720598358050847</v>
      </c>
      <c r="P9" s="311">
        <f t="shared" si="2"/>
        <v>3963.8402699682201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464.89600000000002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5142.9120000000003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31.206085423728815</v>
      </c>
      <c r="P10" s="311">
        <f t="shared" si="2"/>
        <v>6272.4231701694916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311">
        <f t="shared" si="2"/>
        <v>6272.4231701694916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85</v>
      </c>
      <c r="I12" s="236">
        <f t="shared" si="0"/>
        <v>6174.4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216.10400000000001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5464.3439999999991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1166.949152542373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33.156465762711868</v>
      </c>
      <c r="P12" s="311">
        <f t="shared" si="2"/>
        <v>6664.4496183050842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9.375</v>
      </c>
      <c r="H16" s="113">
        <f t="shared" ref="H16:M16" si="3">SUM(H7:H15)</f>
        <v>375</v>
      </c>
      <c r="I16" s="114">
        <f t="shared" si="3"/>
        <v>24616.925000000003</v>
      </c>
      <c r="J16" s="274">
        <f>SUM(J7:J15)</f>
        <v>1969.3539999999998</v>
      </c>
      <c r="K16" s="275">
        <f t="shared" si="3"/>
        <v>861.59237500000017</v>
      </c>
      <c r="L16" s="276">
        <f t="shared" si="3"/>
        <v>0</v>
      </c>
      <c r="M16" s="232">
        <f t="shared" si="3"/>
        <v>21785.978625</v>
      </c>
      <c r="N16" s="233">
        <f>SUM(N7:N15)</f>
        <v>4652.5423728813548</v>
      </c>
      <c r="O16" s="101">
        <f>SUM(O7:O15)</f>
        <v>132.19260498940676</v>
      </c>
      <c r="P16" s="113">
        <f>SUM(P7:P15)</f>
        <v>26570.713602870761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24616.925000000003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1969.3539999999998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861.59237500000017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21785.978625000003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4652.5423728813548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26438.520997881358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132.19260498940676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26570.713602870765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26570.713602870768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7.2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ref="I18:I21" si="7">(G18*D18)*F18+H18*F18</f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524.625</v>
      </c>
      <c r="J25" s="274">
        <f>SUM(J16:J24)</f>
        <v>41.97</v>
      </c>
      <c r="K25" s="275">
        <f t="shared" si="10"/>
        <v>18.361875000000001</v>
      </c>
      <c r="L25" s="276">
        <f t="shared" si="10"/>
        <v>0</v>
      </c>
      <c r="M25" s="232">
        <f t="shared" si="10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5</v>
      </c>
      <c r="I18" s="236">
        <f t="shared" si="0"/>
        <v>262.3125</v>
      </c>
      <c r="J18" s="272">
        <f t="shared" si="1"/>
        <v>20.984999999999999</v>
      </c>
      <c r="K18" s="128">
        <f t="shared" si="1"/>
        <v>9.1809375000000006</v>
      </c>
      <c r="L18" s="119">
        <f t="shared" si="1"/>
        <v>0</v>
      </c>
      <c r="M18" s="230">
        <f t="shared" si="2"/>
        <v>232.14656250000002</v>
      </c>
      <c r="N18" s="277">
        <f t="shared" si="3"/>
        <v>49.576271186440657</v>
      </c>
      <c r="O18" s="239">
        <f t="shared" si="4"/>
        <v>1.4086141684322033</v>
      </c>
      <c r="P18" s="119">
        <f t="shared" si="5"/>
        <v>283.13144785487287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464.89600000000002</v>
      </c>
      <c r="K19" s="128">
        <f t="shared" si="1"/>
        <v>203.39200000000002</v>
      </c>
      <c r="L19" s="119">
        <f t="shared" si="1"/>
        <v>0</v>
      </c>
      <c r="M19" s="230">
        <f t="shared" si="2"/>
        <v>5142.9120000000003</v>
      </c>
      <c r="N19" s="277">
        <f t="shared" si="3"/>
        <v>1098.3050847457628</v>
      </c>
      <c r="O19" s="239">
        <f t="shared" si="4"/>
        <v>31.206085423728815</v>
      </c>
      <c r="P19" s="119">
        <f t="shared" si="5"/>
        <v>6272.4231701694916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320</v>
      </c>
      <c r="I25" s="114">
        <f t="shared" si="7"/>
        <v>21630.600000000002</v>
      </c>
      <c r="J25" s="274">
        <f>SUM(J16:J24)</f>
        <v>1730.4479999999999</v>
      </c>
      <c r="K25" s="275">
        <f t="shared" si="7"/>
        <v>757.07100000000014</v>
      </c>
      <c r="L25" s="276">
        <f t="shared" si="7"/>
        <v>0</v>
      </c>
      <c r="M25" s="232">
        <f t="shared" si="7"/>
        <v>19143.081000000002</v>
      </c>
      <c r="N25" s="233">
        <f>SUM(N16:N24)</f>
        <v>4088.1355932203387</v>
      </c>
      <c r="O25" s="101">
        <f>SUM(O16:O24)</f>
        <v>116.15608296610171</v>
      </c>
      <c r="P25" s="234">
        <f>SUM(P16:P24)</f>
        <v>23347.372676186442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21630.600000000002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1730.4479999999999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757.07100000000014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19143.081000000002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4088.1355932203387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23231.216593220342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116.15608296610172</v>
      </c>
    </row>
    <row r="35" spans="2:16" ht="15.75" customHeight="1" thickBot="1" x14ac:dyDescent="0.4">
      <c r="N35" s="345" t="s">
        <v>88</v>
      </c>
      <c r="O35" s="346"/>
      <c r="P35" s="297">
        <f>+P33+P34</f>
        <v>23347.372676186445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15</v>
      </c>
      <c r="I25" s="114">
        <f t="shared" si="7"/>
        <v>887.82500000000005</v>
      </c>
      <c r="J25" s="274">
        <f>SUM(J16:J24)</f>
        <v>71.025999999999996</v>
      </c>
      <c r="K25" s="275">
        <f t="shared" si="7"/>
        <v>31.073875000000001</v>
      </c>
      <c r="L25" s="276">
        <f t="shared" si="7"/>
        <v>0</v>
      </c>
      <c r="M25" s="232">
        <f t="shared" si="7"/>
        <v>785.72512500000005</v>
      </c>
      <c r="N25" s="233">
        <f>SUM(N16:N24)</f>
        <v>167.79661016949149</v>
      </c>
      <c r="O25" s="101">
        <f>SUM(O16:O24)</f>
        <v>4.7676086758474572</v>
      </c>
      <c r="P25" s="234">
        <f>SUM(P16:P24)</f>
        <v>958.28934384533898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887.82500000000005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71.025999999999996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31.073875000000001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785.72512500000005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167.79661016949149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953.52173516949154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4.7676086758474581</v>
      </c>
    </row>
    <row r="35" spans="2:16" ht="15.75" customHeight="1" thickBot="1" x14ac:dyDescent="0.4">
      <c r="N35" s="345" t="s">
        <v>88</v>
      </c>
      <c r="O35" s="346"/>
      <c r="P35" s="297">
        <f>+P33+P34</f>
        <v>958.28934384533898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2026-10-01T12:07:34Z</dcterms:modified>
</cp:coreProperties>
</file>