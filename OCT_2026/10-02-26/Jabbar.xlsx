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7BAEF5F-7ED9-4248-AADC-A97F6B5583B6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M16" i="44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<sst xmlns="http://schemas.openxmlformats.org/spreadsheetml/2006/main" count="3948" uniqueCount="521">
  <si>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</si>
  <si>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</si>
  <si>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</si>
  <si>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</si>
  <si>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</si>
  <si>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</si>
  <si>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</si>
  <si>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</si>
  <si>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</si>
  <si>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</si>
  <si>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</si>
  <si>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</si>
  <si>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</si>
  <si>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</si>
  <si>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</si>
  <si>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</si>
  <si>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</si>
  <si>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</si>
  <si>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</si>
  <si>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</si>
  <si>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</si>
  <si>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</si>
  <si>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</si>
  <si>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</si>
  <si>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</si>
  <si>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</si>
  <si>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</si>
  <si>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</si>
  <si>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</si>
  <si>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</si>
  <si>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</si>
  <si>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</si>
  <si>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</si>
  <si>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</si>
  <si>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</si>
  <si>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</si>
  <si>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</si>
  <si>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</si>
  <si>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</si>
  <si>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</si>
  <si>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</si>
  <si>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</si>
  <si>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</si>
  <si>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</si>
  <si>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</si>
  <si>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</si>
  <si>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</si>
  <si>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</si>
  <si>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</si>
  <si>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</si>
  <si>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</si>
  <si>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</si>
  <si>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</si>
  <si>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</si>
  <si>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</si>
  <si>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</si>
  <si>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</si>
  <si>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</si>
  <si>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</si>
  <si>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</si>
  <si>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</si>
  <si>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</si>
  <si>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</si>
  <si>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</si>
  <si>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</si>
  <si>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</si>
  <si>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</si>
  <si>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</si>
  <si>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</si>
  <si>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</si>
  <si>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</si>
  <si>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</si>
  <si>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</si>
  <si>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</si>
  <si>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</si>
  <si>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</si>
  <si>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</si>
  <si>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</si>
  <si>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</si>
  <si>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</si>
  <si>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</si>
  <si>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</si>
  <si>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</si>
  <si>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</si>
  <si>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</si>
  <si>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</si>
  <si>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</si>
  <si>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</si>
  <si>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</si>
  <si>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</si>
  <si>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</si>
  <si>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</si>
  <si>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</si>
  <si>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</si>
  <si>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</si>
  <si>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</si>
  <si>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</si>
  <si>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</si>
  <si>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</si>
  <si>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</si>
  <si>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</si>
  <si>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</si>
  <si>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</si>
  <si>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</si>
  <si>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</si>
  <si>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</si>
  <si>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</si>
  <si>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</si>
  <si>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</si>
  <si>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</si>
  <si>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</si>
  <si>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</si>
  <si>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</si>
  <si>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</si>
  <si>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</si>
  <si>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</si>
  <si>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</si>
  <si>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</si>
  <si>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</si>
  <si>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</si>
  <si>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</si>
  <si>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</si>
  <si>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</si>
  <si>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</si>
  <si>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</si>
  <si>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</si>
  <si>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</si>
  <si>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</si>
  <si>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</si>
  <si>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</si>
  <si>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</si>
  <si>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</si>
  <si>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</si>
  <si>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</si>
  <si>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</si>
  <si>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</si>
  <si>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</si>
  <si>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</si>
  <si>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</si>
  <si>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</si>
  <si>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</si>
  <si>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</si>
  <si>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</si>
  <si>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</si>
  <si>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</si>
  <si>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</si>
  <si>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</si>
  <si>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</si>
  <si>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</si>
  <si>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</si>
  <si>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</si>
  <si>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</si>
  <si>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</si>
  <si>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</si>
  <si>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</si>
  <si>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</si>
  <si>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</si>
  <si>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</si>
  <si>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</si>
  <si>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</si>
  <si>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</si>
  <si>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</si>
  <si>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</si>
  <si>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</si>
  <si>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</si>
  <si>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</si>
  <si>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</si>
  <si>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</si>
  <si>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</si>
  <si>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</si>
  <si>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</si>
  <si>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</si>
  <si>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</si>
  <si>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</si>
  <si>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</si>
  <si>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</si>
  <si>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</si>
  <si>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</si>
  <si>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</si>
  <si>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</si>
  <si>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</si>
  <si>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</si>
  <si>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</si>
  <si>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</si>
  <si>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</si>
  <si>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</si>
  <si>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</si>
  <si>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</si>
  <si>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</si>
  <si>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</si>
  <si>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</si>
  <si>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</si>
  <si>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</si>
  <si>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</si>
  <si>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</si>
  <si>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</si>
  <si>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</si>
  <si>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</si>
  <si>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</si>
  <si>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</si>
  <si>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</si>
  <si>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</si>
  <si>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</si>
  <si>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</si>
  <si>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</si>
  <si>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</si>
  <si>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</si>
  <si>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</si>
  <si>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</si>
  <si>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</si>
  <si>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</si>
  <si>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</si>
  <si>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</si>
  <si>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</si>
  <si>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</si>
  <si>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</si>
  <si>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</si>
  <si>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</si>
  <si>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</si>
  <si>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</si>
  <si>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</si>
  <si>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</si>
  <si>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</si>
  <si>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</si>
  <si>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</si>
  <si>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</si>
  <si>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</si>
  <si>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</si>
  <si>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</si>
  <si>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</si>
  <si>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</si>
  <si>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</si>
  <si>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</si>
  <si>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</si>
  <si>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</si>
  <si>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</si>
  <si>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</si>
  <si>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</si>
  <si>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</si>
  <si>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</si>
  <si>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</si>
  <si>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</si>
  <si>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</si>
  <si>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</si>
  <si>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</si>
  <si>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</si>
  <si>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</si>
  <si>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</si>
  <si>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</si>
  <si>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</si>
  <si>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</si>
  <si>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</si>
  <si>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</si>
  <si>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</si>
  <si>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</si>
  <si>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</si>
  <si>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</si>
  <si>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</si>
  <si>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</si>
  <si>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</si>
  <si>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</si>
  <si>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</si>
  <si>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</si>
  <si>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</si>
  <si>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</si>
  <si>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</si>
  <si>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</si>
  <si>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</si>
  <si>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</si>
  <si>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</si>
  <si>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</si>
  <si>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</si>
  <si>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</si>
  <si>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</si>
  <si>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</si>
  <si>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</si>
  <si>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</si>
  <si>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</si>
  <si>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</si>
  <si>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</si>
  <si>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</si>
  <si>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</si>
  <si>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</si>
  <si>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</si>
  <si>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</si>
  <si>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</si>
  <si>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</si>
  <si>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</si>
  <si>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</si>
  <si>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</si>
  <si>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</si>
  <si>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</si>
  <si>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</si>
  <si>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</si>
  <si>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</si>
  <si>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</si>
  <si>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</si>
  <si>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</si>
  <si>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</si>
  <si>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</si>
  <si>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</si>
  <si>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</si>
  <si>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</si>
  <si>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</si>
  <si>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</si>
  <si>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</si>
  <si>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</si>
  <si>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</si>
  <si>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</si>
  <si>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</si>
  <si>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</si>
  <si>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</si>
  <si>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</si>
  <si>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</si>
  <si>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</si>
  <si>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</si>
  <si>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</si>
  <si>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</si>
  <si>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</si>
  <si>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</si>
  <si>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</si>
  <si>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</si>
  <si>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</si>
  <si>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</si>
  <si>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</si>
  <si>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</si>
  <si>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</si>
  <si>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</si>
  <si>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</si>
  <si>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</si>
  <si>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</si>
  <si>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</si>
  <si>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</si>
  <si>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</si>
  <si>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</si>
  <si>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</si>
  <si>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</si>
  <si>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</si>
  <si>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</si>
  <si>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</si>
  <si>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</si>
  <si>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</si>
  <si>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</si>
  <si>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</si>
  <si>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</si>
  <si>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</si>
  <si>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</si>
  <si>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</si>
  <si>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</si>
  <si>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</si>
  <si>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</si>
  <si>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</si>
  <si>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</si>
  <si>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</si>
  <si>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</si>
  <si>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</si>
  <si>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</si>
  <si>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</si>
  <si>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</si>
  <si>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</si>
  <si>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</si>
  <si>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</si>
  <si>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</si>
  <si>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</si>
  <si>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</si>
  <si>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</si>
  <si>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</si>
  <si>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</si>
  <si>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</si>
  <si>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</si>
  <si>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</si>
  <si>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</si>
  <si>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</si>
  <si>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</si>
  <si>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</si>
  <si>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</si>
  <si>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</si>
  <si>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</si>
  <si>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</si>
  <si>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</si>
  <si>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</si>
  <si>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</si>
  <si>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</si>
  <si>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</si>
  <si>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</si>
  <si>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</si>
  <si>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</si>
  <si>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</si>
  <si>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</si>
  <si>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</si>
  <si>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</si>
  <si>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</si>
  <si>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</si>
  <si>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</si>
  <si>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</si>
  <si>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</si>
  <si>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</si>
  <si>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</si>
  <si>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</si>
  <si>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</si>
  <si>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</si>
  <si>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</si>
  <si>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</si>
  <si>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</si>
  <si>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</si>
  <si>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</si>
  <si>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</si>
  <si>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</si>
  <si>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</si>
  <si>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</si>
  <si>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</si>
  <si>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</si>
  <si>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</si>
  <si>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</si>
  <si>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</si>
  <si>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</si>
  <si>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</si>
  <si>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</si>
  <si>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</si>
  <si>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</si>
  <si>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</si>
  <si>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</si>
  <si>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</si>
  <si>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</si>
  <si>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</si>
  <si>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</si>
  <si>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</si>
  <si>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</si>
  <si>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</si>
  <si>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</si>
  <si>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</si>
  <si>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</si>
  <si>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</si>
  <si>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</si>
  <si>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</si>
  <si>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</si>
  <si>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</si>
  <si>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</si>
  <si>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</si>
  <si>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</si>
  <si>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</si>
  <si>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</si>
  <si>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</si>
  <si>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</si>
  <si>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</si>
  <si>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</si>
  <si>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</si>
  <si>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</si>
  <si>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</si>
  <si>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</si>
  <si>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</si>
  <si>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</si>
  <si>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</si>
  <si>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</si>
  <si>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</si>
  <si>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</si>
  <si>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</si>
  <si>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</si>
  <si>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</si>
  <si>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</si>
  <si>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</si>
  <si>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</si>
  <si>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</si>
  <si>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</si>
  <si>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</si>
  <si>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</si>
  <si>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</si>
  <si>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</si>
  <si>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</si>
  <si>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</si>
  <si>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</si>
  <si>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</si>
  <si>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</si>
  <si>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</si>
  <si>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</si>
  <si>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</si>
  <si>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</si>
  <si>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</si>
  <si>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</si>
  <si>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</si>
  <si>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</si>
  <si>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</si>
  <si>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</si>
  <si>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</si>
  <si>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</si>
  <si>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</si>
  <si>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</si>
  <si>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</si>
  <si>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</si>
  <si>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</si>
  <si>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</si>
  <si>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</si>
  <si>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</si>
  <si>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</si>
  <si>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</si>
  <si>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</si>
  <si>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</si>
  <si>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</si>
  <si>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</si>
  <si>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</si>
  <si>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</si>
  <si>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</si>
  <si>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</si>
  <si>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</si>
  <si>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</si>
  <si>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</si>
  <si>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</si>
  <si>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</si>
  <si>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</si>
  <si>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</si>
  <si>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</si>
  <si>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</si>
  <si>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</si>
  <si>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</si>
  <si>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</si>
  <si>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 xml:space="preserve">Address: Green City </t>
  </si>
  <si>
    <t xml:space="preserve">K Mart </t>
  </si>
  <si>
    <t xml:space="preserve">Ayan Mart </t>
  </si>
  <si>
    <t xml:space="preserve">Address: Paragon </t>
  </si>
  <si>
    <t xml:space="preserve">Pick And Pack </t>
  </si>
  <si>
    <t>Hikma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</si>
</sst>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sqref="A1:T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K Mart 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Ayan Mart </v>
      </c>
      <c r="T4" s="301">
        <f>+'2'!P35</f>
        <v>940.86347552542372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Pick And Pack </v>
      </c>
      <c r="T5" s="301">
        <f>+'3'!P35</f>
        <v>7666.3147507627118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Hikma Store</v>
      </c>
      <c r="T6" s="301">
        <f>+'4'!P35</f>
        <v>5401.2631679237284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55</v>
      </c>
      <c r="I7" s="235">
        <f>(G7*D7)*F7+H7*F7</f>
        <v>2885.4375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230.83499999999998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100.99031250000002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2553.6121874999999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545.33898305084722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15.494755852754237</v>
      </c>
      <c r="P7" s="310">
        <f>M7+N7+O7</f>
        <v>3114.4459264036013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55</v>
      </c>
      <c r="I9" s="236">
        <f t="shared" si="0"/>
        <v>2885.4375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230.83499999999998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100.99031250000002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2553.6121874999999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545.33898305084722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15.494755852754237</v>
      </c>
      <c r="P9" s="311">
        <f t="shared" si="2"/>
        <v>3114.4459264036013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50</v>
      </c>
      <c r="I10" s="236">
        <f t="shared" si="0"/>
        <v>3632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127.12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3214.32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686.4406779661017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19.503803389830509</v>
      </c>
      <c r="P10" s="311">
        <f t="shared" si="2"/>
        <v>3920.2644813559323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62</v>
      </c>
      <c r="I12" s="236">
        <f t="shared" si="0"/>
        <v>4503.68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360.2944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157.62880000000001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3985.7568000000001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851.18644067796617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24.184716203389829</v>
      </c>
      <c r="P12" s="311">
        <f t="shared" si="2"/>
        <v>4861.1279568813561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6.3</v>
      </c>
      <c r="H16" s="113">
        <f t="shared" ref="H16:M16" si="3">SUM(H7:H15)</f>
        <v>252</v>
      </c>
      <c r="I16" s="114">
        <f t="shared" si="3"/>
        <v>15883.98</v>
      </c>
      <c r="J16" s="274">
        <f>SUM(J7:J15)</f>
        <v>1270.7184</v>
      </c>
      <c r="K16" s="275">
        <f t="shared" si="3"/>
        <v>555.9393</v>
      </c>
      <c r="L16" s="276">
        <f t="shared" si="3"/>
        <v>0</v>
      </c>
      <c r="M16" s="232">
        <f t="shared" si="3"/>
        <v>14057.3223</v>
      </c>
      <c r="N16" s="233">
        <f>SUM(N7:N15)</f>
        <v>3002.0338983050842</v>
      </c>
      <c r="O16" s="101">
        <f>SUM(O7:O15)</f>
        <v>85.296780991525424</v>
      </c>
      <c r="P16" s="113">
        <f>SUM(P7:P15)</f>
        <v>17144.65297929661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15883.98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1270.7184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555.9393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14057.3223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3002.0338983050842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17059.356198305082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85.296780991525424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17144.652979296607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17144.65297929661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568.20799999999997</v>
      </c>
      <c r="K25" s="275">
        <f t="shared" si="7"/>
        <v>248.59100000000004</v>
      </c>
      <c r="L25" s="276">
        <f t="shared" si="7"/>
        <v>0</v>
      </c>
      <c r="M25" s="232">
        <f t="shared" si="7"/>
        <v>6285.8010000000004</v>
      </c>
      <c r="N25" s="233">
        <f>SUM(N16:N24)</f>
        <v>1342.3728813559319</v>
      </c>
      <c r="O25" s="101">
        <f>SUM(O16:O24)</f>
        <v>38.140869406779657</v>
      </c>
      <c r="P25" s="234">
        <f>SUM(P16:P24)</f>
        <v>7666.3147507627118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7102.6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568.20799999999997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248.59100000000004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6285.8010000000004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7628.1738813559323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38.140869406779665</v>
      </c>
    </row>
    <row r="35" spans="2:16" ht="15.75" customHeight="1" thickBot="1" x14ac:dyDescent="0.4">
      <c r="N35" s="345" t="s">
        <v>88</v>
      </c>
      <c r="O35" s="346"/>
      <c r="P35" s="297">
        <f>+P33+P34</f>
        <v>7666.3147507627118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400.32800000000003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5374.3912118644066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46296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2026-10-01T11:52:19Z</dcterms:modified>
</cp:coreProperties>
</file>