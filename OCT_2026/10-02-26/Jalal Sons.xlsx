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E61B1B5-9BA4-4909-8BBC-29A10041CA8A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<sst xmlns="http://schemas.openxmlformats.org/spreadsheetml/2006/main" count="3977" uniqueCount="519">
  <si>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</si>
  <si>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</si>
  <si>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</si>
  <si>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</si>
  <si>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</si>
  <si>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</si>
  <si>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</si>
  <si>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</si>
  <si>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</si>
  <si>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</si>
  <si>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</si>
  <si>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</si>
  <si>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</si>
  <si>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</si>
  <si>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</si>
  <si>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</si>
  <si>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</si>
  <si>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</si>
  <si>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</si>
  <si>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</si>
  <si>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</si>
  <si>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</si>
  <si>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</si>
  <si>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</si>
  <si>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</si>
  <si>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</si>
  <si>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</si>
  <si>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</si>
  <si>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</si>
  <si>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</si>
  <si>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</si>
  <si>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</si>
  <si>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</si>
  <si>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</si>
  <si>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</si>
  <si>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</si>
  <si>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</si>
  <si>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</si>
  <si>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</si>
  <si>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</si>
  <si>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</si>
  <si>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</si>
  <si>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</si>
  <si>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</si>
  <si>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</si>
  <si>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</si>
  <si>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</si>
  <si>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</si>
  <si>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</si>
  <si>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</si>
  <si>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</si>
  <si>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</si>
  <si>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</si>
  <si>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</si>
  <si>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</si>
  <si>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</si>
  <si>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</si>
  <si>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</si>
  <si>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</si>
  <si>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</si>
  <si>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</si>
  <si>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</si>
  <si>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</si>
  <si>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</si>
  <si>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</si>
  <si>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</si>
  <si>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</si>
  <si>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</si>
  <si>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</si>
  <si>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</si>
  <si>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</si>
  <si>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</si>
  <si>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</si>
  <si>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</si>
  <si>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</si>
  <si>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</si>
  <si>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</si>
  <si>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</si>
  <si>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</si>
  <si>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</si>
  <si>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</si>
  <si>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</si>
  <si>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</si>
  <si>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</si>
  <si>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</si>
  <si>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</si>
  <si>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</si>
  <si>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</si>
  <si>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</si>
  <si>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</si>
  <si>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</si>
  <si>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</si>
  <si>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</si>
  <si>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</si>
  <si>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</si>
  <si>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</si>
  <si>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</si>
  <si>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</si>
  <si>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</si>
  <si>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</si>
  <si>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</si>
  <si>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</si>
  <si>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</si>
  <si>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</si>
  <si>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</si>
  <si>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</si>
  <si>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</si>
  <si>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</si>
  <si>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</si>
  <si>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</si>
  <si>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</si>
  <si>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</si>
  <si>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</si>
  <si>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</si>
  <si>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</si>
  <si>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</si>
  <si>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</si>
  <si>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</si>
  <si>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</si>
  <si>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</si>
  <si>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</si>
  <si>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</si>
  <si>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</si>
  <si>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</si>
  <si>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</si>
  <si>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</si>
  <si>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</si>
  <si>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</si>
  <si>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</si>
  <si>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</si>
  <si>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</si>
  <si>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</si>
  <si>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</si>
  <si>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</si>
  <si>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</si>
  <si>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</si>
  <si>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</si>
  <si>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</si>
  <si>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</si>
  <si>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</si>
  <si>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</si>
  <si>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</si>
  <si>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</si>
  <si>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</si>
  <si>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</si>
  <si>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</si>
  <si>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</si>
  <si>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</si>
  <si>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</si>
  <si>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</si>
  <si>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</si>
  <si>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</si>
  <si>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</si>
  <si>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</si>
  <si>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</si>
  <si>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</si>
  <si>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</si>
  <si>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</si>
  <si>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</si>
  <si>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</si>
  <si>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</si>
  <si>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</si>
  <si>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</si>
  <si>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</si>
  <si>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</si>
  <si>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</si>
  <si>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</si>
  <si>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</si>
  <si>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</si>
  <si>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</si>
  <si>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</si>
  <si>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</si>
  <si>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</si>
  <si>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</si>
  <si>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</si>
  <si>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</si>
  <si>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</si>
  <si>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</si>
  <si>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</si>
  <si>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</si>
  <si>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</si>
  <si>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</si>
  <si>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</si>
  <si>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</si>
  <si>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</si>
  <si>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</si>
  <si>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</si>
  <si>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</si>
  <si>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</si>
  <si>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</si>
  <si>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</si>
  <si>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</si>
  <si>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</si>
  <si>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</si>
  <si>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</si>
  <si>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</si>
  <si>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</si>
  <si>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</si>
  <si>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</si>
  <si>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</si>
  <si>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</si>
  <si>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</si>
  <si>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</si>
  <si>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</si>
  <si>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</si>
  <si>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</si>
  <si>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</si>
  <si>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</si>
  <si>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</si>
  <si>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</si>
  <si>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</si>
  <si>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</si>
  <si>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</si>
  <si>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</si>
  <si>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</si>
  <si>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</si>
  <si>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</si>
  <si>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</si>
  <si>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</si>
  <si>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</si>
  <si>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</si>
  <si>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</si>
  <si>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</si>
  <si>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</si>
  <si>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</si>
  <si>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</si>
  <si>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</si>
  <si>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</si>
  <si>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</si>
  <si>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</si>
  <si>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</si>
  <si>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</si>
  <si>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</si>
  <si>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</si>
  <si>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</si>
  <si>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</si>
  <si>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</si>
  <si>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</si>
  <si>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</si>
  <si>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</si>
  <si>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</si>
  <si>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</si>
  <si>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</si>
  <si>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</si>
  <si>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</si>
  <si>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</si>
  <si>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</si>
  <si>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</si>
  <si>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</si>
  <si>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</si>
  <si>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</si>
  <si>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</si>
  <si>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</si>
  <si>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</si>
  <si>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</si>
  <si>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</si>
  <si>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</si>
  <si>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</si>
  <si>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</si>
  <si>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</si>
  <si>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</si>
  <si>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</si>
  <si>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</si>
  <si>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</si>
  <si>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</si>
  <si>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</si>
  <si>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</si>
  <si>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</si>
  <si>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</si>
  <si>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</si>
  <si>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</si>
  <si>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</si>
  <si>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</si>
  <si>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</si>
  <si>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</si>
  <si>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</si>
  <si>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</si>
  <si>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</si>
  <si>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</si>
  <si>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</si>
  <si>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</si>
  <si>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</si>
  <si>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</si>
  <si>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</si>
  <si>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</si>
  <si>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</si>
  <si>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</si>
  <si>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</si>
  <si>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</si>
  <si>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</si>
  <si>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</si>
  <si>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</si>
  <si>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</si>
  <si>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</si>
  <si>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</si>
  <si>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</si>
  <si>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</si>
  <si>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</si>
  <si>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</si>
  <si>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</si>
  <si>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</si>
  <si>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</si>
  <si>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</si>
  <si>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</si>
  <si>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</si>
  <si>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</si>
  <si>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</si>
  <si>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</si>
  <si>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</si>
  <si>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</si>
  <si>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</si>
  <si>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</si>
  <si>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</si>
  <si>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</si>
  <si>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</si>
  <si>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</si>
  <si>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</si>
  <si>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</si>
  <si>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</si>
  <si>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</si>
  <si>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</si>
  <si>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</si>
  <si>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</si>
  <si>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</si>
  <si>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</si>
  <si>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</si>
  <si>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</si>
  <si>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</si>
  <si>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</si>
  <si>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</si>
  <si>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</si>
  <si>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</si>
  <si>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</si>
  <si>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</si>
  <si>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</si>
  <si>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</si>
  <si>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</si>
  <si>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</si>
  <si>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</si>
  <si>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</si>
  <si>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</si>
  <si>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</si>
  <si>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</si>
  <si>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</si>
  <si>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</si>
  <si>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</si>
  <si>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</si>
  <si>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</si>
  <si>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</si>
  <si>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</si>
  <si>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</si>
  <si>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</si>
  <si>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</si>
  <si>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</si>
  <si>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</si>
  <si>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</si>
  <si>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</si>
  <si>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</si>
  <si>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</si>
  <si>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</si>
  <si>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</si>
  <si>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</si>
  <si>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</si>
  <si>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</si>
  <si>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</si>
  <si>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</si>
  <si>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</si>
  <si>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</si>
  <si>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</si>
  <si>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</si>
  <si>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</si>
  <si>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</si>
  <si>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</si>
  <si>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</si>
  <si>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</si>
  <si>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</si>
  <si>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</si>
  <si>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</si>
  <si>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</si>
  <si>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</si>
  <si>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</si>
  <si>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</si>
  <si>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</si>
  <si>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</si>
  <si>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</si>
  <si>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</si>
  <si>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</si>
  <si>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</si>
  <si>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</si>
  <si>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</si>
  <si>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</si>
  <si>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</si>
  <si>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</si>
  <si>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</si>
  <si>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</si>
  <si>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</si>
  <si>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</si>
  <si>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</si>
  <si>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</si>
  <si>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</si>
  <si>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</si>
  <si>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</si>
  <si>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</si>
  <si>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</si>
  <si>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</si>
  <si>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</si>
  <si>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</si>
  <si>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</si>
  <si>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</si>
  <si>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</si>
  <si>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</si>
  <si>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</si>
  <si>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</si>
  <si>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</si>
  <si>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</si>
  <si>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</si>
  <si>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</si>
  <si>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</si>
  <si>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</si>
  <si>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</si>
  <si>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</si>
  <si>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</si>
  <si>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</si>
  <si>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</si>
  <si>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</si>
  <si>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</si>
  <si>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</si>
  <si>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</si>
  <si>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</si>
  <si>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</si>
  <si>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</si>
  <si>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</si>
  <si>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</si>
  <si>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</si>
  <si>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</si>
  <si>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</si>
  <si>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</si>
  <si>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</si>
  <si>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</si>
  <si>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</si>
  <si>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</si>
  <si>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</si>
  <si>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</si>
  <si>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</si>
  <si>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</si>
  <si>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</si>
  <si>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</si>
  <si>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</si>
  <si>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</si>
  <si>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</si>
  <si>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</si>
  <si>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</si>
  <si>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</si>
  <si>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</si>
  <si>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</si>
  <si>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</si>
  <si>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</si>
  <si>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</si>
  <si>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</si>
  <si>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</si>
  <si>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</si>
  <si>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</si>
  <si>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</si>
  <si>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</si>
  <si>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</si>
  <si>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</si>
  <si>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</si>
  <si>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</si>
  <si>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</si>
  <si>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</si>
  <si>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</si>
  <si>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</si>
  <si>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</si>
  <si>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</si>
  <si>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</si>
  <si>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</si>
  <si>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</si>
  <si>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</si>
  <si>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</si>
  <si>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</si>
  <si>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</si>
  <si>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</si>
  <si>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</si>
  <si>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</si>
  <si>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</si>
  <si>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</si>
  <si>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</si>
  <si>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</si>
  <si>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</si>
  <si>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</si>
  <si>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</si>
  <si>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</si>
  <si>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</si>
  <si>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</si>
  <si>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</si>
  <si>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</si>
  <si>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</si>
  <si>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</si>
  <si>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</si>
  <si>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</si>
  <si>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</si>
  <si>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</si>
  <si>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</si>
  <si>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</si>
  <si>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</si>
  <si>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</si>
  <si>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</si>
  <si>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</si>
  <si>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</si>
  <si>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</si>
  <si>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</si>
  <si>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</si>
  <si>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</si>
  <si>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</si>
  <si>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</si>
  <si>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Behria Orchard </t>
  </si>
  <si>
    <t>Invoice No # : 15141</t>
  </si>
  <si>
    <t xml:space="preserve">Address:  Johar Town </t>
  </si>
  <si>
    <t>Invoice No # :1543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</si>
</sst>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46296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31351.463702542373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15675.731851271186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944.32499999999993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5351.1750000000002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32.705027542372875</v>
      </c>
      <c r="P7" s="310">
        <f>M7+N7+O7</f>
        <v>6573.7105360169489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32.705027542372875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944.32499999999993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5351.1750000000002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32.705027542372875</v>
      </c>
      <c r="P9" s="311">
        <f t="shared" si="2"/>
        <v>6573.7105360169489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1307.52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7409.2799999999988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45.283688135593216</v>
      </c>
      <c r="P10" s="311">
        <f t="shared" si="2"/>
        <v>9102.0213152542365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1307.52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7409.2799999999988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45.283688135593216</v>
      </c>
      <c r="P11" s="311">
        <f t="shared" si="2"/>
        <v>9102.0213152542365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7409.2799999999988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45.283688135593216</v>
      </c>
      <c r="P12" s="311">
        <f t="shared" si="2"/>
        <v>9102.0213152542365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6755.5349999999999</v>
      </c>
      <c r="K16" s="275">
        <f t="shared" si="3"/>
        <v>0</v>
      </c>
      <c r="L16" s="276">
        <f t="shared" si="3"/>
        <v>0</v>
      </c>
      <c r="M16" s="232">
        <f t="shared" si="3"/>
        <v>38281.364999999998</v>
      </c>
      <c r="N16" s="233">
        <f>SUM(N7:N15)</f>
        <v>8511.8644067796595</v>
      </c>
      <c r="O16" s="101">
        <f>SUM(O7:O15)</f>
        <v>233.9661470338983</v>
      </c>
      <c r="P16" s="113">
        <f>SUM(P7:P15)</f>
        <v>47027.195553813552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45036.899999999994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6755.5349999999999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38281.364999999991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8511.8644067796595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46793.229406779647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233.9661470338983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47027.195553813544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47027.195553813559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E1" sqref="E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46296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629.54999999999995</v>
      </c>
      <c r="K16" s="127">
        <f>$I16*T16</f>
        <v>0</v>
      </c>
      <c r="L16" s="118">
        <f>$I16*U16</f>
        <v>0</v>
      </c>
      <c r="M16" s="229">
        <f>I16-SUM(J16:L16)</f>
        <v>3567.45</v>
      </c>
      <c r="N16" s="248">
        <f>+(G16*D16+H16)*V16</f>
        <v>793.22033898305051</v>
      </c>
      <c r="O16" s="238">
        <f>(N16+M16)*$O$15</f>
        <v>21.80335169491525</v>
      </c>
      <c r="P16" s="310">
        <f>M16+N16+O16</f>
        <v>4382.4736906779654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21.80335169491525</v>
      </c>
      <c r="P17" s="311">
        <f t="shared" ref="P17:P24" si="5">M17+N17+O17</f>
        <v>4382.4736906779654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0</v>
      </c>
      <c r="L18" s="119">
        <f t="shared" si="1"/>
        <v>0</v>
      </c>
      <c r="M18" s="230">
        <f t="shared" si="2"/>
        <v>3567.45</v>
      </c>
      <c r="N18" s="277">
        <f t="shared" si="3"/>
        <v>793.22033898305051</v>
      </c>
      <c r="O18" s="239">
        <f t="shared" si="4"/>
        <v>21.80335169491525</v>
      </c>
      <c r="P18" s="311">
        <f t="shared" si="5"/>
        <v>4382.4736906779654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871.68</v>
      </c>
      <c r="K19" s="128">
        <f t="shared" si="1"/>
        <v>0</v>
      </c>
      <c r="L19" s="119">
        <f t="shared" si="1"/>
        <v>0</v>
      </c>
      <c r="M19" s="230">
        <f t="shared" si="2"/>
        <v>4939.5199999999995</v>
      </c>
      <c r="N19" s="277">
        <f t="shared" si="3"/>
        <v>1098.3050847457628</v>
      </c>
      <c r="O19" s="239">
        <f t="shared" si="4"/>
        <v>30.189125423728811</v>
      </c>
      <c r="P19" s="311">
        <f t="shared" si="5"/>
        <v>6068.014210169491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871.68</v>
      </c>
      <c r="K21" s="128">
        <f t="shared" si="1"/>
        <v>0</v>
      </c>
      <c r="L21" s="119">
        <f t="shared" si="1"/>
        <v>0</v>
      </c>
      <c r="M21" s="230">
        <f t="shared" si="2"/>
        <v>4939.5199999999995</v>
      </c>
      <c r="N21" s="277">
        <f t="shared" si="3"/>
        <v>1098.3050847457628</v>
      </c>
      <c r="O21" s="239">
        <f t="shared" si="4"/>
        <v>30.189125423728811</v>
      </c>
      <c r="P21" s="311">
        <f t="shared" si="5"/>
        <v>6068.014210169491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4503.6899999999996</v>
      </c>
      <c r="K25" s="275">
        <f t="shared" si="10"/>
        <v>0</v>
      </c>
      <c r="L25" s="276">
        <f t="shared" si="10"/>
        <v>0</v>
      </c>
      <c r="M25" s="232">
        <f t="shared" si="10"/>
        <v>25520.91</v>
      </c>
      <c r="N25" s="233">
        <f>SUM(N16:N24)</f>
        <v>5674.576271186439</v>
      </c>
      <c r="O25" s="101">
        <f>SUM(O16:O24)</f>
        <v>155.9774313559322</v>
      </c>
      <c r="P25" s="113">
        <f>SUM(P16:P24)</f>
        <v>31351.463702542369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30024.600000000002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4503.6899999999996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25520.910000000003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31195.486271186441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155.9774313559322</v>
      </c>
    </row>
    <row r="35" spans="2:16" ht="15.75" customHeight="1" thickBot="1" x14ac:dyDescent="0.4">
      <c r="N35" s="342" t="s">
        <v>88</v>
      </c>
      <c r="O35" s="343"/>
      <c r="P35" s="297">
        <f>+P33+P34</f>
        <v>31351.463702542373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518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46296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2251.8449999999998</v>
      </c>
      <c r="K25" s="275">
        <f t="shared" si="7"/>
        <v>0</v>
      </c>
      <c r="L25" s="276">
        <f t="shared" si="7"/>
        <v>0</v>
      </c>
      <c r="M25" s="232">
        <f t="shared" si="7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15012.300000000001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2251.8449999999998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12760.455000000002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15597.74313559322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42" t="s">
        <v>88</v>
      </c>
      <c r="O35" s="343"/>
      <c r="P35" s="297">
        <f>+P33+P34</f>
        <v>15675.731851271186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46297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46296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2026-10-01T12:29:37Z</dcterms:modified>
</cp:coreProperties>
</file>