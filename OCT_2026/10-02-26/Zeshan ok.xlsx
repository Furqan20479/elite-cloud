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B3DE85C-CE78-4DF3-9E0C-6C38C4C819E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<sst xmlns="http://schemas.openxmlformats.org/spreadsheetml/2006/main" count="3948" uniqueCount="523">
  <si>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</si>
  <si>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</si>
  <si>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</si>
  <si>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</si>
  <si>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</si>
  <si>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</si>
  <si>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</si>
  <si>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</si>
  <si>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</si>
  <si>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</si>
  <si>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</si>
  <si>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</si>
  <si>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</si>
  <si>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</si>
  <si>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</si>
  <si>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</si>
  <si>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</si>
  <si>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</si>
  <si>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</si>
  <si>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</si>
  <si>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</si>
  <si>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</si>
  <si>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</si>
  <si>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</si>
  <si>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</si>
  <si>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</si>
  <si>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</si>
  <si>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</si>
  <si>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</si>
  <si>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</si>
  <si>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</si>
  <si>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</si>
  <si>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</si>
  <si>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</si>
  <si>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</si>
  <si>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</si>
  <si>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</si>
  <si>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</si>
  <si>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</si>
  <si>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</si>
  <si>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</si>
  <si>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</si>
  <si>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</si>
  <si>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</si>
  <si>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</si>
  <si>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</si>
  <si>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</si>
  <si>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</si>
  <si>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</si>
  <si>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</si>
  <si>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</si>
  <si>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</si>
  <si>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</si>
  <si>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</si>
  <si>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</si>
  <si>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</si>
  <si>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</si>
  <si>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</si>
  <si>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</si>
  <si>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</si>
  <si>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</si>
  <si>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</si>
  <si>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</si>
  <si>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</si>
  <si>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</si>
  <si>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</si>
  <si>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</si>
  <si>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</si>
  <si>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</si>
  <si>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</si>
  <si>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</si>
  <si>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</si>
  <si>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</si>
  <si>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</si>
  <si>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</si>
  <si>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</si>
  <si>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</si>
  <si>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</si>
  <si>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</si>
  <si>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</si>
  <si>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</si>
  <si>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</si>
  <si>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</si>
  <si>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</si>
  <si>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</si>
  <si>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</si>
  <si>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</si>
  <si>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</si>
  <si>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</si>
  <si>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</si>
  <si>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</si>
  <si>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</si>
  <si>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</si>
  <si>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</si>
  <si>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</si>
  <si>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</si>
  <si>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</si>
  <si>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</si>
  <si>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</si>
  <si>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</si>
  <si>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</si>
  <si>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</si>
  <si>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</si>
  <si>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</si>
  <si>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</si>
  <si>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</si>
  <si>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</si>
  <si>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</si>
  <si>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</si>
  <si>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</si>
  <si>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</si>
  <si>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</si>
  <si>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</si>
  <si>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</si>
  <si>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</si>
  <si>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</si>
  <si>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</si>
  <si>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</si>
  <si>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</si>
  <si>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</si>
  <si>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</si>
  <si>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</si>
  <si>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</si>
  <si>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</si>
  <si>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</si>
  <si>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</si>
  <si>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</si>
  <si>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</si>
  <si>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</si>
  <si>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</si>
  <si>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</si>
  <si>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</si>
  <si>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</si>
  <si>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</si>
  <si>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</si>
  <si>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</si>
  <si>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</si>
  <si>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</si>
  <si>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</si>
  <si>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</si>
  <si>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</si>
  <si>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</si>
  <si>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</si>
  <si>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</si>
  <si>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</si>
  <si>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</si>
  <si>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</si>
  <si>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</si>
  <si>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</si>
  <si>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</si>
  <si>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</si>
  <si>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</si>
  <si>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</si>
  <si>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</si>
  <si>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</si>
  <si>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</si>
  <si>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</si>
  <si>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</si>
  <si>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</si>
  <si>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</si>
  <si>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</si>
  <si>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</si>
  <si>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</si>
  <si>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</si>
  <si>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</si>
  <si>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</si>
  <si>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</si>
  <si>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</si>
  <si>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</si>
  <si>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</si>
  <si>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</si>
  <si>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</si>
  <si>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</si>
  <si>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</si>
  <si>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</si>
  <si>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</si>
  <si>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</si>
  <si>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</si>
  <si>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</si>
  <si>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</si>
  <si>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</si>
  <si>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</si>
  <si>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</si>
  <si>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</si>
  <si>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</si>
  <si>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</si>
  <si>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</si>
  <si>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</si>
  <si>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</si>
  <si>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</si>
  <si>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</si>
  <si>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</si>
  <si>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</si>
  <si>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</si>
  <si>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</si>
  <si>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</si>
  <si>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</si>
  <si>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</si>
  <si>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</si>
  <si>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</si>
  <si>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</si>
  <si>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</si>
  <si>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</si>
  <si>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</si>
  <si>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</si>
  <si>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</si>
  <si>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</si>
  <si>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</si>
  <si>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</si>
  <si>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</si>
  <si>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</si>
  <si>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</si>
  <si>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</si>
  <si>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</si>
  <si>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</si>
  <si>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</si>
  <si>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</si>
  <si>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</si>
  <si>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</si>
  <si>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</si>
  <si>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</si>
  <si>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</si>
  <si>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</si>
  <si>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</si>
  <si>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</si>
  <si>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</si>
  <si>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</si>
  <si>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</si>
  <si>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</si>
  <si>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</si>
  <si>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</si>
  <si>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</si>
  <si>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</si>
  <si>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</si>
  <si>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</si>
  <si>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</si>
  <si>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</si>
  <si>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</si>
  <si>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</si>
  <si>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</si>
  <si>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</si>
  <si>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</si>
  <si>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</si>
  <si>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</si>
  <si>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</si>
  <si>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</si>
  <si>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</si>
  <si>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</si>
  <si>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</si>
  <si>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</si>
  <si>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</si>
  <si>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</si>
  <si>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</si>
  <si>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</si>
  <si>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</si>
  <si>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</si>
  <si>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</si>
  <si>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</si>
  <si>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</si>
  <si>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</si>
  <si>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</si>
  <si>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</si>
  <si>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</si>
  <si>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</si>
  <si>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</si>
  <si>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</si>
  <si>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</si>
  <si>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</si>
  <si>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</si>
  <si>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</si>
  <si>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</si>
  <si>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</si>
  <si>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</si>
  <si>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</si>
  <si>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</si>
  <si>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</si>
  <si>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</si>
  <si>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</si>
  <si>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</si>
  <si>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</si>
  <si>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</si>
  <si>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</si>
  <si>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</si>
  <si>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</si>
  <si>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</si>
  <si>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</si>
  <si>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</si>
  <si>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</si>
  <si>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</si>
  <si>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</si>
  <si>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</si>
  <si>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</si>
  <si>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</si>
  <si>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</si>
  <si>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</si>
  <si>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</si>
  <si>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</si>
  <si>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</si>
  <si>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</si>
  <si>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</si>
  <si>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</si>
  <si>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</si>
  <si>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</si>
  <si>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</si>
  <si>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</si>
  <si>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</si>
  <si>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</si>
  <si>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</si>
  <si>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</si>
  <si>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</si>
  <si>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</si>
  <si>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</si>
  <si>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</si>
  <si>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</si>
  <si>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</si>
  <si>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</si>
  <si>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</si>
  <si>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</si>
  <si>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</si>
  <si>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</si>
  <si>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</si>
  <si>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</si>
  <si>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</si>
  <si>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</si>
  <si>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</si>
  <si>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</si>
  <si>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</si>
  <si>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</si>
  <si>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</si>
  <si>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</si>
  <si>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</si>
  <si>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</si>
  <si>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</si>
  <si>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</si>
  <si>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</si>
  <si>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</si>
  <si>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</si>
  <si>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</si>
  <si>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</si>
  <si>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</si>
  <si>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</si>
  <si>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</si>
  <si>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</si>
  <si>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</si>
  <si>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</si>
  <si>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</si>
  <si>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</si>
  <si>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</si>
  <si>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</si>
  <si>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</si>
  <si>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</si>
  <si>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</si>
  <si>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</si>
  <si>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</si>
  <si>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</si>
  <si>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</si>
  <si>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</si>
  <si>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</si>
  <si>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</si>
  <si>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</si>
  <si>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</si>
  <si>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</si>
  <si>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</si>
  <si>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</si>
  <si>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</si>
  <si>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</si>
  <si>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</si>
  <si>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</si>
  <si>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</si>
  <si>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</si>
  <si>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</si>
  <si>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</si>
  <si>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</si>
  <si>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</si>
  <si>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</si>
  <si>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</si>
  <si>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</si>
  <si>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</si>
  <si>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</si>
  <si>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</si>
  <si>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</si>
  <si>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</si>
  <si>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</si>
  <si>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</si>
  <si>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</si>
  <si>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</si>
  <si>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</si>
  <si>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</si>
  <si>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</si>
  <si>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</si>
  <si>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</si>
  <si>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</si>
  <si>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</si>
  <si>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</si>
  <si>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</si>
  <si>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</si>
  <si>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</si>
  <si>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</si>
  <si>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</si>
  <si>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</si>
  <si>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</si>
  <si>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</si>
  <si>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</si>
  <si>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</si>
  <si>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</si>
  <si>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</si>
  <si>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</si>
  <si>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</si>
  <si>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</si>
  <si>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</si>
  <si>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</si>
  <si>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</si>
  <si>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</si>
  <si>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</si>
  <si>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</si>
  <si>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</si>
  <si>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</si>
  <si>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</si>
  <si>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</si>
  <si>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</si>
  <si>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</si>
  <si>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</si>
  <si>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</si>
  <si>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</si>
  <si>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</si>
  <si>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</si>
  <si>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</si>
  <si>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</si>
  <si>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</si>
  <si>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</si>
  <si>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</si>
  <si>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</si>
  <si>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</si>
  <si>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</si>
  <si>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</si>
  <si>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</si>
  <si>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</si>
  <si>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</si>
  <si>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</si>
  <si>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</si>
  <si>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</si>
  <si>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</si>
  <si>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</si>
  <si>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</si>
  <si>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</si>
  <si>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</si>
  <si>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</si>
  <si>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</si>
  <si>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</si>
  <si>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</si>
  <si>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</si>
  <si>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</si>
  <si>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</si>
  <si>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</si>
  <si>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</si>
  <si>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</si>
  <si>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</si>
  <si>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</si>
  <si>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</si>
  <si>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</si>
  <si>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</si>
  <si>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</si>
  <si>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</si>
  <si>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</si>
  <si>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</si>
  <si>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</si>
  <si>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</si>
  <si>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</si>
  <si>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</si>
  <si>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</si>
  <si>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</si>
  <si>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</si>
  <si>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</si>
  <si>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</si>
  <si>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</si>
  <si>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</si>
  <si>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</si>
  <si>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</si>
  <si>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</si>
  <si>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</si>
  <si>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</si>
  <si>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</si>
  <si>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</si>
  <si>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</si>
  <si>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</si>
  <si>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</si>
  <si>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</si>
  <si>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</si>
  <si>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</si>
  <si>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</si>
  <si>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</si>
  <si>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</si>
  <si>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</si>
  <si>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</si>
  <si>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</si>
  <si>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</si>
  <si>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</si>
  <si>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</si>
  <si>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</si>
  <si>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</si>
  <si>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</si>
  <si>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</si>
  <si>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</si>
  <si>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</si>
  <si>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</si>
  <si>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</si>
  <si>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</si>
  <si>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</si>
  <si>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</si>
  <si>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</si>
  <si>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</si>
  <si>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</si>
  <si>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</si>
  <si>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</si>
  <si>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</si>
  <si>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 xml:space="preserve">Address: Ali Park </t>
  </si>
  <si>
    <t>Bilal Store</t>
  </si>
  <si>
    <t>Shary Store</t>
  </si>
  <si>
    <t>Fakhir Store</t>
  </si>
  <si>
    <t>Mian Store</t>
  </si>
  <si>
    <t xml:space="preserve">Green Mart </t>
  </si>
  <si>
    <t>Address: DHA</t>
  </si>
  <si>
    <t>Babar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</si>
</sst>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I10" sqref="I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46297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Bilal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Shary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Fakhir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Mian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Green Mart </v>
      </c>
      <c r="T7" s="301">
        <f>+'5'!P35</f>
        <v>23347.372676186445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Babar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60</v>
      </c>
      <c r="I9" s="236">
        <f t="shared" si="0"/>
        <v>3147.75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110.17125000000001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2785.75875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594.91525423728785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16.90337002118644</v>
      </c>
      <c r="P9" s="311">
        <f t="shared" si="2"/>
        <v>3397.5773742584738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5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</v>
      </c>
      <c r="H16" s="113">
        <f t="shared" ref="H16:M16" si="3">SUM(H7:H15)</f>
        <v>360</v>
      </c>
      <c r="I16" s="114">
        <f t="shared" si="3"/>
        <v>23729.100000000002</v>
      </c>
      <c r="J16" s="274">
        <f>SUM(J7:J15)</f>
        <v>1898.328</v>
      </c>
      <c r="K16" s="275">
        <f t="shared" si="3"/>
        <v>830.51850000000013</v>
      </c>
      <c r="L16" s="276">
        <f t="shared" si="3"/>
        <v>0</v>
      </c>
      <c r="M16" s="232">
        <f t="shared" si="3"/>
        <v>21000.253499999999</v>
      </c>
      <c r="N16" s="233">
        <f>SUM(N7:N15)</f>
        <v>4484.7457627118638</v>
      </c>
      <c r="O16" s="101">
        <f>SUM(O7:O15)</f>
        <v>127.42499631355932</v>
      </c>
      <c r="P16" s="113">
        <f>SUM(P7:P15)</f>
        <v>25612.424259025422</v>
      </c>
      <c r="Q16" s="128">
        <f>SUM(Q7:Q15)</f>
        <v>15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23729.100000000002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1898.328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830.51850000000013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21000.253499999999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4484.7457627118638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25484.999262711863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127.42499631355932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25612.424259025422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25612.424259025429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ref="I18:I21" si="7">(G18*D18)*F18+H18*F18</f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320</v>
      </c>
      <c r="I25" s="114">
        <f t="shared" si="7"/>
        <v>21630.600000000002</v>
      </c>
      <c r="J25" s="274">
        <f>SUM(J16:J24)</f>
        <v>1730.4479999999999</v>
      </c>
      <c r="K25" s="275">
        <f t="shared" si="7"/>
        <v>757.07100000000014</v>
      </c>
      <c r="L25" s="276">
        <f t="shared" si="7"/>
        <v>0</v>
      </c>
      <c r="M25" s="232">
        <f t="shared" si="7"/>
        <v>19143.081000000002</v>
      </c>
      <c r="N25" s="233">
        <f>SUM(N16:N24)</f>
        <v>4088.1355932203387</v>
      </c>
      <c r="O25" s="101">
        <f>SUM(O16:O24)</f>
        <v>116.15608296610171</v>
      </c>
      <c r="P25" s="234">
        <f>SUM(P16:P24)</f>
        <v>23347.372676186442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21630.600000000002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1730.4479999999999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757.07100000000014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19143.081000000002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4088.1355932203387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23231.216593220342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116.15608296610172</v>
      </c>
    </row>
    <row r="35" spans="2:16" ht="15.75" customHeight="1" thickBot="1" x14ac:dyDescent="0.4">
      <c r="N35" s="374" t="s">
        <v>88</v>
      </c>
      <c r="O35" s="375"/>
      <c r="P35" s="297">
        <f>+P33+P34</f>
        <v>23347.372676186445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9" workbookViewId="0">
      <selection activeCell="H21" sqref="H18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46296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46297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2026-10-02T11:37:11Z</dcterms:modified>
</cp:coreProperties>
</file>