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C13E4A7-A5E8-4F21-B315-1B567F447F67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4" l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<sst xmlns="http://schemas.openxmlformats.org/spreadsheetml/2006/main" count="3948" uniqueCount="521">
  <si>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</si>
  <si>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</si>
  <si>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</si>
  <si>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</si>
  <si>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</si>
  <si>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</si>
  <si>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</si>
  <si>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</si>
  <si>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</si>
  <si>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</si>
  <si>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</si>
  <si>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</si>
  <si>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</si>
  <si>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</si>
  <si>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</si>
  <si>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</si>
  <si>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</si>
  <si>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</si>
  <si>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</si>
  <si>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</si>
  <si>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</si>
  <si>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</si>
  <si>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</si>
  <si>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</si>
  <si>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</si>
  <si>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</si>
  <si>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</si>
  <si>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</si>
  <si>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</si>
  <si>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</si>
  <si>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</si>
  <si>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</si>
  <si>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</si>
  <si>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</si>
  <si>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</si>
  <si>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</si>
  <si>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</si>
  <si>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</si>
  <si>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</si>
  <si>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</si>
  <si>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</si>
  <si>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</si>
  <si>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</si>
  <si>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</si>
  <si>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</si>
  <si>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</si>
  <si>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</si>
  <si>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</si>
  <si>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</si>
  <si>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</si>
  <si>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</si>
  <si>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</si>
  <si>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</si>
  <si>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</si>
  <si>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</si>
  <si>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</si>
  <si>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</si>
  <si>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</si>
  <si>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</si>
  <si>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</si>
  <si>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</si>
  <si>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</si>
  <si>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</si>
  <si>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</si>
  <si>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</si>
  <si>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</si>
  <si>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</si>
  <si>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</si>
  <si>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</si>
  <si>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</si>
  <si>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</si>
  <si>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</si>
  <si>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</si>
  <si>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</si>
  <si>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</si>
  <si>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</si>
  <si>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</si>
  <si>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</si>
  <si>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</si>
  <si>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</si>
  <si>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</si>
  <si>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</si>
  <si>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</si>
  <si>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</si>
  <si>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</si>
  <si>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</si>
  <si>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</si>
  <si>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</si>
  <si>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</si>
  <si>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</si>
  <si>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</si>
  <si>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</si>
  <si>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</si>
  <si>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</si>
  <si>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</si>
  <si>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</si>
  <si>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</si>
  <si>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</si>
  <si>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</si>
  <si>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</si>
  <si>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</si>
  <si>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</si>
  <si>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</si>
  <si>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</si>
  <si>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</si>
  <si>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</si>
  <si>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</si>
  <si>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</si>
  <si>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</si>
  <si>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</si>
  <si>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</si>
  <si>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</si>
  <si>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</si>
  <si>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</si>
  <si>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</si>
  <si>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</si>
  <si>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</si>
  <si>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</si>
  <si>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</si>
  <si>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</si>
  <si>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</si>
  <si>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</si>
  <si>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</si>
  <si>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</si>
  <si>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</si>
  <si>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</si>
  <si>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</si>
  <si>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</si>
  <si>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</si>
  <si>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</si>
  <si>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</si>
  <si>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</si>
  <si>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</si>
  <si>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</si>
  <si>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</si>
  <si>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</si>
  <si>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</si>
  <si>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</si>
  <si>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</si>
  <si>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</si>
  <si>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</si>
  <si>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</si>
  <si>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</si>
  <si>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</si>
  <si>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</si>
  <si>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</si>
  <si>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</si>
  <si>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</si>
  <si>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</si>
  <si>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</si>
  <si>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</si>
  <si>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</si>
  <si>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</si>
  <si>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</si>
  <si>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</si>
  <si>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</si>
  <si>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</si>
  <si>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</si>
  <si>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</si>
  <si>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</si>
  <si>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</si>
  <si>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</si>
  <si>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</si>
  <si>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</si>
  <si>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</si>
  <si>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</si>
  <si>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</si>
  <si>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</si>
  <si>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</si>
  <si>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</si>
  <si>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</si>
  <si>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</si>
  <si>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</si>
  <si>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</si>
  <si>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</si>
  <si>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</si>
  <si>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</si>
  <si>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</si>
  <si>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</si>
  <si>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</si>
  <si>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</si>
  <si>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</si>
  <si>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</si>
  <si>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</si>
  <si>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</si>
  <si>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</si>
  <si>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</si>
  <si>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</si>
  <si>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</si>
  <si>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</si>
  <si>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</si>
  <si>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</si>
  <si>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</si>
  <si>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</si>
  <si>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</si>
  <si>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</si>
  <si>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</si>
  <si>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</si>
  <si>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</si>
  <si>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</si>
  <si>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</si>
  <si>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</si>
  <si>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</si>
  <si>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</si>
  <si>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</si>
  <si>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</si>
  <si>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</si>
  <si>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</si>
  <si>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</si>
  <si>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</si>
  <si>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</si>
  <si>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</si>
  <si>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</si>
  <si>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</si>
  <si>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</si>
  <si>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</si>
  <si>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</si>
  <si>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</si>
  <si>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</si>
  <si>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</si>
  <si>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</si>
  <si>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</si>
  <si>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</si>
  <si>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</si>
  <si>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</si>
  <si>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</si>
  <si>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</si>
  <si>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</si>
  <si>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</si>
  <si>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</si>
  <si>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</si>
  <si>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</si>
  <si>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</si>
  <si>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</si>
  <si>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</si>
  <si>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</si>
  <si>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</si>
  <si>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</si>
  <si>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</si>
  <si>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</si>
  <si>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</si>
  <si>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</si>
  <si>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</si>
  <si>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</si>
  <si>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</si>
  <si>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</si>
  <si>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</si>
  <si>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</si>
  <si>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</si>
  <si>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</si>
  <si>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</si>
  <si>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</si>
  <si>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</si>
  <si>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</si>
  <si>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</si>
  <si>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</si>
  <si>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</si>
  <si>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</si>
  <si>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</si>
  <si>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</si>
  <si>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</si>
  <si>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</si>
  <si>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</si>
  <si>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</si>
  <si>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</si>
  <si>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</si>
  <si>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</si>
  <si>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</si>
  <si>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</si>
  <si>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</si>
  <si>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</si>
  <si>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</si>
  <si>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</si>
  <si>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</si>
  <si>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</si>
  <si>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</si>
  <si>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</si>
  <si>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</si>
  <si>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</si>
  <si>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</si>
  <si>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</si>
  <si>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</si>
  <si>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</si>
  <si>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</si>
  <si>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</si>
  <si>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</si>
  <si>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</si>
  <si>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</si>
  <si>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</si>
  <si>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</si>
  <si>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</si>
  <si>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</si>
  <si>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</si>
  <si>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</si>
  <si>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</si>
  <si>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</si>
  <si>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</si>
  <si>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</si>
  <si>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</si>
  <si>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</si>
  <si>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</si>
  <si>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</si>
  <si>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</si>
  <si>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</si>
  <si>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</si>
  <si>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</si>
  <si>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</si>
  <si>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</si>
  <si>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</si>
  <si>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</si>
  <si>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</si>
  <si>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</si>
  <si>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</si>
  <si>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</si>
  <si>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</si>
  <si>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</si>
  <si>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</si>
  <si>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</si>
  <si>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</si>
  <si>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</si>
  <si>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</si>
  <si>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</si>
  <si>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</si>
  <si>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</si>
  <si>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</si>
  <si>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</si>
  <si>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</si>
  <si>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</si>
  <si>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</si>
  <si>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</si>
  <si>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</si>
  <si>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</si>
  <si>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</si>
  <si>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</si>
  <si>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</si>
  <si>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</si>
  <si>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</si>
  <si>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</si>
  <si>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</si>
  <si>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</si>
  <si>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</si>
  <si>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</si>
  <si>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</si>
  <si>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</si>
  <si>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</si>
  <si>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</si>
  <si>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</si>
  <si>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</si>
  <si>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</si>
  <si>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</si>
  <si>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</si>
  <si>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</si>
  <si>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</si>
  <si>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</si>
  <si>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</si>
  <si>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</si>
  <si>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</si>
  <si>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</si>
  <si>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</si>
  <si>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</si>
  <si>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</si>
  <si>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</si>
  <si>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</si>
  <si>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</si>
  <si>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</si>
  <si>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</si>
  <si>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</si>
  <si>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</si>
  <si>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</si>
  <si>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</si>
  <si>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</si>
  <si>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</si>
  <si>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</si>
  <si>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</si>
  <si>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</si>
  <si>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</si>
  <si>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</si>
  <si>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</si>
  <si>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</si>
  <si>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</si>
  <si>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</si>
  <si>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</si>
  <si>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</si>
  <si>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</si>
  <si>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</si>
  <si>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</si>
  <si>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</si>
  <si>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</si>
  <si>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</si>
  <si>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</si>
  <si>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</si>
  <si>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</si>
  <si>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</si>
  <si>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</si>
  <si>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</si>
  <si>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</si>
  <si>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</si>
  <si>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</si>
  <si>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</si>
  <si>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</si>
  <si>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</si>
  <si>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</si>
  <si>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</si>
  <si>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</si>
  <si>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</si>
  <si>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</si>
  <si>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</si>
  <si>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</si>
  <si>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</si>
  <si>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</si>
  <si>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</si>
  <si>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</si>
  <si>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</si>
  <si>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</si>
  <si>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</si>
  <si>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</si>
  <si>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</si>
  <si>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</si>
  <si>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</si>
  <si>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</si>
  <si>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</si>
  <si>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</si>
  <si>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</si>
  <si>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</si>
  <si>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</si>
  <si>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</si>
  <si>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</si>
  <si>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</si>
  <si>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</si>
  <si>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</si>
  <si>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</si>
  <si>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</si>
  <si>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</si>
  <si>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</si>
  <si>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</si>
  <si>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</si>
  <si>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</si>
  <si>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</si>
  <si>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</si>
  <si>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</si>
  <si>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</si>
  <si>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</si>
  <si>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</si>
  <si>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</si>
  <si>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</si>
  <si>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</si>
  <si>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</si>
  <si>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</si>
  <si>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</si>
  <si>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</si>
  <si>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</si>
  <si>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</si>
  <si>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</si>
  <si>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</si>
  <si>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</si>
  <si>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</si>
  <si>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</si>
  <si>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</si>
  <si>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</si>
  <si>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</si>
  <si>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</si>
  <si>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</si>
  <si>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</si>
  <si>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</si>
  <si>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</si>
  <si>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</si>
  <si>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</si>
  <si>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</si>
  <si>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</si>
  <si>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</si>
  <si>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</si>
  <si>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</si>
  <si>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</si>
  <si>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</si>
  <si>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</si>
  <si>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</si>
  <si>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</si>
  <si>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</si>
  <si>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</si>
  <si>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</si>
  <si>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</si>
  <si>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</si>
  <si>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</si>
  <si>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</si>
  <si>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</si>
  <si>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</si>
  <si>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</si>
  <si>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</si>
  <si>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</si>
  <si>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</si>
  <si>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</si>
  <si>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</si>
  <si>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</si>
  <si>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</si>
  <si>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</si>
  <si>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</si>
  <si>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</si>
  <si>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</si>
  <si>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</si>
  <si>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</si>
  <si>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</si>
  <si>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</si>
  <si>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</si>
  <si>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</si>
  <si>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</si>
  <si>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</si>
  <si>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</si>
  <si>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</si>
  <si>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</si>
  <si>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</si>
  <si>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</si>
  <si>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</si>
  <si>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</si>
  <si>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</si>
  <si>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Salman</t>
  </si>
  <si>
    <t xml:space="preserve">Address: Askari Market </t>
  </si>
  <si>
    <t>Cantt Store</t>
  </si>
  <si>
    <t>Sitara Bakers</t>
  </si>
  <si>
    <t xml:space="preserve">Askari Cash &amp; Carry </t>
  </si>
  <si>
    <t xml:space="preserve">Chalet Bakers </t>
  </si>
  <si>
    <t xml:space="preserve">Al Falah Bakers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</si>
</sst>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7" workbookViewId="0">
      <selection activeCell="G33" sqref="G3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46297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Cantt Store</v>
      </c>
      <c r="T3" s="301">
        <f>+'1'!P35</f>
        <v>10802.526335847459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Sitara Bakers</v>
      </c>
      <c r="T4" s="301">
        <f>+'2'!P35</f>
        <v>3136.2115850847458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Askari Cash &amp; Carry </v>
      </c>
      <c r="T5" s="301">
        <f>+'3'!P35</f>
        <v>6795.1547485169476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Chalet Bakers </v>
      </c>
      <c r="T6" s="301">
        <f>+'4'!P35</f>
        <v>5401.2631679237284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55</v>
      </c>
      <c r="I7" s="235">
        <f>(G7*D7)*F7+H7*F7</f>
        <v>2885.4375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230.83499999999998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100.99031250000002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2553.6121874999999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545.33898305084722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15.494755852754237</v>
      </c>
      <c r="P7" s="310">
        <f>M7+N7+O7</f>
        <v>3114.4459264036013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 xml:space="preserve">Al Falah Bakers </v>
      </c>
      <c r="T7" s="301">
        <f>+'5'!P35</f>
        <v>3136.2115850847458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90</v>
      </c>
      <c r="I8" s="236">
        <f t="shared" ref="I8:I14" si="0">(G8*D8)*F8+H8*F8</f>
        <v>4721.625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377.73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165.25687500000001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4178.6381249999995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892.37288135593178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25.35505503177966</v>
      </c>
      <c r="P8" s="311">
        <f t="shared" ref="P8:P15" si="2">M8+N8+O8</f>
        <v>5096.3660613877109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95</v>
      </c>
      <c r="I9" s="236">
        <f t="shared" si="0"/>
        <v>4983.9375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398.71499999999997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174.43781250000001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4410.7846874999996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941.94915254237253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26.763669200211865</v>
      </c>
      <c r="P9" s="311">
        <f t="shared" si="2"/>
        <v>5379.4975092425839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70</v>
      </c>
      <c r="I10" s="236">
        <f t="shared" si="0"/>
        <v>5084.8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406.78399999999999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177.96800000000002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4500.0480000000007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961.01694915254245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27.305324745762714</v>
      </c>
      <c r="P10" s="311">
        <f t="shared" si="2"/>
        <v>5488.3702738983056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60</v>
      </c>
      <c r="I11" s="236">
        <f t="shared" si="0"/>
        <v>4358.3999999999996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348.67200000000003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152.54400000000001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3857.1839999999997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823.72881355932202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23.40456406779661</v>
      </c>
      <c r="P11" s="311">
        <f t="shared" si="2"/>
        <v>4704.3173776271187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70</v>
      </c>
      <c r="I12" s="236">
        <f t="shared" si="0"/>
        <v>5084.8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406.78399999999999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177.96800000000002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4500.0480000000007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961.01694915254245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27.305324745762714</v>
      </c>
      <c r="P12" s="311">
        <f t="shared" si="2"/>
        <v>5488.3702738983056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11</v>
      </c>
      <c r="H16" s="113">
        <f t="shared" ref="H16:M16" si="3">SUM(H7:H15)</f>
        <v>440</v>
      </c>
      <c r="I16" s="114">
        <f t="shared" si="3"/>
        <v>27118.999999999996</v>
      </c>
      <c r="J16" s="274">
        <f>SUM(J7:J15)</f>
        <v>2169.52</v>
      </c>
      <c r="K16" s="275">
        <f t="shared" si="3"/>
        <v>949.16499999999996</v>
      </c>
      <c r="L16" s="276">
        <f t="shared" si="3"/>
        <v>0</v>
      </c>
      <c r="M16" s="232">
        <f t="shared" si="3"/>
        <v>24000.315000000002</v>
      </c>
      <c r="N16" s="233">
        <f>SUM(N7:N15)</f>
        <v>5125.4237288135582</v>
      </c>
      <c r="O16" s="101">
        <f>SUM(O7:O15)</f>
        <v>145.62869364406779</v>
      </c>
      <c r="P16" s="113">
        <f>SUM(P7:P15)</f>
        <v>29271.367422457624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27118.999999999996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2169.52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949.16499999999996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24000.314999999995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5125.4237288135582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29125.738728813554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145.62869364406779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29271.367422457621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29271.367422457624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9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7.2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119">
        <f t="shared" ref="P17:P24" si="5">M17+N17+O17</f>
        <v>2265.051582838983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160</v>
      </c>
      <c r="I25" s="114">
        <f t="shared" ref="I25:M25" si="10">SUM(I16:I24)</f>
        <v>10008.200000000001</v>
      </c>
      <c r="J25" s="274">
        <f>SUM(J16:J24)</f>
        <v>800.65599999999995</v>
      </c>
      <c r="K25" s="275">
        <f t="shared" si="10"/>
        <v>350.28700000000003</v>
      </c>
      <c r="L25" s="276">
        <f t="shared" si="10"/>
        <v>0</v>
      </c>
      <c r="M25" s="232">
        <f t="shared" si="10"/>
        <v>8857.2570000000014</v>
      </c>
      <c r="N25" s="233">
        <f>SUM(N16:N24)</f>
        <v>1891.5254237288132</v>
      </c>
      <c r="O25" s="101">
        <f>SUM(O16:O24)</f>
        <v>53.743912118644062</v>
      </c>
      <c r="P25" s="234">
        <f>SUM(P16:P24)</f>
        <v>10802.526335847459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10008.200000000001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800.65599999999995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350.28700000000003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8857.2570000000014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1891.5254237288132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10748.782423728815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53.743912118644076</v>
      </c>
    </row>
    <row r="35" spans="2:16" ht="15.75" customHeight="1" thickBot="1" x14ac:dyDescent="0.4">
      <c r="N35" s="345" t="s">
        <v>88</v>
      </c>
      <c r="O35" s="346"/>
      <c r="P35" s="297">
        <f>+P33+P34</f>
        <v>10802.526335847459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8.7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119">
        <f t="shared" ref="P17:P24" si="5">M17+N17+O17</f>
        <v>2265.051582838983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120</v>
      </c>
      <c r="I25" s="114">
        <f t="shared" si="7"/>
        <v>6295.5</v>
      </c>
      <c r="J25" s="274">
        <f>SUM(J16:J24)</f>
        <v>503.64</v>
      </c>
      <c r="K25" s="275">
        <f t="shared" si="7"/>
        <v>220.34250000000003</v>
      </c>
      <c r="L25" s="276">
        <f t="shared" si="7"/>
        <v>0</v>
      </c>
      <c r="M25" s="232">
        <f t="shared" si="7"/>
        <v>5571.5174999999999</v>
      </c>
      <c r="N25" s="233">
        <f>SUM(N16:N24)</f>
        <v>1189.8305084745757</v>
      </c>
      <c r="O25" s="101">
        <f>SUM(O16:O24)</f>
        <v>33.80674004237288</v>
      </c>
      <c r="P25" s="234">
        <f>SUM(P16:P24)</f>
        <v>6795.1547485169485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6295.5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503.64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220.34250000000003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5571.5174999999999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1189.8305084745757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6761.3480084745752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33.80674004237288</v>
      </c>
    </row>
    <row r="35" spans="2:16" ht="15.75" customHeight="1" thickBot="1" x14ac:dyDescent="0.4">
      <c r="N35" s="345" t="s">
        <v>88</v>
      </c>
      <c r="O35" s="346"/>
      <c r="P35" s="297">
        <f>+P33+P34</f>
        <v>6795.1547485169476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400.32800000000003</v>
      </c>
      <c r="K25" s="275">
        <f t="shared" si="7"/>
        <v>175.14350000000002</v>
      </c>
      <c r="L25" s="276">
        <f t="shared" si="7"/>
        <v>0</v>
      </c>
      <c r="M25" s="232">
        <f t="shared" si="7"/>
        <v>4428.6284999999998</v>
      </c>
      <c r="N25" s="233">
        <f>SUM(N16:N24)</f>
        <v>945.76271186440658</v>
      </c>
      <c r="O25" s="101">
        <f>SUM(O16:O24)</f>
        <v>26.871956059322034</v>
      </c>
      <c r="P25" s="234">
        <f>SUM(P16:P24)</f>
        <v>5401.2631679237284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5004.1000000000004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400.32800000000003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175.14350000000002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4428.6284999999998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5374.3912118644066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26.871956059322034</v>
      </c>
    </row>
    <row r="35" spans="2:16" ht="15.75" customHeight="1" thickBot="1" x14ac:dyDescent="0.4">
      <c r="N35" s="345" t="s">
        <v>88</v>
      </c>
      <c r="O35" s="346"/>
      <c r="P35" s="297">
        <f>+P33+P34</f>
        <v>5401.2631679237284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232.44799999999998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46297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46296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2026-10-01T12:02:17Z</dcterms:modified>
</cp:coreProperties>
</file>