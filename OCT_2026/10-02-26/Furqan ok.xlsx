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07E8ACE-FEEA-467A-9FE5-0AD0962AC39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<sst xmlns="http://schemas.openxmlformats.org/spreadsheetml/2006/main" count="3948" uniqueCount="525">
  <si>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</si>
  <si>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</si>
  <si>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</si>
  <si>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</si>
  <si>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</si>
  <si>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</si>
  <si>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</si>
  <si>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</si>
  <si>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</si>
  <si>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</si>
  <si>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</si>
  <si>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</si>
  <si>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</si>
  <si>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</si>
  <si>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</si>
  <si>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</si>
  <si>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</si>
  <si>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</si>
  <si>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</si>
  <si>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</si>
  <si>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</si>
  <si>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</si>
  <si>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</si>
  <si>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</si>
  <si>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</si>
  <si>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</si>
  <si>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</si>
  <si>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</si>
  <si>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</si>
  <si>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</si>
  <si>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</si>
  <si>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</si>
  <si>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</si>
  <si>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</si>
  <si>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</si>
  <si>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</si>
  <si>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</si>
  <si>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</si>
  <si>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</si>
  <si>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</si>
  <si>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</si>
  <si>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</si>
  <si>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</si>
  <si>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</si>
  <si>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</si>
  <si>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</si>
  <si>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</si>
  <si>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</si>
  <si>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</si>
  <si>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</si>
  <si>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</si>
  <si>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</si>
  <si>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</si>
  <si>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</si>
  <si>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</si>
  <si>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</si>
  <si>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</si>
  <si>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</si>
  <si>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</si>
  <si>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</si>
  <si>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</si>
  <si>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</si>
  <si>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</si>
  <si>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</si>
  <si>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</si>
  <si>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</si>
  <si>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</si>
  <si>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</si>
  <si>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</si>
  <si>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</si>
  <si>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</si>
  <si>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</si>
  <si>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</si>
  <si>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</si>
  <si>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</si>
  <si>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</si>
  <si>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</si>
  <si>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</si>
  <si>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</si>
  <si>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</si>
  <si>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</si>
  <si>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</si>
  <si>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</si>
  <si>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</si>
  <si>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</si>
  <si>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</si>
  <si>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</si>
  <si>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</si>
  <si>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</si>
  <si>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</si>
  <si>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</si>
  <si>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</si>
  <si>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</si>
  <si>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</si>
  <si>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</si>
  <si>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</si>
  <si>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</si>
  <si>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</si>
  <si>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</si>
  <si>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</si>
  <si>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</si>
  <si>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</si>
  <si>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</si>
  <si>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</si>
  <si>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</si>
  <si>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</si>
  <si>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</si>
  <si>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</si>
  <si>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</si>
  <si>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</si>
  <si>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</si>
  <si>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</si>
  <si>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</si>
  <si>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</si>
  <si>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</si>
  <si>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</si>
  <si>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</si>
  <si>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</si>
  <si>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</si>
  <si>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</si>
  <si>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</si>
  <si>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</si>
  <si>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</si>
  <si>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</si>
  <si>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</si>
  <si>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</si>
  <si>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</si>
  <si>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</si>
  <si>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</si>
  <si>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</si>
  <si>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</si>
  <si>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</si>
  <si>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</si>
  <si>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</si>
  <si>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</si>
  <si>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</si>
  <si>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</si>
  <si>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</si>
  <si>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</si>
  <si>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</si>
  <si>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</si>
  <si>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</si>
  <si>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</si>
  <si>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</si>
  <si>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</si>
  <si>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</si>
  <si>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</si>
  <si>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</si>
  <si>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</si>
  <si>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</si>
  <si>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</si>
  <si>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</si>
  <si>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</si>
  <si>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</si>
  <si>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</si>
  <si>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</si>
  <si>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</si>
  <si>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</si>
  <si>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</si>
  <si>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</si>
  <si>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</si>
  <si>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</si>
  <si>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</si>
  <si>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</si>
  <si>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</si>
  <si>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</si>
  <si>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</si>
  <si>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</si>
  <si>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</si>
  <si>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</si>
  <si>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</si>
  <si>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</si>
  <si>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</si>
  <si>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</si>
  <si>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</si>
  <si>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</si>
  <si>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</si>
  <si>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</si>
  <si>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</si>
  <si>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</si>
  <si>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</si>
  <si>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</si>
  <si>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</si>
  <si>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</si>
  <si>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</si>
  <si>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</si>
  <si>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</si>
  <si>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</si>
  <si>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</si>
  <si>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</si>
  <si>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</si>
  <si>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</si>
  <si>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</si>
  <si>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</si>
  <si>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</si>
  <si>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</si>
  <si>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</si>
  <si>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</si>
  <si>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</si>
  <si>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</si>
  <si>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</si>
  <si>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</si>
  <si>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</si>
  <si>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</si>
  <si>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</si>
  <si>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</si>
  <si>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</si>
  <si>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</si>
  <si>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</si>
  <si>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</si>
  <si>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</si>
  <si>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</si>
  <si>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</si>
  <si>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</si>
  <si>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</si>
  <si>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</si>
  <si>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</si>
  <si>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</si>
  <si>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</si>
  <si>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</si>
  <si>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</si>
  <si>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</si>
  <si>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</si>
  <si>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</si>
  <si>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</si>
  <si>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</si>
  <si>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</si>
  <si>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</si>
  <si>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</si>
  <si>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</si>
  <si>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</si>
  <si>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</si>
  <si>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</si>
  <si>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</si>
  <si>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</si>
  <si>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</si>
  <si>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</si>
  <si>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</si>
  <si>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</si>
  <si>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</si>
  <si>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</si>
  <si>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</si>
  <si>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</si>
  <si>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</si>
  <si>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</si>
  <si>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</si>
  <si>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</si>
  <si>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</si>
  <si>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</si>
  <si>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</si>
  <si>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</si>
  <si>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</si>
  <si>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</si>
  <si>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</si>
  <si>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</si>
  <si>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</si>
  <si>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</si>
  <si>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</si>
  <si>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</si>
  <si>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</si>
  <si>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</si>
  <si>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</si>
  <si>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</si>
  <si>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</si>
  <si>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</si>
  <si>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</si>
  <si>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</si>
  <si>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</si>
  <si>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</si>
  <si>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</si>
  <si>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</si>
  <si>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</si>
  <si>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</si>
  <si>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</si>
  <si>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</si>
  <si>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</si>
  <si>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</si>
  <si>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</si>
  <si>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</si>
  <si>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</si>
  <si>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</si>
  <si>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</si>
  <si>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</si>
  <si>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</si>
  <si>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</si>
  <si>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</si>
  <si>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</si>
  <si>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</si>
  <si>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</si>
  <si>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</si>
  <si>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</si>
  <si>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</si>
  <si>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</si>
  <si>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</si>
  <si>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</si>
  <si>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</si>
  <si>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</si>
  <si>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</si>
  <si>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</si>
  <si>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</si>
  <si>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</si>
  <si>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</si>
  <si>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</si>
  <si>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</si>
  <si>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</si>
  <si>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</si>
  <si>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</si>
  <si>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</si>
  <si>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</si>
  <si>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</si>
  <si>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</si>
  <si>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</si>
  <si>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</si>
  <si>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</si>
  <si>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</si>
  <si>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</si>
  <si>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</si>
  <si>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</si>
  <si>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</si>
  <si>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</si>
  <si>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</si>
  <si>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</si>
  <si>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</si>
  <si>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</si>
  <si>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</si>
  <si>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</si>
  <si>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</si>
  <si>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</si>
  <si>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</si>
  <si>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</si>
  <si>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</si>
  <si>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</si>
  <si>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</si>
  <si>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</si>
  <si>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</si>
  <si>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</si>
  <si>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</si>
  <si>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</si>
  <si>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</si>
  <si>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</si>
  <si>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</si>
  <si>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</si>
  <si>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</si>
  <si>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</si>
  <si>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</si>
  <si>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</si>
  <si>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</si>
  <si>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</si>
  <si>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</si>
  <si>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</si>
  <si>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</si>
  <si>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</si>
  <si>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</si>
  <si>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</si>
  <si>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</si>
  <si>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</si>
  <si>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</si>
  <si>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</si>
  <si>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</si>
  <si>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</si>
  <si>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</si>
  <si>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</si>
  <si>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</si>
  <si>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</si>
  <si>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</si>
  <si>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</si>
  <si>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</si>
  <si>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</si>
  <si>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</si>
  <si>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</si>
  <si>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</si>
  <si>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</si>
  <si>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</si>
  <si>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</si>
  <si>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</si>
  <si>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</si>
  <si>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</si>
  <si>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</si>
  <si>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</si>
  <si>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</si>
  <si>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</si>
  <si>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</si>
  <si>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</si>
  <si>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</si>
  <si>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</si>
  <si>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</si>
  <si>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</si>
  <si>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</si>
  <si>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</si>
  <si>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</si>
  <si>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</si>
  <si>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</si>
  <si>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</si>
  <si>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</si>
  <si>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</si>
  <si>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</si>
  <si>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</si>
  <si>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</si>
  <si>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</si>
  <si>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</si>
  <si>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</si>
  <si>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</si>
  <si>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</si>
  <si>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</si>
  <si>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</si>
  <si>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</si>
  <si>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</si>
  <si>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</si>
  <si>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</si>
  <si>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</si>
  <si>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</si>
  <si>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</si>
  <si>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</si>
  <si>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</si>
  <si>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</si>
  <si>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</si>
  <si>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</si>
  <si>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</si>
  <si>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</si>
  <si>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</si>
  <si>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</si>
  <si>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</si>
  <si>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</si>
  <si>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</si>
  <si>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</si>
  <si>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</si>
  <si>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</si>
  <si>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</si>
  <si>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</si>
  <si>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</si>
  <si>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</si>
  <si>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</si>
  <si>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</si>
  <si>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</si>
  <si>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</si>
  <si>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</si>
  <si>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</si>
  <si>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</si>
  <si>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</si>
  <si>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</si>
  <si>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</si>
  <si>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</si>
  <si>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</si>
  <si>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</si>
  <si>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</si>
  <si>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</si>
  <si>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</si>
  <si>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</si>
  <si>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</si>
  <si>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</si>
  <si>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</si>
  <si>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</si>
  <si>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</si>
  <si>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</si>
  <si>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</si>
  <si>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</si>
  <si>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</si>
  <si>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</si>
  <si>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</si>
  <si>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</si>
  <si>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</si>
  <si>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</si>
  <si>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</si>
  <si>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</si>
  <si>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</si>
  <si>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</si>
  <si>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</si>
  <si>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</si>
  <si>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</si>
  <si>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</si>
  <si>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</si>
  <si>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</si>
  <si>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</si>
  <si>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</si>
  <si>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</si>
  <si>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</si>
  <si>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</si>
  <si>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</si>
  <si>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</si>
  <si>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</si>
  <si>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</si>
  <si>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</si>
  <si>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</si>
  <si>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</si>
  <si>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</si>
  <si>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</si>
  <si>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</si>
  <si>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</si>
  <si>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</si>
  <si>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</si>
  <si>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</si>
  <si>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</si>
  <si>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</si>
  <si>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</si>
  <si>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</si>
  <si>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</si>
  <si>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</si>
  <si>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</si>
  <si>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</si>
  <si>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</si>
  <si>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</si>
  <si>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</si>
  <si>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</si>
  <si>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</si>
  <si>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</si>
  <si>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</si>
  <si>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</si>
  <si>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</si>
  <si>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</si>
  <si>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</si>
  <si>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</si>
  <si>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</si>
  <si>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</si>
  <si>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</si>
  <si>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</si>
  <si>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Sadiq Store</t>
  </si>
  <si>
    <t>Address: Guru Mangat Road</t>
  </si>
  <si>
    <t xml:space="preserve">Bakhtawer Bakers </t>
  </si>
  <si>
    <t>Address: Makkah Colony</t>
  </si>
  <si>
    <t xml:space="preserve">Ajwa Bakers </t>
  </si>
  <si>
    <t>Butt GS</t>
  </si>
  <si>
    <t>Address: Firdos Market</t>
  </si>
  <si>
    <t>Malik Gs</t>
  </si>
  <si>
    <t xml:space="preserve">Address: Firdos Market </t>
  </si>
  <si>
    <t xml:space="preserve">BA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</si>
</sst>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D37" sqref="D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Sadiq Store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Bakhtawer Bakers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Ajwa Bakers 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Butt GS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Malik Gs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32</v>
      </c>
      <c r="I8" s="236">
        <f t="shared" ref="I8:I14" si="0">(G8*D8)*F8+H8*F8</f>
        <v>1678.8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134.304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58.758000000000003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1485.7379999999998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317.2881355932202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9.015130677966102</v>
      </c>
      <c r="P8" s="311">
        <f t="shared" ref="P8:P15" si="2">M8+N8+O8</f>
        <v>1812.041266271186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3">
        <v>6</v>
      </c>
      <c r="S8" s="300" t="str">
        <f>+'6'!A6:A6</f>
        <v xml:space="preserve">BA Bakers </v>
      </c>
      <c r="T8" s="301">
        <f>+'6'!P35</f>
        <v>2469.7732939417369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35</v>
      </c>
      <c r="I9" s="236">
        <f t="shared" si="0"/>
        <v>1836.1875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146.89499999999998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64.266562500000006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1625.0259375000001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347.03389830508456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9.8602991790254233</v>
      </c>
      <c r="P9" s="311">
        <f t="shared" si="2"/>
        <v>1981.9201349841101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6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47</v>
      </c>
      <c r="I10" s="236">
        <f t="shared" si="0"/>
        <v>3414.08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273.12639999999999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119.49280000000002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3021.4607999999998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645.25423728813564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18.33357518644068</v>
      </c>
      <c r="P10" s="311">
        <f t="shared" si="2"/>
        <v>3685.0486124745762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35</v>
      </c>
      <c r="I11" s="236">
        <f t="shared" si="0"/>
        <v>2542.4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203.392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88.984000000000009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2250.0240000000003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480.50847457627123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13.652662372881357</v>
      </c>
      <c r="P11" s="311">
        <f t="shared" si="2"/>
        <v>2744.1851369491528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406.78399999999999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4500.0480000000007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27.305324745762714</v>
      </c>
      <c r="P12" s="311">
        <f t="shared" si="2"/>
        <v>5488.3702738983056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5.4749999999999996</v>
      </c>
      <c r="H16" s="113">
        <f t="shared" ref="H16:M16" si="3">SUM(H7:H15)</f>
        <v>219</v>
      </c>
      <c r="I16" s="114">
        <f t="shared" si="3"/>
        <v>14556.267500000002</v>
      </c>
      <c r="J16" s="274">
        <f>SUM(J7:J15)</f>
        <v>1164.5014000000001</v>
      </c>
      <c r="K16" s="275">
        <f t="shared" si="3"/>
        <v>509.46936250000005</v>
      </c>
      <c r="L16" s="276">
        <f t="shared" si="3"/>
        <v>0</v>
      </c>
      <c r="M16" s="232">
        <f t="shared" si="3"/>
        <v>12882.296737500001</v>
      </c>
      <c r="N16" s="233">
        <f>SUM(N7:N15)</f>
        <v>2751.101694915254</v>
      </c>
      <c r="O16" s="101">
        <f>SUM(O7:O15)</f>
        <v>78.166992162076269</v>
      </c>
      <c r="P16" s="113">
        <f>SUM(P7:P15)</f>
        <v>15711.565424577329</v>
      </c>
      <c r="Q16" s="128">
        <f>SUM(Q7:Q15)</f>
        <v>12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14556.267500000002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1164.5014000000001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509.46936250000005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12882.296737500001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2751.101694915254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15633.398432415255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78.166992162076269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15711.565424577331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15711.565424577329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7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7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activeCell="H18" sqref="H17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39</v>
      </c>
      <c r="I25" s="114">
        <f t="shared" si="7"/>
        <v>2288.1675</v>
      </c>
      <c r="J25" s="274">
        <f>SUM(J16:J24)</f>
        <v>183.05340000000001</v>
      </c>
      <c r="K25" s="275">
        <f t="shared" si="7"/>
        <v>80.085862500000005</v>
      </c>
      <c r="L25" s="276">
        <f t="shared" si="7"/>
        <v>0</v>
      </c>
      <c r="M25" s="232">
        <f t="shared" si="7"/>
        <v>2025.0282375000002</v>
      </c>
      <c r="N25" s="233">
        <f>SUM(N16:N24)</f>
        <v>432.45762711864398</v>
      </c>
      <c r="O25" s="101">
        <f>SUM(O16:O24)</f>
        <v>12.287429323093221</v>
      </c>
      <c r="P25" s="234">
        <f>SUM(P16:P24)</f>
        <v>2469.7732939417369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2288.1675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183.05340000000001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80.085862500000005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2025.0282374999997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432.45762711864398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2457.4858646186435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12.287429323093217</v>
      </c>
    </row>
    <row r="35" spans="2:16" ht="15.75" customHeight="1" thickBot="1" x14ac:dyDescent="0.4">
      <c r="N35" s="345" t="s">
        <v>88</v>
      </c>
      <c r="O35" s="346"/>
      <c r="P35" s="297">
        <f>+P33+P34</f>
        <v>2469.7732939417369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2026-10-02T11:30:01Z</dcterms:modified>
</cp:coreProperties>
</file>