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6EB84A3-E3AF-42DE-8BF5-AECCBA9E1E2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<sst xmlns="http://schemas.openxmlformats.org/spreadsheetml/2006/main" count="3948" uniqueCount="525">
  <si>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</si>
  <si>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</si>
  <si>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</si>
  <si>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</si>
  <si>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</si>
  <si>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</si>
  <si>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</si>
  <si>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</si>
  <si>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</si>
  <si>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</si>
  <si>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</si>
  <si>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</si>
  <si>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</si>
  <si>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</si>
  <si>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</si>
  <si>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</si>
  <si>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</si>
  <si>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</si>
  <si>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</si>
  <si>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</si>
  <si>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</si>
  <si>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</si>
  <si>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</si>
  <si>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</si>
  <si>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</si>
  <si>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</si>
  <si>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</si>
  <si>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</si>
  <si>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</si>
  <si>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</si>
  <si>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</si>
  <si>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</si>
  <si>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</si>
  <si>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</si>
  <si>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</si>
  <si>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</si>
  <si>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</si>
  <si>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</si>
  <si>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</si>
  <si>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</si>
  <si>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</si>
  <si>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</si>
  <si>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</si>
  <si>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</si>
  <si>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</si>
  <si>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</si>
  <si>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</si>
  <si>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</si>
  <si>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</si>
  <si>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</si>
  <si>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</si>
  <si>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</si>
  <si>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</si>
  <si>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</si>
  <si>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</si>
  <si>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</si>
  <si>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</si>
  <si>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</si>
  <si>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</si>
  <si>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</si>
  <si>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</si>
  <si>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</si>
  <si>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</si>
  <si>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</si>
  <si>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</si>
  <si>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</si>
  <si>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</si>
  <si>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</si>
  <si>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</si>
  <si>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</si>
  <si>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</si>
  <si>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</si>
  <si>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</si>
  <si>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</si>
  <si>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</si>
  <si>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</si>
  <si>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</si>
  <si>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</si>
  <si>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</si>
  <si>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</si>
  <si>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</si>
  <si>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</si>
  <si>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</si>
  <si>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</si>
  <si>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</si>
  <si>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</si>
  <si>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</si>
  <si>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</si>
  <si>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</si>
  <si>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</si>
  <si>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</si>
  <si>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</si>
  <si>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</si>
  <si>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</si>
  <si>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</si>
  <si>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</si>
  <si>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</si>
  <si>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</si>
  <si>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</si>
  <si>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</si>
  <si>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</si>
  <si>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</si>
  <si>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</si>
  <si>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</si>
  <si>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</si>
  <si>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</si>
  <si>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</si>
  <si>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</si>
  <si>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</si>
  <si>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</si>
  <si>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</si>
  <si>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</si>
  <si>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</si>
  <si>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</si>
  <si>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</si>
  <si>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</si>
  <si>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</si>
  <si>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</si>
  <si>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</si>
  <si>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</si>
  <si>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</si>
  <si>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</si>
  <si>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</si>
  <si>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</si>
  <si>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</si>
  <si>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</si>
  <si>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</si>
  <si>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</si>
  <si>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</si>
  <si>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</si>
  <si>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</si>
  <si>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</si>
  <si>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</si>
  <si>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</si>
  <si>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</si>
  <si>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</si>
  <si>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</si>
  <si>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</si>
  <si>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</si>
  <si>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</si>
  <si>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</si>
  <si>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</si>
  <si>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</si>
  <si>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</si>
  <si>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</si>
  <si>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</si>
  <si>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</si>
  <si>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</si>
  <si>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</si>
  <si>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</si>
  <si>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</si>
  <si>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</si>
  <si>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</si>
  <si>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</si>
  <si>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</si>
  <si>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</si>
  <si>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</si>
  <si>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</si>
  <si>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</si>
  <si>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</si>
  <si>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</si>
  <si>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</si>
  <si>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</si>
  <si>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</si>
  <si>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</si>
  <si>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</si>
  <si>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</si>
  <si>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</si>
  <si>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</si>
  <si>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</si>
  <si>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</si>
  <si>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</si>
  <si>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</si>
  <si>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</si>
  <si>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</si>
  <si>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</si>
  <si>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</si>
  <si>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</si>
  <si>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</si>
  <si>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</si>
  <si>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</si>
  <si>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</si>
  <si>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</si>
  <si>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</si>
  <si>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</si>
  <si>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</si>
  <si>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</si>
  <si>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</si>
  <si>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</si>
  <si>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</si>
  <si>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</si>
  <si>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</si>
  <si>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</si>
  <si>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</si>
  <si>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</si>
  <si>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</si>
  <si>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</si>
  <si>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</si>
  <si>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</si>
  <si>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</si>
  <si>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</si>
  <si>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</si>
  <si>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</si>
  <si>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</si>
  <si>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</si>
  <si>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</si>
  <si>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</si>
  <si>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</si>
  <si>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</si>
  <si>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</si>
  <si>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</si>
  <si>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</si>
  <si>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</si>
  <si>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</si>
  <si>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</si>
  <si>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</si>
  <si>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</si>
  <si>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</si>
  <si>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</si>
  <si>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</si>
  <si>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</si>
  <si>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</si>
  <si>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</si>
  <si>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</si>
  <si>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</si>
  <si>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</si>
  <si>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</si>
  <si>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</si>
  <si>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</si>
  <si>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</si>
  <si>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</si>
  <si>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</si>
  <si>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</si>
  <si>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</si>
  <si>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</si>
  <si>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</si>
  <si>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</si>
  <si>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</si>
  <si>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</si>
  <si>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</si>
  <si>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</si>
  <si>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</si>
  <si>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</si>
  <si>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</si>
  <si>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</si>
  <si>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</si>
  <si>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</si>
  <si>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</si>
  <si>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</si>
  <si>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</si>
  <si>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</si>
  <si>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</si>
  <si>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</si>
  <si>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</si>
  <si>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</si>
  <si>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</si>
  <si>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</si>
  <si>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</si>
  <si>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</si>
  <si>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</si>
  <si>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</si>
  <si>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</si>
  <si>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</si>
  <si>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</si>
  <si>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</si>
  <si>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</si>
  <si>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</si>
  <si>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</si>
  <si>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</si>
  <si>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</si>
  <si>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</si>
  <si>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</si>
  <si>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</si>
  <si>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</si>
  <si>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</si>
  <si>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</si>
  <si>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</si>
  <si>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</si>
  <si>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</si>
  <si>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</si>
  <si>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</si>
  <si>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</si>
  <si>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</si>
  <si>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</si>
  <si>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</si>
  <si>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</si>
  <si>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</si>
  <si>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</si>
  <si>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</si>
  <si>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</si>
  <si>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</si>
  <si>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</si>
  <si>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</si>
  <si>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</si>
  <si>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</si>
  <si>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</si>
  <si>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</si>
  <si>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</si>
  <si>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</si>
  <si>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</si>
  <si>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</si>
  <si>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</si>
  <si>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</si>
  <si>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</si>
  <si>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</si>
  <si>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</si>
  <si>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</si>
  <si>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</si>
  <si>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</si>
  <si>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</si>
  <si>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</si>
  <si>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</si>
  <si>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</si>
  <si>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</si>
  <si>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</si>
  <si>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</si>
  <si>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</si>
  <si>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</si>
  <si>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</si>
  <si>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</si>
  <si>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</si>
  <si>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</si>
  <si>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</si>
  <si>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</si>
  <si>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</si>
  <si>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</si>
  <si>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</si>
  <si>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</si>
  <si>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</si>
  <si>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</si>
  <si>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</si>
  <si>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</si>
  <si>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</si>
  <si>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</si>
  <si>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</si>
  <si>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</si>
  <si>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</si>
  <si>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</si>
  <si>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</si>
  <si>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</si>
  <si>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</si>
  <si>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</si>
  <si>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</si>
  <si>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</si>
  <si>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</si>
  <si>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</si>
  <si>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</si>
  <si>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</si>
  <si>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</si>
  <si>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</si>
  <si>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</si>
  <si>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</si>
  <si>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</si>
  <si>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</si>
  <si>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</si>
  <si>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</si>
  <si>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</si>
  <si>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</si>
  <si>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</si>
  <si>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</si>
  <si>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</si>
  <si>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</si>
  <si>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</si>
  <si>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</si>
  <si>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</si>
  <si>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</si>
  <si>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</si>
  <si>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</si>
  <si>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</si>
  <si>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</si>
  <si>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</si>
  <si>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</si>
  <si>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</si>
  <si>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</si>
  <si>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</si>
  <si>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</si>
  <si>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</si>
  <si>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</si>
  <si>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</si>
  <si>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</si>
  <si>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</si>
  <si>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</si>
  <si>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</si>
  <si>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</si>
  <si>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</si>
  <si>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</si>
  <si>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</si>
  <si>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</si>
  <si>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</si>
  <si>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</si>
  <si>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</si>
  <si>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</si>
  <si>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</si>
  <si>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</si>
  <si>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</si>
  <si>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</si>
  <si>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</si>
  <si>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</si>
  <si>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</si>
  <si>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</si>
  <si>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</si>
  <si>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</si>
  <si>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</si>
  <si>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</si>
  <si>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</si>
  <si>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</si>
  <si>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</si>
  <si>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</si>
  <si>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</si>
  <si>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</si>
  <si>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</si>
  <si>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</si>
  <si>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</si>
  <si>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</si>
  <si>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</si>
  <si>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</si>
  <si>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</si>
  <si>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</si>
  <si>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</si>
  <si>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</si>
  <si>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</si>
  <si>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</si>
  <si>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</si>
  <si>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</si>
  <si>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</si>
  <si>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</si>
  <si>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</si>
  <si>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</si>
  <si>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</si>
  <si>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</si>
  <si>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</si>
  <si>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</si>
  <si>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</si>
  <si>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</si>
  <si>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</si>
  <si>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</si>
  <si>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</si>
  <si>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</si>
  <si>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</si>
  <si>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</si>
  <si>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</si>
  <si>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</si>
  <si>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</si>
  <si>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</si>
  <si>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</si>
  <si>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</si>
  <si>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</si>
  <si>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</si>
  <si>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</si>
  <si>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</si>
  <si>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</si>
  <si>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</si>
  <si>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</si>
  <si>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</si>
  <si>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</si>
  <si>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</si>
  <si>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</si>
  <si>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</si>
  <si>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</si>
  <si>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</si>
  <si>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</si>
  <si>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</si>
  <si>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</si>
  <si>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</si>
  <si>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</si>
  <si>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</si>
  <si>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</si>
  <si>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</si>
  <si>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</si>
  <si>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</si>
  <si>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</si>
  <si>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</si>
  <si>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</si>
  <si>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</si>
  <si>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</si>
  <si>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</si>
  <si>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</si>
  <si>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</si>
  <si>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</si>
  <si>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</si>
  <si>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</si>
  <si>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</si>
  <si>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</si>
  <si>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</si>
  <si>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</si>
  <si>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</si>
  <si>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</si>
  <si>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</si>
  <si>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</si>
  <si>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</si>
  <si>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</si>
  <si>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</si>
  <si>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</si>
  <si>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</si>
  <si>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</si>
  <si>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</si>
  <si>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</si>
  <si>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</si>
  <si>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</si>
  <si>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</si>
  <si>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</si>
  <si>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</si>
  <si>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</si>
  <si>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</si>
  <si>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</si>
  <si>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</si>
  <si>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</si>
  <si>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</si>
  <si>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</si>
  <si>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</si>
  <si>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</si>
  <si>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</si>
  <si>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</si>
  <si>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</si>
  <si>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</si>
  <si>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Sadiq Store</t>
  </si>
  <si>
    <t>Address: Guru Mangat Road</t>
  </si>
  <si>
    <t xml:space="preserve">Bakhtawer Bakers </t>
  </si>
  <si>
    <t>Address: Makkah Colony</t>
  </si>
  <si>
    <t xml:space="preserve">Ajwa Bakers </t>
  </si>
  <si>
    <t>Butt GS</t>
  </si>
  <si>
    <t>Address: Firdos Market</t>
  </si>
  <si>
    <t>Malik Gs</t>
  </si>
  <si>
    <t xml:space="preserve">Address: Firdos Market </t>
  </si>
  <si>
    <t xml:space="preserve">BA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</si>
</sst>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Sadiq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Bakhtawer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Ajwa Bakers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Butt GS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Malik Gs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38</v>
      </c>
      <c r="I8" s="236">
        <f t="shared" ref="I8:I14" si="0">(G8*D8)*F8+H8*F8</f>
        <v>1993.575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159.48599999999999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69.775125000000003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1764.3138750000001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376.77966101694904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10.705467680084745</v>
      </c>
      <c r="P8" s="311">
        <f t="shared" ref="P8:P15" si="2">M8+N8+O8</f>
        <v>2151.7990036970341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BA Bakers </v>
      </c>
      <c r="T8" s="301">
        <f>+'6'!P35</f>
        <v>2469.7732939417369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</v>
      </c>
      <c r="I9" s="236">
        <f t="shared" si="0"/>
        <v>2150.9625000000001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172.077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75.283687500000013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1903.6018125000001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406.52542372881339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11.550636181144068</v>
      </c>
      <c r="P9" s="311">
        <f t="shared" si="2"/>
        <v>2321.6778724099577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47</v>
      </c>
      <c r="I10" s="236">
        <f t="shared" si="0"/>
        <v>3414.08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273.12639999999999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119.49280000000002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3021.4607999999998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645.25423728813564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18.33357518644068</v>
      </c>
      <c r="P10" s="311">
        <f t="shared" si="2"/>
        <v>3685.0486124745762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</v>
      </c>
      <c r="I11" s="236">
        <f t="shared" si="0"/>
        <v>2542.4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88.984000000000009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2250.0240000000003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480.50847457627123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13.652662372881357</v>
      </c>
      <c r="P11" s="311">
        <f t="shared" si="2"/>
        <v>2744.1851369491528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27.305324745762714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5.7750000000000004</v>
      </c>
      <c r="H16" s="113">
        <f t="shared" ref="H16:M16" si="3">SUM(H7:H15)</f>
        <v>231</v>
      </c>
      <c r="I16" s="114">
        <f t="shared" si="3"/>
        <v>15185.817500000001</v>
      </c>
      <c r="J16" s="274">
        <f>SUM(J7:J15)</f>
        <v>1214.8654000000001</v>
      </c>
      <c r="K16" s="275">
        <f t="shared" si="3"/>
        <v>531.50361250000014</v>
      </c>
      <c r="L16" s="276">
        <f t="shared" si="3"/>
        <v>0</v>
      </c>
      <c r="M16" s="232">
        <f t="shared" si="3"/>
        <v>13439.4484875</v>
      </c>
      <c r="N16" s="233">
        <f>SUM(N7:N15)</f>
        <v>2870.0847457627119</v>
      </c>
      <c r="O16" s="101">
        <f>SUM(O7:O15)</f>
        <v>81.547666166313562</v>
      </c>
      <c r="P16" s="113">
        <f>SUM(P7:P15)</f>
        <v>16391.080899429027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15185.817500000001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1214.8654000000001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531.50361250000014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13439.4484875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2870.0847457627119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16309.533233262711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81.547666166313562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16391.080899429024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16391.080899429024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39</v>
      </c>
      <c r="I25" s="114">
        <f t="shared" si="7"/>
        <v>2288.1675</v>
      </c>
      <c r="J25" s="274">
        <f>SUM(J16:J24)</f>
        <v>183.05340000000001</v>
      </c>
      <c r="K25" s="275">
        <f t="shared" si="7"/>
        <v>80.085862500000005</v>
      </c>
      <c r="L25" s="276">
        <f t="shared" si="7"/>
        <v>0</v>
      </c>
      <c r="M25" s="232">
        <f t="shared" si="7"/>
        <v>2025.0282375000002</v>
      </c>
      <c r="N25" s="233">
        <f>SUM(N16:N24)</f>
        <v>432.45762711864398</v>
      </c>
      <c r="O25" s="101">
        <f>SUM(O16:O24)</f>
        <v>12.287429323093221</v>
      </c>
      <c r="P25" s="234">
        <f>SUM(P16:P24)</f>
        <v>2469.7732939417369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2288.1675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183.05340000000001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80.085862500000005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2025.0282374999997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432.45762711864398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2457.4858646186435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12.287429323093217</v>
      </c>
    </row>
    <row r="35" spans="2:16" ht="15.75" customHeight="1" thickBot="1" x14ac:dyDescent="0.4">
      <c r="N35" s="374" t="s">
        <v>88</v>
      </c>
      <c r="O35" s="375"/>
      <c r="P35" s="297">
        <f>+P33+P34</f>
        <v>2469.7732939417369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2026-10-01T11:52:47Z</dcterms:modified>
</cp:coreProperties>
</file>