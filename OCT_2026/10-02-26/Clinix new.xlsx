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A7F0F6D-1C09-42D3-8FE0-70597CD746C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<sst xmlns="http://schemas.openxmlformats.org/spreadsheetml/2006/main" count="3913" uniqueCount="518">
  <si>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</si>
  <si>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</si>
  <si>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</si>
  <si>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</si>
  <si>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</si>
  <si>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</si>
  <si>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</si>
  <si>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</si>
  <si>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</si>
  <si>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</si>
  <si>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</si>
  <si>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</si>
  <si>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</si>
  <si>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</si>
  <si>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</si>
  <si>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</si>
  <si>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</si>
  <si>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</si>
  <si>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</si>
  <si>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</si>
  <si>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</si>
  <si>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</si>
  <si>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</si>
  <si>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</si>
  <si>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</si>
  <si>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</si>
  <si>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</si>
  <si>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</si>
  <si>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</si>
  <si>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</si>
  <si>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</si>
  <si>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</si>
  <si>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</si>
  <si>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</si>
  <si>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</si>
  <si>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</si>
  <si>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</si>
  <si>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</si>
  <si>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</si>
  <si>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</si>
  <si>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</si>
  <si>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</si>
  <si>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</si>
  <si>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</si>
  <si>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</si>
  <si>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</si>
  <si>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</si>
  <si>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</si>
  <si>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</si>
  <si>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</si>
  <si>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</si>
  <si>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</si>
  <si>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</si>
  <si>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</si>
  <si>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</si>
  <si>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</si>
  <si>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</si>
  <si>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</si>
  <si>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</si>
  <si>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</si>
  <si>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</si>
  <si>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</si>
  <si>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</si>
  <si>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</si>
  <si>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</si>
  <si>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</si>
  <si>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</si>
  <si>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</si>
  <si>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</si>
  <si>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</si>
  <si>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</si>
  <si>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</si>
  <si>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</si>
  <si>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</si>
  <si>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</si>
  <si>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</si>
  <si>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</si>
  <si>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</si>
  <si>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</si>
  <si>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</si>
  <si>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</si>
  <si>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</si>
  <si>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</si>
  <si>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</si>
  <si>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</si>
  <si>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</si>
  <si>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</si>
  <si>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</si>
  <si>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</si>
  <si>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</si>
  <si>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</si>
  <si>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</si>
  <si>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</si>
  <si>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</si>
  <si>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</si>
  <si>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</si>
  <si>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</si>
  <si>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</si>
  <si>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</si>
  <si>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</si>
  <si>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</si>
  <si>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</si>
  <si>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</si>
  <si>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</si>
  <si>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</si>
  <si>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</si>
  <si>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</si>
  <si>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</si>
  <si>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</si>
  <si>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</si>
  <si>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</si>
  <si>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</si>
  <si>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</si>
  <si>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</si>
  <si>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</si>
  <si>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</si>
  <si>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</si>
  <si>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</si>
  <si>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</si>
  <si>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</si>
  <si>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</si>
  <si>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</si>
  <si>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</si>
  <si>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</si>
  <si>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</si>
  <si>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</si>
  <si>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</si>
  <si>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</si>
  <si>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</si>
  <si>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</si>
  <si>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</si>
  <si>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</si>
  <si>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</si>
  <si>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</si>
  <si>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</si>
  <si>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</si>
  <si>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</si>
  <si>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</si>
  <si>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</si>
  <si>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</si>
  <si>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</si>
  <si>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</si>
  <si>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</si>
  <si>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</si>
  <si>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</si>
  <si>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</si>
  <si>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</si>
  <si>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</si>
  <si>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</si>
  <si>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</si>
  <si>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</si>
  <si>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</si>
  <si>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</si>
  <si>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</si>
  <si>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</si>
  <si>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</si>
  <si>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</si>
  <si>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</si>
  <si>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</si>
  <si>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</si>
  <si>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</si>
  <si>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</si>
  <si>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</si>
  <si>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</si>
  <si>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</si>
  <si>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</si>
  <si>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</si>
  <si>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</si>
  <si>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</si>
  <si>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</si>
  <si>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</si>
  <si>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</si>
  <si>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</si>
  <si>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</si>
  <si>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</si>
  <si>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</si>
  <si>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</si>
  <si>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</si>
  <si>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</si>
  <si>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</si>
  <si>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</si>
  <si>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</si>
  <si>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</si>
  <si>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</si>
  <si>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</si>
  <si>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</si>
  <si>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</si>
  <si>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</si>
  <si>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</si>
  <si>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</si>
  <si>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</si>
  <si>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</si>
  <si>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</si>
  <si>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</si>
  <si>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</si>
  <si>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</si>
  <si>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</si>
  <si>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</si>
  <si>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</si>
  <si>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</si>
  <si>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</si>
  <si>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</si>
  <si>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</si>
  <si>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</si>
  <si>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</si>
  <si>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</si>
  <si>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</si>
  <si>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</si>
  <si>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</si>
  <si>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</si>
  <si>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</si>
  <si>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</si>
  <si>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</si>
  <si>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</si>
  <si>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</si>
  <si>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</si>
  <si>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</si>
  <si>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</si>
  <si>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</si>
  <si>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</si>
  <si>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</si>
  <si>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</si>
  <si>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</si>
  <si>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</si>
  <si>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</si>
  <si>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</si>
  <si>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</si>
  <si>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</si>
  <si>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</si>
  <si>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</si>
  <si>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</si>
  <si>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</si>
  <si>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</si>
  <si>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</si>
  <si>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</si>
  <si>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</si>
  <si>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</si>
  <si>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</si>
  <si>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</si>
  <si>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</si>
  <si>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</si>
  <si>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</si>
  <si>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</si>
  <si>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</si>
  <si>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</si>
  <si>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</si>
  <si>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</si>
  <si>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</si>
  <si>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</si>
  <si>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</si>
  <si>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</si>
  <si>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</si>
  <si>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</si>
  <si>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</si>
  <si>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</si>
  <si>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</si>
  <si>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</si>
  <si>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</si>
  <si>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</si>
  <si>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</si>
  <si>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</si>
  <si>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</si>
  <si>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</si>
  <si>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</si>
  <si>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</si>
  <si>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</si>
  <si>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</si>
  <si>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</si>
  <si>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</si>
  <si>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</si>
  <si>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</si>
  <si>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</si>
  <si>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</si>
  <si>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</si>
  <si>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</si>
  <si>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</si>
  <si>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</si>
  <si>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</si>
  <si>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</si>
  <si>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</si>
  <si>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</si>
  <si>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</si>
  <si>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</si>
  <si>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</si>
  <si>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</si>
  <si>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</si>
  <si>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</si>
  <si>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</si>
  <si>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</si>
  <si>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</si>
  <si>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</si>
  <si>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</si>
  <si>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</si>
  <si>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</si>
  <si>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</si>
  <si>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</si>
  <si>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</si>
  <si>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</si>
  <si>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</si>
  <si>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</si>
  <si>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</si>
  <si>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</si>
  <si>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</si>
  <si>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</si>
  <si>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</si>
  <si>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</si>
  <si>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</si>
  <si>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</si>
  <si>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</si>
  <si>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</si>
  <si>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</si>
  <si>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</si>
  <si>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</si>
  <si>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</si>
  <si>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</si>
  <si>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</si>
  <si>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</si>
  <si>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</si>
  <si>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</si>
  <si>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</si>
  <si>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</si>
  <si>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</si>
  <si>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</si>
  <si>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</si>
  <si>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</si>
  <si>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</si>
  <si>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</si>
  <si>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</si>
  <si>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</si>
  <si>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</si>
  <si>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</si>
  <si>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</si>
  <si>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</si>
  <si>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</si>
  <si>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</si>
  <si>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</si>
  <si>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</si>
  <si>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</si>
  <si>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</si>
  <si>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</si>
  <si>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</si>
  <si>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</si>
  <si>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</si>
  <si>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</si>
  <si>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</si>
  <si>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</si>
  <si>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</si>
  <si>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</si>
  <si>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</si>
  <si>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</si>
  <si>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</si>
  <si>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</si>
  <si>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</si>
  <si>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</si>
  <si>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</si>
  <si>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</si>
  <si>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</si>
  <si>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</si>
  <si>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</si>
  <si>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</si>
  <si>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</si>
  <si>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</si>
  <si>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</si>
  <si>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</si>
  <si>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</si>
  <si>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</si>
  <si>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</si>
  <si>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</si>
  <si>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</si>
  <si>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</si>
  <si>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</si>
  <si>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</si>
  <si>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</si>
  <si>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</si>
  <si>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</si>
  <si>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</si>
  <si>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</si>
  <si>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</si>
  <si>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</si>
  <si>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</si>
  <si>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</si>
  <si>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</si>
  <si>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</si>
  <si>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</si>
  <si>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</si>
  <si>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</si>
  <si>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</si>
  <si>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</si>
  <si>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</si>
  <si>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</si>
  <si>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</si>
  <si>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</si>
  <si>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</si>
  <si>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</si>
  <si>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</si>
  <si>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</si>
  <si>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</si>
  <si>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</si>
  <si>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</si>
  <si>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</si>
  <si>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</si>
  <si>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</si>
  <si>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</si>
  <si>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</si>
  <si>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</si>
  <si>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</si>
  <si>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</si>
  <si>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</si>
  <si>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</si>
  <si>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</si>
  <si>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</si>
  <si>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</si>
  <si>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</si>
  <si>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</si>
  <si>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</si>
  <si>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</si>
  <si>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</si>
  <si>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</si>
  <si>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</si>
  <si>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</si>
  <si>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</si>
  <si>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</si>
  <si>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</si>
  <si>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</si>
  <si>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</si>
  <si>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</si>
  <si>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</si>
  <si>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</si>
  <si>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</si>
  <si>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</si>
  <si>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</si>
  <si>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</si>
  <si>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</si>
  <si>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</si>
  <si>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</si>
  <si>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</si>
  <si>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</si>
  <si>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</si>
  <si>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</si>
  <si>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</si>
  <si>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</si>
  <si>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</si>
  <si>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</si>
  <si>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</si>
  <si>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</si>
  <si>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</si>
  <si>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</si>
  <si>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</si>
  <si>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</si>
  <si>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</si>
  <si>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</si>
  <si>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</si>
  <si>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</si>
  <si>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</si>
  <si>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</si>
  <si>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</si>
  <si>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</si>
  <si>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</si>
  <si>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</si>
  <si>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</si>
  <si>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</si>
  <si>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</si>
  <si>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</si>
  <si>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</si>
  <si>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</si>
  <si>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</si>
  <si>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</si>
  <si>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</si>
  <si>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</si>
  <si>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</si>
  <si>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</si>
  <si>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</si>
  <si>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</si>
  <si>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</si>
  <si>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</si>
  <si>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</si>
  <si>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</si>
  <si>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</si>
  <si>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</si>
  <si>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</si>
  <si>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</si>
  <si>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</si>
  <si>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</si>
  <si>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</si>
  <si>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</si>
  <si>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</si>
  <si>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</si>
  <si>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</si>
  <si>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</si>
  <si>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</si>
  <si>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</si>
  <si>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</si>
  <si>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</si>
  <si>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</si>
  <si>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</si>
  <si>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</si>
  <si>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</si>
  <si>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</si>
  <si>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</si>
  <si>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</si>
  <si>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</si>
  <si>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</si>
  <si>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</si>
  <si>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</si>
  <si>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</si>
  <si>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</si>
  <si>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</si>
  <si>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</si>
  <si>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</si>
  <si>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</si>
  <si>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</si>
  <si>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</si>
  <si>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</si>
  <si>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</si>
  <si>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</si>
  <si>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</si>
  <si>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</si>
  <si>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:0241114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</si>
</sst>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46297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Clinix Central Warehouse</v>
      </c>
      <c r="T3" s="301">
        <f>+'1'!P35</f>
        <v>52096.0085202966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119">
        <f t="shared" si="2"/>
        <v>4530.103165677966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7714.3679999999995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46.80912813559322</v>
      </c>
      <c r="P10" s="119">
        <f t="shared" si="2"/>
        <v>9408.6347552542375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929.79200000000003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10285.824000000001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62.412170847457631</v>
      </c>
      <c r="P11" s="119">
        <f t="shared" si="2"/>
        <v>12544.846340338983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610.17600000000004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15428.735999999999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93.618256271186439</v>
      </c>
      <c r="P12" s="119">
        <f t="shared" si="2"/>
        <v>18817.269510508475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720</v>
      </c>
      <c r="I16" s="114">
        <f t="shared" si="3"/>
        <v>48265.299999999996</v>
      </c>
      <c r="J16" s="274">
        <f>SUM(J7:J15)</f>
        <v>3861.2240000000002</v>
      </c>
      <c r="K16" s="275">
        <f t="shared" si="3"/>
        <v>1689.2855000000004</v>
      </c>
      <c r="L16" s="276">
        <f t="shared" si="3"/>
        <v>0</v>
      </c>
      <c r="M16" s="232">
        <f t="shared" si="3"/>
        <v>42714.790499999996</v>
      </c>
      <c r="N16" s="233">
        <f>SUM(N7:N15)</f>
        <v>9122.0338983050842</v>
      </c>
      <c r="O16" s="101">
        <f>SUM(O7:O15)</f>
        <v>259.18412199152544</v>
      </c>
      <c r="P16" s="234">
        <f>SUM(P7:P15)</f>
        <v>52096.008520296615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48265.299999999996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3861.2240000000002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1689.2855000000004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42714.790499999996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9122.0338983050842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51836.824398305078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259.18412199152544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52096.0085202966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52096.0085202966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4" sqref="F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517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46296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119">
        <f t="shared" si="5"/>
        <v>9408.6347552542375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929.79200000000003</v>
      </c>
      <c r="K20" s="128">
        <f t="shared" si="1"/>
        <v>406.78400000000005</v>
      </c>
      <c r="L20" s="119">
        <f t="shared" si="1"/>
        <v>0</v>
      </c>
      <c r="M20" s="230">
        <f t="shared" si="2"/>
        <v>10285.824000000001</v>
      </c>
      <c r="N20" s="277">
        <f t="shared" si="3"/>
        <v>2196.6101694915255</v>
      </c>
      <c r="O20" s="239">
        <f t="shared" si="4"/>
        <v>62.412170847457631</v>
      </c>
      <c r="P20" s="119">
        <f t="shared" si="5"/>
        <v>12544.846340338983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240</v>
      </c>
      <c r="I21" s="236">
        <f t="shared" si="7"/>
        <v>17433.599999999999</v>
      </c>
      <c r="J21" s="272">
        <f t="shared" si="1"/>
        <v>1394.6879999999999</v>
      </c>
      <c r="K21" s="128">
        <f t="shared" si="1"/>
        <v>610.17600000000004</v>
      </c>
      <c r="L21" s="119">
        <f t="shared" si="1"/>
        <v>0</v>
      </c>
      <c r="M21" s="230">
        <f t="shared" si="2"/>
        <v>15428.735999999999</v>
      </c>
      <c r="N21" s="277">
        <f t="shared" si="3"/>
        <v>3294.9152542372885</v>
      </c>
      <c r="O21" s="239">
        <f t="shared" si="4"/>
        <v>93.618256271186439</v>
      </c>
      <c r="P21" s="119">
        <f t="shared" si="5"/>
        <v>18817.269510508475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48265.299999999996</v>
      </c>
      <c r="J25" s="274">
        <f>SUM(J16:J24)</f>
        <v>3861.2240000000002</v>
      </c>
      <c r="K25" s="275">
        <f t="shared" si="10"/>
        <v>1689.2855000000004</v>
      </c>
      <c r="L25" s="276">
        <f t="shared" si="10"/>
        <v>0</v>
      </c>
      <c r="M25" s="232">
        <f t="shared" si="10"/>
        <v>42714.790499999996</v>
      </c>
      <c r="N25" s="233">
        <f>SUM(N16:N24)</f>
        <v>9122.0338983050842</v>
      </c>
      <c r="O25" s="101">
        <f>SUM(O16:O24)</f>
        <v>259.18412199152544</v>
      </c>
      <c r="P25" s="234">
        <f>SUM(P16:P24)</f>
        <v>52096.008520296615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48265.299999999996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3861.2240000000002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1689.2855000000004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42714.790499999996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9122.0338983050842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51836.824398305078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259.18412199152539</v>
      </c>
    </row>
    <row r="35" spans="2:16" ht="15.75" customHeight="1" thickBot="1" x14ac:dyDescent="0.4">
      <c r="N35" s="334" t="s">
        <v>88</v>
      </c>
      <c r="O35" s="335"/>
      <c r="P35" s="297">
        <f>+P33+P34</f>
        <v>52096.0085202966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46297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46296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46297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46296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2026-10-01T12:12:47Z</dcterms:modified>
</cp:coreProperties>
</file>