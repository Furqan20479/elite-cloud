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7B3791A-4D0C-40E0-8B35-69E513234B6A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1" i="62" l="1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J7" i="62"/>
  <c r="M21" i="44"/>
  <c r="O21" i="44" s="1"/>
  <c r="P21" i="44" s="1"/>
  <c r="M16" i="43"/>
  <c r="M20" i="43"/>
  <c r="O20" i="43" s="1"/>
  <c r="P20" i="43" s="1"/>
  <c r="R20" i="43" s="1"/>
  <c r="M21" i="43"/>
  <c r="O21" i="43" s="1"/>
  <c r="P21" i="43" s="1"/>
  <c r="M22" i="43"/>
  <c r="O22" i="43" s="1"/>
  <c r="P22" i="4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<sst xmlns="http://schemas.openxmlformats.org/spreadsheetml/2006/main" count="3973" uniqueCount="520">
  <si>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</si>
  <si>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</si>
  <si>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</si>
  <si>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</si>
  <si>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</si>
  <si>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</si>
  <si>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</si>
  <si>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</si>
  <si>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</si>
  <si>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</si>
  <si>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</si>
  <si>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</si>
  <si>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</si>
  <si>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</si>
  <si>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</si>
  <si>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</si>
  <si>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</si>
  <si>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</si>
  <si>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</si>
  <si>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</si>
  <si>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</si>
  <si>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</si>
  <si>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</si>
  <si>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</si>
  <si>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</si>
  <si>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</si>
  <si>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</si>
  <si>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</si>
  <si>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</si>
  <si>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</si>
  <si>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</si>
  <si>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</si>
  <si>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</si>
  <si>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</si>
  <si>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</si>
  <si>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</si>
  <si>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</si>
  <si>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</si>
  <si>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</si>
  <si>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</si>
  <si>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</si>
  <si>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</si>
  <si>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</si>
  <si>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</si>
  <si>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</si>
  <si>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</si>
  <si>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</si>
  <si>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</si>
  <si>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</si>
  <si>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</si>
  <si>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</si>
  <si>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</si>
  <si>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</si>
  <si>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</si>
  <si>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</si>
  <si>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</si>
  <si>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</si>
  <si>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</si>
  <si>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</si>
  <si>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</si>
  <si>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</si>
  <si>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</si>
  <si>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</si>
  <si>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</si>
  <si>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</si>
  <si>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</si>
  <si>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</si>
  <si>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</si>
  <si>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</si>
  <si>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</si>
  <si>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</si>
  <si>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</si>
  <si>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</si>
  <si>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</si>
  <si>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</si>
  <si>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</si>
  <si>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</si>
  <si>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</si>
  <si>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</si>
  <si>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</si>
  <si>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</si>
  <si>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</si>
  <si>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</si>
  <si>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</si>
  <si>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</si>
  <si>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</si>
  <si>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</si>
  <si>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</si>
  <si>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</si>
  <si>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</si>
  <si>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</si>
  <si>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</si>
  <si>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</si>
  <si>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</si>
  <si>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</si>
  <si>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</si>
  <si>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</si>
  <si>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</si>
  <si>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</si>
  <si>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</si>
  <si>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</si>
  <si>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</si>
  <si>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</si>
  <si>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</si>
  <si>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</si>
  <si>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</si>
  <si>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</si>
  <si>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</si>
  <si>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</si>
  <si>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</si>
  <si>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</si>
  <si>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</si>
  <si>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</si>
  <si>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</si>
  <si>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</si>
  <si>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</si>
  <si>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</si>
  <si>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</si>
  <si>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</si>
  <si>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</si>
  <si>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</si>
  <si>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</si>
  <si>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</si>
  <si>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</si>
  <si>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</si>
  <si>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</si>
  <si>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</si>
  <si>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</si>
  <si>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</si>
  <si>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</si>
  <si>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</si>
  <si>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</si>
  <si>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</si>
  <si>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</si>
  <si>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</si>
  <si>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</si>
  <si>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</si>
  <si>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</si>
  <si>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</si>
  <si>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</si>
  <si>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</si>
  <si>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</si>
  <si>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</si>
  <si>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</si>
  <si>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</si>
  <si>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</si>
  <si>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</si>
  <si>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</si>
  <si>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</si>
  <si>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</si>
  <si>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</si>
  <si>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</si>
  <si>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</si>
  <si>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</si>
  <si>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</si>
  <si>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</si>
  <si>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</si>
  <si>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</si>
  <si>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</si>
  <si>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</si>
  <si>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</si>
  <si>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</si>
  <si>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</si>
  <si>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</si>
  <si>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</si>
  <si>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</si>
  <si>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</si>
  <si>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</si>
  <si>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</si>
  <si>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</si>
  <si>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</si>
  <si>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</si>
  <si>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</si>
  <si>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</si>
  <si>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</si>
  <si>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</si>
  <si>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</si>
  <si>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</si>
  <si>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</si>
  <si>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</si>
  <si>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</si>
  <si>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</si>
  <si>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</si>
  <si>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</si>
  <si>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</si>
  <si>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</si>
  <si>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</si>
  <si>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</si>
  <si>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</si>
  <si>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</si>
  <si>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</si>
  <si>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</si>
  <si>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</si>
  <si>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</si>
  <si>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</si>
  <si>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</si>
  <si>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</si>
  <si>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</si>
  <si>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</si>
  <si>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</si>
  <si>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</si>
  <si>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</si>
  <si>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</si>
  <si>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</si>
  <si>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</si>
  <si>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</si>
  <si>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</si>
  <si>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</si>
  <si>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</si>
  <si>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</si>
  <si>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</si>
  <si>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</si>
  <si>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</si>
  <si>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</si>
  <si>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</si>
  <si>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</si>
  <si>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</si>
  <si>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</si>
  <si>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</si>
  <si>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</si>
  <si>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</si>
  <si>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</si>
  <si>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</si>
  <si>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</si>
  <si>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</si>
  <si>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</si>
  <si>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</si>
  <si>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</si>
  <si>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</si>
  <si>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</si>
  <si>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</si>
  <si>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</si>
  <si>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</si>
  <si>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</si>
  <si>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</si>
  <si>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</si>
  <si>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</si>
  <si>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</si>
  <si>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</si>
  <si>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</si>
  <si>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</si>
  <si>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</si>
  <si>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</si>
  <si>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</si>
  <si>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</si>
  <si>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</si>
  <si>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</si>
  <si>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</si>
  <si>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</si>
  <si>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</si>
  <si>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</si>
  <si>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</si>
  <si>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</si>
  <si>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</si>
  <si>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</si>
  <si>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</si>
  <si>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</si>
  <si>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</si>
  <si>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</si>
  <si>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</si>
  <si>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</si>
  <si>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</si>
  <si>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</si>
  <si>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</si>
  <si>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</si>
  <si>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</si>
  <si>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</si>
  <si>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</si>
  <si>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</si>
  <si>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</si>
  <si>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</si>
  <si>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</si>
  <si>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</si>
  <si>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</si>
  <si>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</si>
  <si>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</si>
  <si>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</si>
  <si>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</si>
  <si>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</si>
  <si>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</si>
  <si>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</si>
  <si>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</si>
  <si>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</si>
  <si>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</si>
  <si>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</si>
  <si>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</si>
  <si>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</si>
  <si>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</si>
  <si>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</si>
  <si>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</si>
  <si>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</si>
  <si>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</si>
  <si>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</si>
  <si>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</si>
  <si>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</si>
  <si>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</si>
  <si>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</si>
  <si>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</si>
  <si>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</si>
  <si>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</si>
  <si>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</si>
  <si>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</si>
  <si>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</si>
  <si>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</si>
  <si>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</si>
  <si>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</si>
  <si>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</si>
  <si>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</si>
  <si>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</si>
  <si>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</si>
  <si>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</si>
  <si>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</si>
  <si>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</si>
  <si>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</si>
  <si>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</si>
  <si>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</si>
  <si>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</si>
  <si>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</si>
  <si>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</si>
  <si>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</si>
  <si>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</si>
  <si>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</si>
  <si>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</si>
  <si>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</si>
  <si>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</si>
  <si>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</si>
  <si>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</si>
  <si>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</si>
  <si>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</si>
  <si>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</si>
  <si>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</si>
  <si>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</si>
  <si>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</si>
  <si>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</si>
  <si>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</si>
  <si>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</si>
  <si>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</si>
  <si>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</si>
  <si>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</si>
  <si>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</si>
  <si>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</si>
  <si>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</si>
  <si>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</si>
  <si>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</si>
  <si>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</si>
  <si>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</si>
  <si>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</si>
  <si>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</si>
  <si>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</si>
  <si>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</si>
  <si>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</si>
  <si>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</si>
  <si>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</si>
  <si>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</si>
  <si>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</si>
  <si>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</si>
  <si>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</si>
  <si>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</si>
  <si>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</si>
  <si>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</si>
  <si>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</si>
  <si>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</si>
  <si>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</si>
  <si>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</si>
  <si>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</si>
  <si>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</si>
  <si>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</si>
  <si>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</si>
  <si>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</si>
  <si>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</si>
  <si>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</si>
  <si>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</si>
  <si>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</si>
  <si>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</si>
  <si>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</si>
  <si>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</si>
  <si>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</si>
  <si>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</si>
  <si>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</si>
  <si>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</si>
  <si>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</si>
  <si>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</si>
  <si>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</si>
  <si>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</si>
  <si>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</si>
  <si>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</si>
  <si>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</si>
  <si>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</si>
  <si>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</si>
  <si>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</si>
  <si>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</si>
  <si>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</si>
  <si>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</si>
  <si>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</si>
  <si>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</si>
  <si>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</si>
  <si>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</si>
  <si>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</si>
  <si>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</si>
  <si>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</si>
  <si>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</si>
  <si>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</si>
  <si>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</si>
  <si>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</si>
  <si>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</si>
  <si>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</si>
  <si>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</si>
  <si>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</si>
  <si>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</si>
  <si>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</si>
  <si>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</si>
  <si>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</si>
  <si>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</si>
  <si>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</si>
  <si>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</si>
  <si>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</si>
  <si>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</si>
  <si>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</si>
  <si>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</si>
  <si>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</si>
  <si>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</si>
  <si>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</si>
  <si>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</si>
  <si>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</si>
  <si>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</si>
  <si>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</si>
  <si>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</si>
  <si>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</si>
  <si>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</si>
  <si>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</si>
  <si>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</si>
  <si>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</si>
  <si>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</si>
  <si>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</si>
  <si>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</si>
  <si>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</si>
  <si>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</si>
  <si>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</si>
  <si>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</si>
  <si>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</si>
  <si>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</si>
  <si>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</si>
  <si>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</si>
  <si>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</si>
  <si>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</si>
  <si>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</si>
  <si>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</si>
  <si>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</si>
  <si>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</si>
  <si>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</si>
  <si>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</si>
  <si>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</si>
  <si>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</si>
  <si>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</si>
  <si>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</si>
  <si>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</si>
  <si>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</si>
  <si>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</si>
  <si>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</si>
  <si>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</si>
  <si>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</si>
  <si>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</si>
  <si>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</si>
  <si>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</si>
  <si>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</si>
  <si>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</si>
  <si>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</si>
  <si>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</si>
  <si>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</si>
  <si>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</si>
  <si>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</si>
  <si>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</si>
  <si>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</si>
  <si>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</si>
  <si>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</si>
  <si>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</si>
  <si>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</si>
  <si>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</si>
  <si>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</si>
  <si>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</si>
  <si>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</si>
  <si>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</si>
  <si>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</si>
  <si>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</si>
  <si>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</si>
  <si>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</si>
  <si>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</si>
  <si>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</si>
  <si>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</si>
  <si>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</si>
  <si>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</si>
  <si>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</si>
  <si>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</si>
  <si>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</si>
  <si>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</si>
  <si>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</si>
  <si>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</si>
  <si>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</si>
  <si>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</si>
  <si>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</si>
  <si>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</si>
  <si>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</si>
  <si>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</si>
  <si>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</si>
  <si>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</si>
  <si>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</si>
  <si>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</si>
  <si>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</si>
  <si>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</si>
  <si>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</si>
  <si>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</si>
  <si>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</si>
  <si>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</si>
  <si>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</si>
  <si>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</si>
  <si>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</si>
  <si>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</si>
  <si>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</si>
  <si>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</si>
  <si>
    <t>Invoice No # :12442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</si>
</sst>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499</v>
      </c>
      <c r="F2" s="384"/>
      <c r="G2" s="384"/>
      <c r="H2" s="381" t="s">
        <v>510</v>
      </c>
      <c r="I2" s="381"/>
      <c r="J2" s="382"/>
      <c r="R2" s="378" t="s">
        <v>498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500</v>
      </c>
      <c r="F3" s="388"/>
      <c r="G3" s="388"/>
      <c r="H3" s="385">
        <f>+'1'!N4:N4</f>
        <v>46297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Nabeel Traders </v>
      </c>
      <c r="T3" s="301">
        <f>+'1'!P35</f>
        <v>870780.40352542361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Nabeel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100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290560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46489.599999999999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10169.6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233900.79999999999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54915.254237288136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1444.0802711864408</v>
      </c>
      <c r="P10" s="311">
        <f t="shared" si="2"/>
        <v>290260.13450847456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80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232448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37191.68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8135.6800000000012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187120.64000000001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43932.203389830509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1155.2642169491526</v>
      </c>
      <c r="P11" s="311">
        <f t="shared" si="2"/>
        <v>232208.10760677967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120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348672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55787.520000000004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12203.52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280680.95999999996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65898.305084745763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1732.8963254237285</v>
      </c>
      <c r="P12" s="311">
        <f t="shared" si="2"/>
        <v>348312.16141016944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0</v>
      </c>
      <c r="H16" s="113">
        <f t="shared" ref="H16:M16" si="3">SUM(H7:H15)</f>
        <v>0</v>
      </c>
      <c r="I16" s="114">
        <f t="shared" si="3"/>
        <v>871680</v>
      </c>
      <c r="J16" s="274">
        <f>SUM(J7:J15)</f>
        <v>139468.79999999999</v>
      </c>
      <c r="K16" s="275">
        <f t="shared" si="3"/>
        <v>30508.800000000003</v>
      </c>
      <c r="L16" s="276">
        <f t="shared" si="3"/>
        <v>0</v>
      </c>
      <c r="M16" s="232">
        <f t="shared" si="3"/>
        <v>701702.39999999991</v>
      </c>
      <c r="N16" s="233">
        <f>SUM(N7:N15)</f>
        <v>164745.76271186443</v>
      </c>
      <c r="O16" s="101">
        <f>SUM(O7:O15)</f>
        <v>4332.2408135593223</v>
      </c>
      <c r="P16" s="113">
        <f>SUM(P7:P15)</f>
        <v>870780.40352542372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871680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139468.79999999999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30508.800000000003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701702.39999999991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164745.76271186443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866448.16271186434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4332.2408135593223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870780.40352542361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870780.40352542361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46297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46296</v>
      </c>
      <c r="O5" s="392"/>
      <c r="P5" s="392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0.16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100</v>
      </c>
      <c r="H19" s="96"/>
      <c r="I19" s="236">
        <f t="shared" si="7"/>
        <v>290560</v>
      </c>
      <c r="J19" s="272">
        <f t="shared" si="1"/>
        <v>46489.599999999999</v>
      </c>
      <c r="K19" s="128">
        <f t="shared" si="1"/>
        <v>10169.6</v>
      </c>
      <c r="L19" s="119">
        <f t="shared" si="1"/>
        <v>0</v>
      </c>
      <c r="M19" s="230">
        <f t="shared" si="2"/>
        <v>233900.79999999999</v>
      </c>
      <c r="N19" s="277">
        <f t="shared" si="3"/>
        <v>54915.254237288136</v>
      </c>
      <c r="O19" s="239">
        <f t="shared" si="4"/>
        <v>1444.0802711864408</v>
      </c>
      <c r="P19" s="311">
        <f t="shared" si="5"/>
        <v>290260.13450847456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80</v>
      </c>
      <c r="H20" s="96"/>
      <c r="I20" s="236">
        <f t="shared" si="7"/>
        <v>232448</v>
      </c>
      <c r="J20" s="272">
        <f t="shared" si="1"/>
        <v>37191.68</v>
      </c>
      <c r="K20" s="128">
        <f t="shared" si="1"/>
        <v>8135.6800000000012</v>
      </c>
      <c r="L20" s="119">
        <f t="shared" si="1"/>
        <v>0</v>
      </c>
      <c r="M20" s="230">
        <f t="shared" si="2"/>
        <v>187120.64000000001</v>
      </c>
      <c r="N20" s="277">
        <f t="shared" si="3"/>
        <v>43932.203389830509</v>
      </c>
      <c r="O20" s="239">
        <f t="shared" si="4"/>
        <v>1155.2642169491526</v>
      </c>
      <c r="P20" s="311">
        <f t="shared" si="5"/>
        <v>232208.10760677967</v>
      </c>
      <c r="Q20" s="156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120</v>
      </c>
      <c r="H21" s="96"/>
      <c r="I21" s="236">
        <f t="shared" si="7"/>
        <v>348672</v>
      </c>
      <c r="J21" s="272">
        <f t="shared" si="1"/>
        <v>55787.520000000004</v>
      </c>
      <c r="K21" s="128">
        <f t="shared" si="1"/>
        <v>12203.52</v>
      </c>
      <c r="L21" s="119">
        <f t="shared" si="1"/>
        <v>0</v>
      </c>
      <c r="M21" s="230">
        <f t="shared" si="2"/>
        <v>280680.95999999996</v>
      </c>
      <c r="N21" s="277">
        <f t="shared" si="3"/>
        <v>65898.305084745763</v>
      </c>
      <c r="O21" s="239">
        <f t="shared" si="4"/>
        <v>1732.8963254237285</v>
      </c>
      <c r="P21" s="311">
        <f t="shared" si="5"/>
        <v>348312.16141016944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300</v>
      </c>
      <c r="H25" s="113">
        <f t="shared" ref="H25" si="9">SUM(H16:H24)</f>
        <v>0</v>
      </c>
      <c r="I25" s="114">
        <f t="shared" ref="I25:M25" si="10">SUM(I16:I24)</f>
        <v>871680</v>
      </c>
      <c r="J25" s="274">
        <f>SUM(J16:J24)</f>
        <v>139468.79999999999</v>
      </c>
      <c r="K25" s="275">
        <f t="shared" si="10"/>
        <v>30508.800000000003</v>
      </c>
      <c r="L25" s="276">
        <f t="shared" si="10"/>
        <v>0</v>
      </c>
      <c r="M25" s="232">
        <f t="shared" si="10"/>
        <v>701702.39999999991</v>
      </c>
      <c r="N25" s="233">
        <f>SUM(N16:N24)</f>
        <v>164745.76271186443</v>
      </c>
      <c r="O25" s="101">
        <f>SUM(O16:O24)</f>
        <v>4332.2408135593223</v>
      </c>
      <c r="P25" s="113">
        <f>SUM(P16:P24)</f>
        <v>870780.40352542372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871680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139468.79999999999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30508.800000000003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701702.39999999991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164745.76271186443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866448.16271186434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4332.2408135593214</v>
      </c>
    </row>
    <row r="35" spans="2:16" ht="15.75" customHeight="1" thickBot="1" x14ac:dyDescent="0.4">
      <c r="N35" s="372" t="s">
        <v>88</v>
      </c>
      <c r="O35" s="373"/>
      <c r="P35" s="297">
        <f>+P33+P34</f>
        <v>870780.40352542361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46245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508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516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46263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46262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518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0.16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501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502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503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8.75" customHeight="1" x14ac:dyDescent="0.4">
      <c r="A6" s="398" t="s">
        <v>504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f ca="1">TODAY()+1</f>
        <v>46298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 ca="1">N4-1</f>
        <v>46297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46298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46297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2026-10-02T10:22:03Z</dcterms:modified>
</cp:coreProperties>
</file>