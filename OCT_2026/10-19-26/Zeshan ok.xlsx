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7A95A90-DA07-4943-861F-3BF2B2DCBBA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6" i="52"/>
  <c r="M21" i="5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<sst xmlns="http://schemas.openxmlformats.org/spreadsheetml/2006/main" count="3948" uniqueCount="529">
  <si>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</si>
  <si>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</si>
  <si>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</si>
  <si>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</si>
  <si>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</si>
  <si>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</si>
  <si>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</si>
  <si>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</si>
  <si>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</si>
  <si>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</si>
  <si>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</si>
  <si>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</si>
  <si>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</si>
  <si>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</si>
  <si>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</si>
  <si>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</si>
  <si>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</si>
  <si>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</si>
  <si>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</si>
  <si>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</si>
  <si>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</si>
  <si>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</si>
  <si>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</si>
  <si>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</si>
  <si>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</si>
  <si>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</si>
  <si>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</si>
  <si>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</si>
  <si>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</si>
  <si>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</si>
  <si>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</si>
  <si>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</si>
  <si>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</si>
  <si>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</si>
  <si>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</si>
  <si>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</si>
  <si>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</si>
  <si>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</si>
  <si>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</si>
  <si>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</si>
  <si>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</si>
  <si>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</si>
  <si>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</si>
  <si>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</si>
  <si>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</si>
  <si>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</si>
  <si>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</si>
  <si>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</si>
  <si>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</si>
  <si>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</si>
  <si>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</si>
  <si>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</si>
  <si>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</si>
  <si>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</si>
  <si>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</si>
  <si>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</si>
  <si>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</si>
  <si>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</si>
  <si>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</si>
  <si>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</si>
  <si>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</si>
  <si>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</si>
  <si>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</si>
  <si>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</si>
  <si>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</si>
  <si>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</si>
  <si>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</si>
  <si>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</si>
  <si>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</si>
  <si>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</si>
  <si>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</si>
  <si>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</si>
  <si>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</si>
  <si>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</si>
  <si>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</si>
  <si>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</si>
  <si>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</si>
  <si>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</si>
  <si>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</si>
  <si>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</si>
  <si>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</si>
  <si>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</si>
  <si>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</si>
  <si>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</si>
  <si>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</si>
  <si>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</si>
  <si>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</si>
  <si>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</si>
  <si>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</si>
  <si>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</si>
  <si>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</si>
  <si>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</si>
  <si>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</si>
  <si>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</si>
  <si>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</si>
  <si>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</si>
  <si>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</si>
  <si>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</si>
  <si>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</si>
  <si>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</si>
  <si>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</si>
  <si>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</si>
  <si>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</si>
  <si>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</si>
  <si>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</si>
  <si>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</si>
  <si>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</si>
  <si>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</si>
  <si>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</si>
  <si>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</si>
  <si>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</si>
  <si>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</si>
  <si>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</si>
  <si>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</si>
  <si>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</si>
  <si>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</si>
  <si>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</si>
  <si>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</si>
  <si>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</si>
  <si>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</si>
  <si>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</si>
  <si>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</si>
  <si>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</si>
  <si>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</si>
  <si>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</si>
  <si>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</si>
  <si>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</si>
  <si>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</si>
  <si>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</si>
  <si>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</si>
  <si>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</si>
  <si>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</si>
  <si>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</si>
  <si>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</si>
  <si>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</si>
  <si>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</si>
  <si>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</si>
  <si>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</si>
  <si>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</si>
  <si>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</si>
  <si>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</si>
  <si>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</si>
  <si>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</si>
  <si>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</si>
  <si>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</si>
  <si>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</si>
  <si>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</si>
  <si>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</si>
  <si>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</si>
  <si>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</si>
  <si>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</si>
  <si>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</si>
  <si>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</si>
  <si>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</si>
  <si>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</si>
  <si>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</si>
  <si>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</si>
  <si>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</si>
  <si>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</si>
  <si>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</si>
  <si>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</si>
  <si>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</si>
  <si>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</si>
  <si>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</si>
  <si>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</si>
  <si>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</si>
  <si>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</si>
  <si>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</si>
  <si>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</si>
  <si>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</si>
  <si>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</si>
  <si>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</si>
  <si>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</si>
  <si>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</si>
  <si>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</si>
  <si>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</si>
  <si>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</si>
  <si>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</si>
  <si>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</si>
  <si>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</si>
  <si>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</si>
  <si>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</si>
  <si>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</si>
  <si>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</si>
  <si>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</si>
  <si>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</si>
  <si>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</si>
  <si>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</si>
  <si>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</si>
  <si>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</si>
  <si>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</si>
  <si>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</si>
  <si>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</si>
  <si>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</si>
  <si>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</si>
  <si>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</si>
  <si>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</si>
  <si>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</si>
  <si>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</si>
  <si>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</si>
  <si>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</si>
  <si>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</si>
  <si>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</si>
  <si>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</si>
  <si>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</si>
  <si>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</si>
  <si>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</si>
  <si>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</si>
  <si>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</si>
  <si>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</si>
  <si>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</si>
  <si>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</si>
  <si>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</si>
  <si>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</si>
  <si>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</si>
  <si>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</si>
  <si>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</si>
  <si>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</si>
  <si>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</si>
  <si>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</si>
  <si>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</si>
  <si>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</si>
  <si>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</si>
  <si>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</si>
  <si>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</si>
  <si>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</si>
  <si>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</si>
  <si>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</si>
  <si>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</si>
  <si>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</si>
  <si>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</si>
  <si>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</si>
  <si>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</si>
  <si>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</si>
  <si>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</si>
  <si>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</si>
  <si>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</si>
  <si>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</si>
  <si>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</si>
  <si>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</si>
  <si>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</si>
  <si>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</si>
  <si>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</si>
  <si>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</si>
  <si>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</si>
  <si>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</si>
  <si>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</si>
  <si>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</si>
  <si>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</si>
  <si>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</si>
  <si>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</si>
  <si>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</si>
  <si>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</si>
  <si>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</si>
  <si>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</si>
  <si>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</si>
  <si>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</si>
  <si>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</si>
  <si>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</si>
  <si>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</si>
  <si>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</si>
  <si>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</si>
  <si>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</si>
  <si>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</si>
  <si>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</si>
  <si>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</si>
  <si>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</si>
  <si>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</si>
  <si>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</si>
  <si>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</si>
  <si>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</si>
  <si>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</si>
  <si>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</si>
  <si>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</si>
  <si>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</si>
  <si>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</si>
  <si>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</si>
  <si>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</si>
  <si>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</si>
  <si>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</si>
  <si>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</si>
  <si>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</si>
  <si>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</si>
  <si>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</si>
  <si>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</si>
  <si>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</si>
  <si>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</si>
  <si>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</si>
  <si>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</si>
  <si>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</si>
  <si>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</si>
  <si>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</si>
  <si>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</si>
  <si>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</si>
  <si>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</si>
  <si>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</si>
  <si>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</si>
  <si>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</si>
  <si>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</si>
  <si>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</si>
  <si>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</si>
  <si>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</si>
  <si>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</si>
  <si>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</si>
  <si>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</si>
  <si>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</si>
  <si>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</si>
  <si>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</si>
  <si>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</si>
  <si>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</si>
  <si>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</si>
  <si>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</si>
  <si>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</si>
  <si>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</si>
  <si>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</si>
  <si>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</si>
  <si>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</si>
  <si>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</si>
  <si>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</si>
  <si>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</si>
  <si>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</si>
  <si>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</si>
  <si>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</si>
  <si>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</si>
  <si>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</si>
  <si>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</si>
  <si>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</si>
  <si>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</si>
  <si>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</si>
  <si>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</si>
  <si>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</si>
  <si>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</si>
  <si>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</si>
  <si>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</si>
  <si>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</si>
  <si>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</si>
  <si>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</si>
  <si>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</si>
  <si>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</si>
  <si>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</si>
  <si>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</si>
  <si>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</si>
  <si>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</si>
  <si>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</si>
  <si>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</si>
  <si>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</si>
  <si>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</si>
  <si>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</si>
  <si>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</si>
  <si>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</si>
  <si>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</si>
  <si>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</si>
  <si>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</si>
  <si>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</si>
  <si>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</si>
  <si>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</si>
  <si>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</si>
  <si>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</si>
  <si>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</si>
  <si>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</si>
  <si>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</si>
  <si>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</si>
  <si>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</si>
  <si>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</si>
  <si>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</si>
  <si>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</si>
  <si>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</si>
  <si>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</si>
  <si>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</si>
  <si>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</si>
  <si>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</si>
  <si>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</si>
  <si>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</si>
  <si>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</si>
  <si>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</si>
  <si>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</si>
  <si>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</si>
  <si>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</si>
  <si>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</si>
  <si>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</si>
  <si>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</si>
  <si>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</si>
  <si>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</si>
  <si>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</si>
  <si>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</si>
  <si>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</si>
  <si>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</si>
  <si>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</si>
  <si>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</si>
  <si>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</si>
  <si>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</si>
  <si>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</si>
  <si>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</si>
  <si>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</si>
  <si>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</si>
  <si>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</si>
  <si>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</si>
  <si>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</si>
  <si>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</si>
  <si>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</si>
  <si>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</si>
  <si>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</si>
  <si>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</si>
  <si>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</si>
  <si>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</si>
  <si>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</si>
  <si>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</si>
  <si>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</si>
  <si>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</si>
  <si>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</si>
  <si>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</si>
  <si>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</si>
  <si>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</si>
  <si>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</si>
  <si>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</si>
  <si>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</si>
  <si>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</si>
  <si>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</si>
  <si>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</si>
  <si>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</si>
  <si>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</si>
  <si>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</si>
  <si>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</si>
  <si>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</si>
  <si>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</si>
  <si>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</si>
  <si>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</si>
  <si>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</si>
  <si>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</si>
  <si>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</si>
  <si>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</si>
  <si>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</si>
  <si>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</si>
  <si>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</si>
  <si>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</si>
  <si>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</si>
  <si>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</si>
  <si>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</si>
  <si>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</si>
  <si>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</si>
  <si>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</si>
  <si>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</si>
  <si>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</si>
  <si>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</si>
  <si>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</si>
  <si>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</si>
  <si>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</si>
  <si>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</si>
  <si>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</si>
  <si>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</si>
  <si>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</si>
  <si>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</si>
  <si>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</si>
  <si>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</si>
  <si>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</si>
  <si>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</si>
  <si>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</si>
  <si>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</si>
  <si>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</si>
  <si>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</si>
  <si>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</si>
  <si>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</si>
  <si>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</si>
  <si>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</si>
  <si>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</si>
  <si>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</si>
  <si>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</si>
  <si>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</si>
  <si>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</si>
  <si>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</si>
  <si>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</si>
  <si>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</si>
  <si>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</si>
  <si>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</si>
  <si>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</si>
  <si>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</si>
  <si>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</si>
  <si>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</si>
  <si>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</si>
  <si>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</si>
  <si>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</si>
  <si>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</si>
  <si>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</si>
  <si>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</si>
  <si>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</si>
  <si>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</si>
  <si>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</si>
  <si>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</si>
  <si>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</si>
  <si>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</si>
  <si>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</si>
  <si>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</si>
  <si>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</si>
  <si>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</si>
  <si>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</si>
  <si>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</si>
  <si>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</si>
  <si>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</si>
  <si>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</si>
  <si>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</si>
  <si>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</si>
  <si>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</si>
  <si>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</si>
  <si>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</si>
  <si>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</si>
  <si>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</si>
  <si>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</si>
  <si>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</si>
  <si>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</si>
  <si>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</si>
  <si>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</si>
  <si>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</si>
  <si>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</si>
  <si>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</si>
  <si>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Zeshan </t>
  </si>
  <si>
    <t>Address: DHA</t>
  </si>
  <si>
    <t>Shahab Store</t>
  </si>
  <si>
    <t>Fakhir Store</t>
  </si>
  <si>
    <t>Address: Bedian Road</t>
  </si>
  <si>
    <t>Mian Store</t>
  </si>
  <si>
    <t>Malik Store</t>
  </si>
  <si>
    <t>Khalil Store</t>
  </si>
  <si>
    <t>Yaseen Store</t>
  </si>
  <si>
    <t>Sheri Store</t>
  </si>
  <si>
    <t>Bilal Store</t>
  </si>
  <si>
    <t>Sakuf Store</t>
  </si>
  <si>
    <t xml:space="preserve">Cart And Carry </t>
  </si>
  <si>
    <t>Hikma Store</t>
  </si>
  <si>
    <t>Address: Askari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</si>
</sst>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R11" sqref="R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5.1796875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Shahab Store</v>
      </c>
      <c r="T3" s="301">
        <f>+'1'!P35</f>
        <v>4572.9116176271182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Fakhir Store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Mian Store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Malik Store</v>
      </c>
      <c r="T6" s="301">
        <f>+'4'!P35</f>
        <v>392.02644813559323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310">
        <f>M7+N7+O7</f>
        <v>4530.103165677966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Khalil Store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Yaseen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5571.5174999999999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33.80674004237288</v>
      </c>
      <c r="P9" s="311">
        <f t="shared" si="2"/>
        <v>6795.1547485169476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Sheri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210</v>
      </c>
      <c r="I10" s="236">
        <f t="shared" si="0"/>
        <v>15254.4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1481.856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533.904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13238.64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2883.0508474576272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80.608454237288129</v>
      </c>
      <c r="P10" s="311">
        <f t="shared" si="2"/>
        <v>16202.299301694915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>Bilal Store</v>
      </c>
      <c r="T10" s="301">
        <f>+'8'!P35</f>
        <v>25913.165833220337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210</v>
      </c>
      <c r="I11" s="236">
        <f t="shared" si="0"/>
        <v>15254.4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1481.856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533.904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13238.64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2883.0508474576272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80.608454237288129</v>
      </c>
      <c r="P11" s="311">
        <f t="shared" si="2"/>
        <v>16202.299301694915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Sakuf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260</v>
      </c>
      <c r="I12" s="236">
        <f t="shared" si="0"/>
        <v>18886.400000000001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1859.5840000000003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661.024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16365.792000000001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3569.4915254237289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99.676417627118639</v>
      </c>
      <c r="P12" s="311">
        <f t="shared" si="2"/>
        <v>20034.959943050846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3">
        <v>10</v>
      </c>
      <c r="S12" s="300" t="str">
        <f>+'10'!A6:A6</f>
        <v xml:space="preserve">Cart And Carry </v>
      </c>
      <c r="T12" s="301">
        <f>+'10'!P35</f>
        <v>18468.841086610166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Hikma Store</v>
      </c>
      <c r="T13" s="301">
        <f>+'11'!P35</f>
        <v>16203.789503771184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24</v>
      </c>
      <c r="H16" s="113">
        <f t="shared" ref="H16:M16" si="3">SUM(H7:H15)</f>
        <v>960</v>
      </c>
      <c r="I16" s="114">
        <f t="shared" si="3"/>
        <v>64084.700000000004</v>
      </c>
      <c r="J16" s="274">
        <f>SUM(J7:J15)</f>
        <v>5998.4560000000001</v>
      </c>
      <c r="K16" s="275">
        <f t="shared" si="3"/>
        <v>2242.9645</v>
      </c>
      <c r="L16" s="276">
        <f t="shared" si="3"/>
        <v>0</v>
      </c>
      <c r="M16" s="232">
        <f t="shared" si="3"/>
        <v>55843.279500000004</v>
      </c>
      <c r="N16" s="233">
        <f>SUM(N7:N15)</f>
        <v>12111.864406779661</v>
      </c>
      <c r="O16" s="101">
        <f>SUM(O7:O15)</f>
        <v>339.77571953389827</v>
      </c>
      <c r="P16" s="113">
        <f>SUM(P7:P15)</f>
        <v>68294.919626313553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64084.700000000004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5998.4560000000001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2242.9645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55843.279500000004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12111.864406779661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67955.14390677966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339.77571953389827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68294.919626313553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68294.919626313553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60</v>
      </c>
      <c r="I21" s="236">
        <f t="shared" si="7"/>
        <v>4358.3999999999996</v>
      </c>
      <c r="J21" s="272">
        <f t="shared" si="1"/>
        <v>479.42399999999998</v>
      </c>
      <c r="K21" s="128">
        <f t="shared" si="1"/>
        <v>152.54400000000001</v>
      </c>
      <c r="L21" s="119">
        <f t="shared" si="1"/>
        <v>0</v>
      </c>
      <c r="M21" s="230">
        <f t="shared" si="2"/>
        <v>3726.4319999999998</v>
      </c>
      <c r="N21" s="277">
        <f t="shared" si="3"/>
        <v>823.72881355932213</v>
      </c>
      <c r="O21" s="239">
        <f t="shared" si="4"/>
        <v>22.750804067796608</v>
      </c>
      <c r="P21" s="119">
        <f t="shared" si="5"/>
        <v>4572.9116176271182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4358.3999999999996</v>
      </c>
      <c r="J25" s="274">
        <f>SUM(J16:J24)</f>
        <v>479.42399999999998</v>
      </c>
      <c r="K25" s="275">
        <f t="shared" si="10"/>
        <v>152.54400000000001</v>
      </c>
      <c r="L25" s="276">
        <f t="shared" si="10"/>
        <v>0</v>
      </c>
      <c r="M25" s="232">
        <f t="shared" si="10"/>
        <v>3726.4319999999998</v>
      </c>
      <c r="N25" s="233">
        <f>SUM(N16:N24)</f>
        <v>823.72881355932213</v>
      </c>
      <c r="O25" s="101">
        <f>SUM(O16:O24)</f>
        <v>22.750804067796608</v>
      </c>
      <c r="P25" s="234">
        <f>SUM(P16:P24)</f>
        <v>4572.9116176271182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4358.3999999999996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479.42399999999998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152.54400000000001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3726.4319999999998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823.72881355932213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4550.1608135593215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22.750804067796608</v>
      </c>
    </row>
    <row r="35" spans="2:16" ht="15.75" customHeight="1" thickBot="1" x14ac:dyDescent="0.4">
      <c r="N35" s="374" t="s">
        <v>88</v>
      </c>
      <c r="O35" s="375"/>
      <c r="P35" s="297">
        <f>+P33+P34</f>
        <v>4572.9116176271182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D11" sqref="D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9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958.84799999999996</v>
      </c>
      <c r="K19" s="128">
        <f t="shared" si="1"/>
        <v>305.08800000000002</v>
      </c>
      <c r="L19" s="119">
        <f t="shared" si="1"/>
        <v>0</v>
      </c>
      <c r="M19" s="230">
        <f t="shared" si="2"/>
        <v>7452.8639999999996</v>
      </c>
      <c r="N19" s="277">
        <f t="shared" si="3"/>
        <v>1647.4576271186443</v>
      </c>
      <c r="O19" s="239">
        <f t="shared" si="4"/>
        <v>45.501608135593216</v>
      </c>
      <c r="P19" s="119">
        <f t="shared" si="5"/>
        <v>9145.8232352542364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958.84799999999996</v>
      </c>
      <c r="K20" s="128">
        <f t="shared" si="1"/>
        <v>305.08800000000002</v>
      </c>
      <c r="L20" s="119">
        <f t="shared" si="1"/>
        <v>0</v>
      </c>
      <c r="M20" s="230">
        <f t="shared" si="2"/>
        <v>7452.8639999999996</v>
      </c>
      <c r="N20" s="277">
        <f t="shared" si="3"/>
        <v>1647.4576271186443</v>
      </c>
      <c r="O20" s="239">
        <f t="shared" si="4"/>
        <v>45.501608135593216</v>
      </c>
      <c r="P20" s="119">
        <f t="shared" si="5"/>
        <v>9145.8232352542364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100</v>
      </c>
      <c r="I21" s="236">
        <f t="shared" si="0"/>
        <v>7264</v>
      </c>
      <c r="J21" s="272">
        <f t="shared" si="1"/>
        <v>799.04</v>
      </c>
      <c r="K21" s="128">
        <f t="shared" si="1"/>
        <v>254.24000000000004</v>
      </c>
      <c r="L21" s="119">
        <f t="shared" si="1"/>
        <v>0</v>
      </c>
      <c r="M21" s="230">
        <f t="shared" si="2"/>
        <v>6210.72</v>
      </c>
      <c r="N21" s="277">
        <f t="shared" si="3"/>
        <v>1372.8813559322034</v>
      </c>
      <c r="O21" s="239">
        <f t="shared" si="4"/>
        <v>37.91800677966102</v>
      </c>
      <c r="P21" s="119">
        <f t="shared" si="5"/>
        <v>7621.5193627118642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340</v>
      </c>
      <c r="I25" s="114">
        <f t="shared" si="7"/>
        <v>24697.599999999999</v>
      </c>
      <c r="J25" s="274">
        <f>SUM(J16:J24)</f>
        <v>2716.7359999999999</v>
      </c>
      <c r="K25" s="275">
        <f t="shared" si="7"/>
        <v>864.41600000000005</v>
      </c>
      <c r="L25" s="276">
        <f t="shared" si="7"/>
        <v>0</v>
      </c>
      <c r="M25" s="232">
        <f t="shared" si="7"/>
        <v>21116.448</v>
      </c>
      <c r="N25" s="233">
        <f>SUM(N16:N24)</f>
        <v>4667.7966101694919</v>
      </c>
      <c r="O25" s="101">
        <f>SUM(O16:O24)</f>
        <v>128.92122305084746</v>
      </c>
      <c r="P25" s="234">
        <f>SUM(P16:P24)</f>
        <v>25913.165833220337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24697.599999999999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2716.7359999999999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864.41600000000005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21116.447999999997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4667.7966101694919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25784.244610169488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128.92122305084743</v>
      </c>
    </row>
    <row r="35" spans="2:16" ht="15.75" customHeight="1" thickBot="1" x14ac:dyDescent="0.4">
      <c r="N35" s="374" t="s">
        <v>88</v>
      </c>
      <c r="O35" s="375"/>
      <c r="P35" s="297">
        <f>+P33+P34</f>
        <v>25913.165833220337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0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280</v>
      </c>
      <c r="I25" s="114">
        <f t="shared" si="7"/>
        <v>17110.8</v>
      </c>
      <c r="J25" s="274">
        <f>SUM(J16:J24)</f>
        <v>1368.864</v>
      </c>
      <c r="K25" s="275">
        <f t="shared" si="7"/>
        <v>598.87800000000004</v>
      </c>
      <c r="L25" s="276">
        <f t="shared" si="7"/>
        <v>0</v>
      </c>
      <c r="M25" s="232">
        <f t="shared" si="7"/>
        <v>15143.058000000001</v>
      </c>
      <c r="N25" s="233">
        <f>SUM(N16:N24)</f>
        <v>3233.8983050847451</v>
      </c>
      <c r="O25" s="101">
        <f>SUM(O16:O24)</f>
        <v>91.884781525423719</v>
      </c>
      <c r="P25" s="234">
        <f>SUM(P16:P24)</f>
        <v>18468.841086610169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17110.8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1368.864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598.87800000000004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15143.057999999999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3233.8983050847451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18376.956305084743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91.884781525423719</v>
      </c>
    </row>
    <row r="35" spans="2:16" ht="15.75" customHeight="1" thickBot="1" x14ac:dyDescent="0.4">
      <c r="N35" s="374" t="s">
        <v>88</v>
      </c>
      <c r="O35" s="375"/>
      <c r="P35" s="297">
        <f>+P33+P34</f>
        <v>18468.841086610166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1200.9839999999999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13285.8855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16123.173635593219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74" t="s">
        <v>88</v>
      </c>
      <c r="O35" s="375"/>
      <c r="P35" s="297">
        <f>+P33+P34</f>
        <v>16203.789503771184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2026-10-19T11:00:16Z</dcterms:modified>
</cp:coreProperties>
</file>