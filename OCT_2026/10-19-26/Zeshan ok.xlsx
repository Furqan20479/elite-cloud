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34F78EF1-0EEB-4298-80F4-C5C2A230BBB9}" xr6:coauthVersionLast="47" xr6:coauthVersionMax="47" xr10:uidLastSave="{00000000-0000-0000-0000-000000000000}"/>
  <bookViews>
    <workbookView xWindow="-110" yWindow="-110" windowWidth="19420" windowHeight="10420" tabRatio="948" firstSheet="3" activeTab="1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5" l="1"/>
  <c r="N5" i="65" s="1"/>
  <c r="N4" i="60"/>
  <c r="N4" i="52"/>
  <c r="N4" i="44"/>
  <c r="N5" i="44" s="1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L20" i="48"/>
  <c r="J20" i="48"/>
  <c r="K20" i="53"/>
  <c r="L20" i="53"/>
  <c r="M20" i="53" s="1"/>
  <c r="O20" i="53" s="1"/>
  <c r="P20" i="53" s="1"/>
  <c r="J20" i="53"/>
  <c r="K20" i="43"/>
  <c r="L20" i="43"/>
  <c r="M20" i="43"/>
  <c r="O20" i="43" s="1"/>
  <c r="P20" i="43" s="1"/>
  <c r="J20" i="43"/>
  <c r="K20" i="57"/>
  <c r="J20" i="57"/>
  <c r="L20" i="57"/>
  <c r="M20" i="57" s="1"/>
  <c r="O20" i="57" s="1"/>
  <c r="P20" i="57" s="1"/>
  <c r="K20" i="61"/>
  <c r="J20" i="61"/>
  <c r="L20" i="61"/>
  <c r="M20" i="61"/>
  <c r="O20" i="61" s="1"/>
  <c r="P20" i="61" s="1"/>
  <c r="K20" i="71"/>
  <c r="J20" i="71"/>
  <c r="M20" i="71" s="1"/>
  <c r="O20" i="71" s="1"/>
  <c r="P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J7" i="62" l="1"/>
  <c r="M16" i="52"/>
  <c r="M21" i="51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M20" i="65"/>
  <c r="O20" i="65" s="1"/>
  <c r="P20" i="65" s="1"/>
  <c r="M20" i="64"/>
  <c r="O20" i="64" s="1"/>
  <c r="P20" i="64" s="1"/>
  <c r="M20" i="52"/>
  <c r="M20" i="66"/>
  <c r="O20" i="66" s="1"/>
  <c r="P20" i="66" s="1"/>
  <c r="M20" i="59"/>
  <c r="O20" i="59" s="1"/>
  <c r="P20" i="59" s="1"/>
  <c r="M20" i="54"/>
  <c r="O20" i="54" s="1"/>
  <c r="P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J25" i="47"/>
  <c r="P29" i="47" s="1"/>
  <c r="M20" i="55"/>
  <c r="O20" i="55" s="1"/>
  <c r="P20" i="55" s="1"/>
  <c r="M20" i="56"/>
  <c r="O20" i="56" s="1"/>
  <c r="P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<sst xmlns="http://schemas.openxmlformats.org/spreadsheetml/2006/main" count="3948" uniqueCount="529">
  <si>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</si>
  <si>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</si>
  <si>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</si>
  <si>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</si>
  <si>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</si>
  <si>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</si>
  <si>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</si>
  <si>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</si>
  <si>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</si>
  <si>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</si>
  <si>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</si>
  <si>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</si>
  <si>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</si>
  <si>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</si>
  <si>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</si>
  <si>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</si>
  <si>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</si>
  <si>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</si>
  <si>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</si>
  <si>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</si>
  <si>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</si>
  <si>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</si>
  <si>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</si>
  <si>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</si>
  <si>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</si>
  <si>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</si>
  <si>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</si>
  <si>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</si>
  <si>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</si>
  <si>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</si>
  <si>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</si>
  <si>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</si>
  <si>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</si>
  <si>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</si>
  <si>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</si>
  <si>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</si>
  <si>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</si>
  <si>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</si>
  <si>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</si>
  <si>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</si>
  <si>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</si>
  <si>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</si>
  <si>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</si>
  <si>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</si>
  <si>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</si>
  <si>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</si>
  <si>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</si>
  <si>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</si>
  <si>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</si>
  <si>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</si>
  <si>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</si>
  <si>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</si>
  <si>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</si>
  <si>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</si>
  <si>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</si>
  <si>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</si>
  <si>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</si>
  <si>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</si>
  <si>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</si>
  <si>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</si>
  <si>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</si>
  <si>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</si>
  <si>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</si>
  <si>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</si>
  <si>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</si>
  <si>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</si>
  <si>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</si>
  <si>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</si>
  <si>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</si>
  <si>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</si>
  <si>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</si>
  <si>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</si>
  <si>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</si>
  <si>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</si>
  <si>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</si>
  <si>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</si>
  <si>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</si>
  <si>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</si>
  <si>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</si>
  <si>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</si>
  <si>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</si>
  <si>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</si>
  <si>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</si>
  <si>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</si>
  <si>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</si>
  <si>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</si>
  <si>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</si>
  <si>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</si>
  <si>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</si>
  <si>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</si>
  <si>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</si>
  <si>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</si>
  <si>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</si>
  <si>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</si>
  <si>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</si>
  <si>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</si>
  <si>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</si>
  <si>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</si>
  <si>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</si>
  <si>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</si>
  <si>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</si>
  <si>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</si>
  <si>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</si>
  <si>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</si>
  <si>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</si>
  <si>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</si>
  <si>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</si>
  <si>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</si>
  <si>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</si>
  <si>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</si>
  <si>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</si>
  <si>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</si>
  <si>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</si>
  <si>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</si>
  <si>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</si>
  <si>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</si>
  <si>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</si>
  <si>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</si>
  <si>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</si>
  <si>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</si>
  <si>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</si>
  <si>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</si>
  <si>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</si>
  <si>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</si>
  <si>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</si>
  <si>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</si>
  <si>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</si>
  <si>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</si>
  <si>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</si>
  <si>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</si>
  <si>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</si>
  <si>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</si>
  <si>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</si>
  <si>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</si>
  <si>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</si>
  <si>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</si>
  <si>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</si>
  <si>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</si>
  <si>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</si>
  <si>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</si>
  <si>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</si>
  <si>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</si>
  <si>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</si>
  <si>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</si>
  <si>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</si>
  <si>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</si>
  <si>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</si>
  <si>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</si>
  <si>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</si>
  <si>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</si>
  <si>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</si>
  <si>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</si>
  <si>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</si>
  <si>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</si>
  <si>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</si>
  <si>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</si>
  <si>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</si>
  <si>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</si>
  <si>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</si>
  <si>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</si>
  <si>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</si>
  <si>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</si>
  <si>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</si>
  <si>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</si>
  <si>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</si>
  <si>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</si>
  <si>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</si>
  <si>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</si>
  <si>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</si>
  <si>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</si>
  <si>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</si>
  <si>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</si>
  <si>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</si>
  <si>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</si>
  <si>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</si>
  <si>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</si>
  <si>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</si>
  <si>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</si>
  <si>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</si>
  <si>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</si>
  <si>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</si>
  <si>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</si>
  <si>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</si>
  <si>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</si>
  <si>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</si>
  <si>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</si>
  <si>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</si>
  <si>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</si>
  <si>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</si>
  <si>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</si>
  <si>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</si>
  <si>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</si>
  <si>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</si>
  <si>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</si>
  <si>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</si>
  <si>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</si>
  <si>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</si>
  <si>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</si>
  <si>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</si>
  <si>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</si>
  <si>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</si>
  <si>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</si>
  <si>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</si>
  <si>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</si>
  <si>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</si>
  <si>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</si>
  <si>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</si>
  <si>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</si>
  <si>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</si>
  <si>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</si>
  <si>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</si>
  <si>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</si>
  <si>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</si>
  <si>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</si>
  <si>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</si>
  <si>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</si>
  <si>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</si>
  <si>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</si>
  <si>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</si>
  <si>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</si>
  <si>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</si>
  <si>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</si>
  <si>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</si>
  <si>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</si>
  <si>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</si>
  <si>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</si>
  <si>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</si>
  <si>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</si>
  <si>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</si>
  <si>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</si>
  <si>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</si>
  <si>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</si>
  <si>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</si>
  <si>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</si>
  <si>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</si>
  <si>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</si>
  <si>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</si>
  <si>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</si>
  <si>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</si>
  <si>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</si>
  <si>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</si>
  <si>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</si>
  <si>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</si>
  <si>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</si>
  <si>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</si>
  <si>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</si>
  <si>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</si>
  <si>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</si>
  <si>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</si>
  <si>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</si>
  <si>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</si>
  <si>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</si>
  <si>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</si>
  <si>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</si>
  <si>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</si>
  <si>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</si>
  <si>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</si>
  <si>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</si>
  <si>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</si>
  <si>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</si>
  <si>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</si>
  <si>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</si>
  <si>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</si>
  <si>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</si>
  <si>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</si>
  <si>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</si>
  <si>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</si>
  <si>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</si>
  <si>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</si>
  <si>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</si>
  <si>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</si>
  <si>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</si>
  <si>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</si>
  <si>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</si>
  <si>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</si>
  <si>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</si>
  <si>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</si>
  <si>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</si>
  <si>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</si>
  <si>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</si>
  <si>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</si>
  <si>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</si>
  <si>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</si>
  <si>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</si>
  <si>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</si>
  <si>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</si>
  <si>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</si>
  <si>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</si>
  <si>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</si>
  <si>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</si>
  <si>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</si>
  <si>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</si>
  <si>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</si>
  <si>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</si>
  <si>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</si>
  <si>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</si>
  <si>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</si>
  <si>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</si>
  <si>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</si>
  <si>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</si>
  <si>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</si>
  <si>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</si>
  <si>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</si>
  <si>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</si>
  <si>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</si>
  <si>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</si>
  <si>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</si>
  <si>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</si>
  <si>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</si>
  <si>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</si>
  <si>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</si>
  <si>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</si>
  <si>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</si>
  <si>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</si>
  <si>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</si>
  <si>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</si>
  <si>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</si>
  <si>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</si>
  <si>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</si>
  <si>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</si>
  <si>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</si>
  <si>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</si>
  <si>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</si>
  <si>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</si>
  <si>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</si>
  <si>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</si>
  <si>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</si>
  <si>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</si>
  <si>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</si>
  <si>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</si>
  <si>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</si>
  <si>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</si>
  <si>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</si>
  <si>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</si>
  <si>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</si>
  <si>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</si>
  <si>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</si>
  <si>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</si>
  <si>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</si>
  <si>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</si>
  <si>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</si>
  <si>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</si>
  <si>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</si>
  <si>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</si>
  <si>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</si>
  <si>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</si>
  <si>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</si>
  <si>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</si>
  <si>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</si>
  <si>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</si>
  <si>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</si>
  <si>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</si>
  <si>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</si>
  <si>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</si>
  <si>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</si>
  <si>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</si>
  <si>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</si>
  <si>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</si>
  <si>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</si>
  <si>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</si>
  <si>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</si>
  <si>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</si>
  <si>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</si>
  <si>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</si>
  <si>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</si>
  <si>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</si>
  <si>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</si>
  <si>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</si>
  <si>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</si>
  <si>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</si>
  <si>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</si>
  <si>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</si>
  <si>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</si>
  <si>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</si>
  <si>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</si>
  <si>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</si>
  <si>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</si>
  <si>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</si>
  <si>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</si>
  <si>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</si>
  <si>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</si>
  <si>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</si>
  <si>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</si>
  <si>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</si>
  <si>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</si>
  <si>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</si>
  <si>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</si>
  <si>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</si>
  <si>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</si>
  <si>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</si>
  <si>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</si>
  <si>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</si>
  <si>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</si>
  <si>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</si>
  <si>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</si>
  <si>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</si>
  <si>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</si>
  <si>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</si>
  <si>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</si>
  <si>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</si>
  <si>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</si>
  <si>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</si>
  <si>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</si>
  <si>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</si>
  <si>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</si>
  <si>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</si>
  <si>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</si>
  <si>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</si>
  <si>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</si>
  <si>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</si>
  <si>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</si>
  <si>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</si>
  <si>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</si>
  <si>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</si>
  <si>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</si>
  <si>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</si>
  <si>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</si>
  <si>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</si>
  <si>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</si>
  <si>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</si>
  <si>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</si>
  <si>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</si>
  <si>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</si>
  <si>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</si>
  <si>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</si>
  <si>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</si>
  <si>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</si>
  <si>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</si>
  <si>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</si>
  <si>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</si>
  <si>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</si>
  <si>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</si>
  <si>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</si>
  <si>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</si>
  <si>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</si>
  <si>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</si>
  <si>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</si>
  <si>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</si>
  <si>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</si>
  <si>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</si>
  <si>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</si>
  <si>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</si>
  <si>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</si>
  <si>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</si>
  <si>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</si>
  <si>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</si>
  <si>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</si>
  <si>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</si>
  <si>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</si>
  <si>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</si>
  <si>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</si>
  <si>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</si>
  <si>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</si>
  <si>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</si>
  <si>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</si>
  <si>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</si>
  <si>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</si>
  <si>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</si>
  <si>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</si>
  <si>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</si>
  <si>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</si>
  <si>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</si>
  <si>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</si>
  <si>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</si>
  <si>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</si>
  <si>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</si>
  <si>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</si>
  <si>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</si>
  <si>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</si>
  <si>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</si>
  <si>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</si>
  <si>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</si>
  <si>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</si>
  <si>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</si>
  <si>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</si>
  <si>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</si>
  <si>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</si>
  <si>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</si>
  <si>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</si>
  <si>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</si>
  <si>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</si>
  <si>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</si>
  <si>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</si>
  <si>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</si>
  <si>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</si>
  <si>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</si>
  <si>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</si>
  <si>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</si>
  <si>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</si>
  <si>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</si>
  <si>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</si>
  <si>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</si>
  <si>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</si>
  <si>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</si>
  <si>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</si>
  <si>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</si>
  <si>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</si>
  <si>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</si>
  <si>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</si>
  <si>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</si>
  <si>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</si>
  <si>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</si>
  <si>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</si>
  <si>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</si>
  <si>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</si>
  <si>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</si>
  <si>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</si>
  <si>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</si>
  <si>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</si>
  <si>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</si>
  <si>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</si>
  <si>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</si>
  <si>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</si>
  <si>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 xml:space="preserve">Address: Adress </t>
  </si>
  <si>
    <t xml:space="preserve">Zeshan </t>
  </si>
  <si>
    <t>Address: DHA</t>
  </si>
  <si>
    <t>Shahab Store</t>
  </si>
  <si>
    <t>Fakhir Store</t>
  </si>
  <si>
    <t>Address: Bedian Road</t>
  </si>
  <si>
    <t>Mian Store</t>
  </si>
  <si>
    <t>Malik Store</t>
  </si>
  <si>
    <t>Khalil Store</t>
  </si>
  <si>
    <t>Yaseen Store</t>
  </si>
  <si>
    <t>Sheri Store</t>
  </si>
  <si>
    <t>Bilal Store</t>
  </si>
  <si>
    <t>Sakuf Store</t>
  </si>
  <si>
    <t xml:space="preserve">Cart And Carry </t>
  </si>
  <si>
    <t>Hikma Store</t>
  </si>
  <si>
    <t>Address: Askari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</si>
</sst>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4" workbookViewId="0">
      <selection activeCell="S12" sqref="S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5.1796875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514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46314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Shahab Store</v>
      </c>
      <c r="T3" s="301">
        <f>+'1'!P35</f>
        <v>4572.9116176271182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Fakhir Store</v>
      </c>
      <c r="T4" s="301">
        <f>+'2'!P35</f>
        <v>392.02644813559323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Mian Store</v>
      </c>
      <c r="T5" s="301">
        <f>+'3'!P35</f>
        <v>392.02644813559323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Malik Store</v>
      </c>
      <c r="T6" s="301">
        <f>+'4'!P35</f>
        <v>392.02644813559323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335.76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3714.3450000000003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22.537826694915253</v>
      </c>
      <c r="P7" s="310">
        <f>M7+N7+O7</f>
        <v>4530.103165677966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Khalil Store</v>
      </c>
      <c r="T7" s="301">
        <f>+'5'!P35</f>
        <v>392.02644813559323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80</v>
      </c>
      <c r="I8" s="236">
        <f t="shared" ref="I8:I14" si="0">(G8*D8)*F8+H8*F8</f>
        <v>4197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335.76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146.89500000000001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3714.3450000000003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793.22033898305051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22.537826694915253</v>
      </c>
      <c r="P8" s="311">
        <f t="shared" ref="P8:P15" si="2">M8+N8+O8</f>
        <v>4530.103165677966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Yaseen Store</v>
      </c>
      <c r="T8" s="301">
        <f>+'6'!P35</f>
        <v>784.05289627118646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120</v>
      </c>
      <c r="I9" s="236">
        <f t="shared" si="0"/>
        <v>6295.5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503.64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220.34250000000003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5571.5174999999999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1189.8305084745757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33.80674004237288</v>
      </c>
      <c r="P9" s="311">
        <f t="shared" si="2"/>
        <v>6795.1547485169476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>Sheri Store</v>
      </c>
      <c r="T9" s="301">
        <f>+'7'!P35</f>
        <v>784.05289627118646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210</v>
      </c>
      <c r="I10" s="236">
        <f t="shared" si="0"/>
        <v>15254.4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1481.856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533.904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13238.64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2883.0508474576272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80.608454237288129</v>
      </c>
      <c r="P10" s="311">
        <f t="shared" si="2"/>
        <v>16202.299301694915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10</v>
      </c>
      <c r="R10" s="313">
        <v>8</v>
      </c>
      <c r="S10" s="300" t="str">
        <f>+'8'!A6:A6</f>
        <v>Bilal Store</v>
      </c>
      <c r="T10" s="301">
        <f>+'8'!P35</f>
        <v>25913.165833220337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210</v>
      </c>
      <c r="I11" s="236">
        <f t="shared" si="0"/>
        <v>15254.4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1481.856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533.904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13238.64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2883.0508474576272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80.608454237288129</v>
      </c>
      <c r="P11" s="311">
        <f t="shared" si="2"/>
        <v>16202.299301694915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10</v>
      </c>
      <c r="R11" s="313">
        <v>9</v>
      </c>
      <c r="S11" s="300" t="str">
        <f>+'9'!A6:A6</f>
        <v>Sakuf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260</v>
      </c>
      <c r="I12" s="236">
        <f t="shared" si="0"/>
        <v>18886.400000000001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1859.5840000000003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661.024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16365.792000000001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3569.4915254237289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99.676417627118639</v>
      </c>
      <c r="P12" s="311">
        <f t="shared" si="2"/>
        <v>20034.959943050846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20</v>
      </c>
      <c r="R12" s="313">
        <v>10</v>
      </c>
      <c r="S12" s="300" t="str">
        <f>+'10'!A6:A6</f>
        <v xml:space="preserve">Cart And Carry </v>
      </c>
      <c r="T12" s="301">
        <f>+'10'!P35</f>
        <v>18468.841086610166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Hikma Store</v>
      </c>
      <c r="T13" s="301">
        <f>+'11'!P35</f>
        <v>16203.789503771184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24</v>
      </c>
      <c r="H16" s="113">
        <f t="shared" ref="H16:M16" si="3">SUM(H7:H15)</f>
        <v>960</v>
      </c>
      <c r="I16" s="114">
        <f t="shared" si="3"/>
        <v>64084.700000000004</v>
      </c>
      <c r="J16" s="274">
        <f>SUM(J7:J15)</f>
        <v>5998.4560000000001</v>
      </c>
      <c r="K16" s="275">
        <f t="shared" si="3"/>
        <v>2242.9645</v>
      </c>
      <c r="L16" s="276">
        <f t="shared" si="3"/>
        <v>0</v>
      </c>
      <c r="M16" s="232">
        <f t="shared" si="3"/>
        <v>55843.279500000004</v>
      </c>
      <c r="N16" s="233">
        <f>SUM(N7:N15)</f>
        <v>12111.864406779661</v>
      </c>
      <c r="O16" s="101">
        <f>SUM(O7:O15)</f>
        <v>339.77571953389827</v>
      </c>
      <c r="P16" s="113">
        <f>SUM(P7:P15)</f>
        <v>68294.919626313553</v>
      </c>
      <c r="Q16" s="128">
        <f>SUM(Q7:Q15)</f>
        <v>40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64084.700000000004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5998.4560000000001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2242.9645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55843.279500000004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12111.864406779661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67955.14390677966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339.77571953389827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68294.919626313553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68294.919626313553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7.2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60</v>
      </c>
      <c r="I21" s="236">
        <f t="shared" si="7"/>
        <v>4358.3999999999996</v>
      </c>
      <c r="J21" s="272">
        <f t="shared" si="1"/>
        <v>479.42399999999998</v>
      </c>
      <c r="K21" s="128">
        <f t="shared" si="1"/>
        <v>152.54400000000001</v>
      </c>
      <c r="L21" s="119">
        <f t="shared" si="1"/>
        <v>0</v>
      </c>
      <c r="M21" s="230">
        <f t="shared" si="2"/>
        <v>3726.4319999999998</v>
      </c>
      <c r="N21" s="277">
        <f t="shared" si="3"/>
        <v>823.72881355932213</v>
      </c>
      <c r="O21" s="239">
        <f t="shared" si="4"/>
        <v>22.750804067796608</v>
      </c>
      <c r="P21" s="119">
        <f t="shared" si="5"/>
        <v>4572.9116176271182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60</v>
      </c>
      <c r="I25" s="114">
        <f t="shared" ref="I25:M25" si="10">SUM(I16:I24)</f>
        <v>4358.3999999999996</v>
      </c>
      <c r="J25" s="274">
        <f>SUM(J16:J24)</f>
        <v>479.42399999999998</v>
      </c>
      <c r="K25" s="275">
        <f t="shared" si="10"/>
        <v>152.54400000000001</v>
      </c>
      <c r="L25" s="276">
        <f t="shared" si="10"/>
        <v>0</v>
      </c>
      <c r="M25" s="232">
        <f t="shared" si="10"/>
        <v>3726.4319999999998</v>
      </c>
      <c r="N25" s="233">
        <f>SUM(N16:N24)</f>
        <v>823.72881355932213</v>
      </c>
      <c r="O25" s="101">
        <f>SUM(O16:O24)</f>
        <v>22.750804067796608</v>
      </c>
      <c r="P25" s="234">
        <f>SUM(P16:P24)</f>
        <v>4572.9116176271182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4358.3999999999996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479.42399999999998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152.54400000000001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3726.4319999999998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4550.1608135593215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22.750804067796608</v>
      </c>
    </row>
    <row r="35" spans="2:16" ht="15.75" customHeight="1" thickBot="1" x14ac:dyDescent="0.4">
      <c r="N35" s="345" t="s">
        <v>88</v>
      </c>
      <c r="O35" s="346"/>
      <c r="P35" s="297">
        <f>+P33+P34</f>
        <v>4572.9116176271182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3" workbookViewId="0">
      <selection activeCell="D11" sqref="D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8.7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5</v>
      </c>
      <c r="I21" s="236">
        <f t="shared" si="0"/>
        <v>363.2</v>
      </c>
      <c r="J21" s="272">
        <f t="shared" si="1"/>
        <v>29.056000000000001</v>
      </c>
      <c r="K21" s="128">
        <f t="shared" si="1"/>
        <v>12.712000000000002</v>
      </c>
      <c r="L21" s="119">
        <f t="shared" si="1"/>
        <v>0</v>
      </c>
      <c r="M21" s="230">
        <f t="shared" si="2"/>
        <v>321.43200000000002</v>
      </c>
      <c r="N21" s="277">
        <f t="shared" si="3"/>
        <v>68.644067796610173</v>
      </c>
      <c r="O21" s="239">
        <f t="shared" si="4"/>
        <v>1.950380338983051</v>
      </c>
      <c r="P21" s="119">
        <f t="shared" si="5"/>
        <v>392.02644813559323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5</v>
      </c>
      <c r="I25" s="114">
        <f t="shared" si="7"/>
        <v>363.2</v>
      </c>
      <c r="J25" s="274">
        <f>SUM(J16:J24)</f>
        <v>29.056000000000001</v>
      </c>
      <c r="K25" s="275">
        <f t="shared" si="7"/>
        <v>12.712000000000002</v>
      </c>
      <c r="L25" s="276">
        <f t="shared" si="7"/>
        <v>0</v>
      </c>
      <c r="M25" s="232">
        <f t="shared" si="7"/>
        <v>321.43200000000002</v>
      </c>
      <c r="N25" s="233">
        <f>SUM(N16:N24)</f>
        <v>68.644067796610173</v>
      </c>
      <c r="O25" s="101">
        <f>SUM(O16:O24)</f>
        <v>1.950380338983051</v>
      </c>
      <c r="P25" s="234">
        <f>SUM(P16:P24)</f>
        <v>392.02644813559323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363.2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29.056000000000001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12.712000000000002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321.43200000000002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68.644067796610173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390.07606779661018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1.950380338983051</v>
      </c>
    </row>
    <row r="35" spans="2:16" ht="15.75" customHeight="1" thickBot="1" x14ac:dyDescent="0.4">
      <c r="N35" s="345" t="s">
        <v>88</v>
      </c>
      <c r="O35" s="346"/>
      <c r="P35" s="297">
        <f>+P33+P34</f>
        <v>392.02644813559323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2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</v>
      </c>
      <c r="I25" s="114">
        <f t="shared" si="7"/>
        <v>726.4</v>
      </c>
      <c r="J25" s="274">
        <f>SUM(J16:J24)</f>
        <v>58.112000000000002</v>
      </c>
      <c r="K25" s="275">
        <f t="shared" si="7"/>
        <v>25.424000000000003</v>
      </c>
      <c r="L25" s="276">
        <f t="shared" si="7"/>
        <v>0</v>
      </c>
      <c r="M25" s="232">
        <f t="shared" si="7"/>
        <v>642.86400000000003</v>
      </c>
      <c r="N25" s="233">
        <f>SUM(N16:N24)</f>
        <v>137.28813559322035</v>
      </c>
      <c r="O25" s="101">
        <f>SUM(O16:O24)</f>
        <v>3.9007606779661019</v>
      </c>
      <c r="P25" s="234">
        <f>SUM(P16:P24)</f>
        <v>784.05289627118646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726.4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58.112000000000002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25.424000000000003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642.86400000000003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137.28813559322035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780.15213559322035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3.9007606779661019</v>
      </c>
    </row>
    <row r="35" spans="2:16" ht="15.75" customHeight="1" thickBot="1" x14ac:dyDescent="0.4">
      <c r="N35" s="345" t="s">
        <v>88</v>
      </c>
      <c r="O35" s="346"/>
      <c r="P35" s="297">
        <f>+P33+P34</f>
        <v>784.05289627118646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0.11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0.11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0.11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120</v>
      </c>
      <c r="I19" s="236">
        <f t="shared" si="0"/>
        <v>8716.7999999999993</v>
      </c>
      <c r="J19" s="272">
        <f t="shared" si="1"/>
        <v>958.84799999999996</v>
      </c>
      <c r="K19" s="128">
        <f t="shared" si="1"/>
        <v>305.08800000000002</v>
      </c>
      <c r="L19" s="119">
        <f t="shared" si="1"/>
        <v>0</v>
      </c>
      <c r="M19" s="230">
        <f t="shared" si="2"/>
        <v>7452.8639999999996</v>
      </c>
      <c r="N19" s="277">
        <f t="shared" si="3"/>
        <v>1647.4576271186443</v>
      </c>
      <c r="O19" s="239">
        <f t="shared" si="4"/>
        <v>45.501608135593216</v>
      </c>
      <c r="P19" s="119">
        <f t="shared" si="5"/>
        <v>9145.8232352542364</v>
      </c>
      <c r="Q19" s="319"/>
      <c r="S19" s="269">
        <f>+S18</f>
        <v>0.11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120</v>
      </c>
      <c r="I20" s="236">
        <f t="shared" si="0"/>
        <v>8716.7999999999993</v>
      </c>
      <c r="J20" s="272">
        <f t="shared" si="1"/>
        <v>958.84799999999996</v>
      </c>
      <c r="K20" s="128">
        <f t="shared" si="1"/>
        <v>305.08800000000002</v>
      </c>
      <c r="L20" s="119">
        <f t="shared" si="1"/>
        <v>0</v>
      </c>
      <c r="M20" s="230">
        <f t="shared" si="2"/>
        <v>7452.8639999999996</v>
      </c>
      <c r="N20" s="277">
        <f t="shared" si="3"/>
        <v>1647.4576271186443</v>
      </c>
      <c r="O20" s="239">
        <f t="shared" si="4"/>
        <v>45.501608135593216</v>
      </c>
      <c r="P20" s="119">
        <f t="shared" si="5"/>
        <v>9145.8232352542364</v>
      </c>
      <c r="Q20" s="319"/>
      <c r="S20" s="269">
        <f>+S19</f>
        <v>0.11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100</v>
      </c>
      <c r="I21" s="236">
        <f t="shared" si="0"/>
        <v>7264</v>
      </c>
      <c r="J21" s="272">
        <f t="shared" si="1"/>
        <v>799.04</v>
      </c>
      <c r="K21" s="128">
        <f t="shared" si="1"/>
        <v>254.24000000000004</v>
      </c>
      <c r="L21" s="119">
        <f t="shared" si="1"/>
        <v>0</v>
      </c>
      <c r="M21" s="230">
        <f t="shared" si="2"/>
        <v>6210.72</v>
      </c>
      <c r="N21" s="277">
        <f t="shared" si="3"/>
        <v>1372.8813559322034</v>
      </c>
      <c r="O21" s="239">
        <f t="shared" si="4"/>
        <v>37.91800677966102</v>
      </c>
      <c r="P21" s="119">
        <f t="shared" si="5"/>
        <v>7621.5193627118642</v>
      </c>
      <c r="Q21" s="319"/>
      <c r="S21" s="269">
        <f>+S20</f>
        <v>0.11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340</v>
      </c>
      <c r="I25" s="114">
        <f t="shared" si="7"/>
        <v>24697.599999999999</v>
      </c>
      <c r="J25" s="274">
        <f>SUM(J16:J24)</f>
        <v>2716.7359999999999</v>
      </c>
      <c r="K25" s="275">
        <f t="shared" si="7"/>
        <v>864.41600000000005</v>
      </c>
      <c r="L25" s="276">
        <f t="shared" si="7"/>
        <v>0</v>
      </c>
      <c r="M25" s="232">
        <f t="shared" si="7"/>
        <v>21116.448</v>
      </c>
      <c r="N25" s="233">
        <f>SUM(N16:N24)</f>
        <v>4667.7966101694919</v>
      </c>
      <c r="O25" s="101">
        <f>SUM(O16:O24)</f>
        <v>128.92122305084746</v>
      </c>
      <c r="P25" s="234">
        <f>SUM(P16:P24)</f>
        <v>25913.165833220337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24697.599999999999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2716.7359999999999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864.41600000000005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21116.447999999997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4667.7966101694919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25784.244610169488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128.92122305084743</v>
      </c>
    </row>
    <row r="35" spans="2:16" ht="15.75" customHeight="1" thickBot="1" x14ac:dyDescent="0.4">
      <c r="N35" s="345" t="s">
        <v>88</v>
      </c>
      <c r="O35" s="346"/>
      <c r="P35" s="297">
        <f>+P33+P34</f>
        <v>25913.165833220337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0" workbookViewId="0">
      <selection activeCell="H21" sqref="H19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10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10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20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40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abSelected="1" workbookViewId="0">
      <selection activeCell="G4" sqref="G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80</v>
      </c>
      <c r="I18" s="236">
        <f t="shared" si="0"/>
        <v>4197</v>
      </c>
      <c r="J18" s="272">
        <f t="shared" si="1"/>
        <v>335.76</v>
      </c>
      <c r="K18" s="128">
        <f t="shared" si="1"/>
        <v>146.89500000000001</v>
      </c>
      <c r="L18" s="119">
        <f t="shared" si="1"/>
        <v>0</v>
      </c>
      <c r="M18" s="230">
        <f t="shared" si="2"/>
        <v>3714.3450000000003</v>
      </c>
      <c r="N18" s="277">
        <f t="shared" si="3"/>
        <v>793.22033898305051</v>
      </c>
      <c r="O18" s="239">
        <f t="shared" si="4"/>
        <v>22.537826694915253</v>
      </c>
      <c r="P18" s="119">
        <f t="shared" si="5"/>
        <v>4530.103165677966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280</v>
      </c>
      <c r="I25" s="114">
        <f t="shared" si="7"/>
        <v>17110.8</v>
      </c>
      <c r="J25" s="274">
        <f>SUM(J16:J24)</f>
        <v>1368.864</v>
      </c>
      <c r="K25" s="275">
        <f t="shared" si="7"/>
        <v>598.87800000000004</v>
      </c>
      <c r="L25" s="276">
        <f t="shared" si="7"/>
        <v>0</v>
      </c>
      <c r="M25" s="232">
        <f t="shared" si="7"/>
        <v>15143.058000000001</v>
      </c>
      <c r="N25" s="233">
        <f>SUM(N16:N24)</f>
        <v>3233.8983050847451</v>
      </c>
      <c r="O25" s="101">
        <f>SUM(O16:O24)</f>
        <v>91.884781525423719</v>
      </c>
      <c r="P25" s="234">
        <f>SUM(P16:P24)</f>
        <v>18468.841086610169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17110.8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1368.864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598.87800000000004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15143.057999999999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3233.8983050847451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18376.956305084743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91.884781525423719</v>
      </c>
    </row>
    <row r="35" spans="2:16" ht="15.75" customHeight="1" thickBot="1" x14ac:dyDescent="0.4">
      <c r="N35" s="345" t="s">
        <v>88</v>
      </c>
      <c r="O35" s="346"/>
      <c r="P35" s="297">
        <f>+P33+P34</f>
        <v>18468.841086610166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167.88</v>
      </c>
      <c r="K16" s="127">
        <f>$I16*T16</f>
        <v>73.447500000000005</v>
      </c>
      <c r="L16" s="118">
        <f>$I16*U16</f>
        <v>0</v>
      </c>
      <c r="M16" s="229">
        <f>I16-SUM(J16:L16)</f>
        <v>1857.1725000000001</v>
      </c>
      <c r="N16" s="248">
        <f>+(G16*D16+H16)*V16</f>
        <v>396.61016949152526</v>
      </c>
      <c r="O16" s="238">
        <f>(N16+M16)*$O$15</f>
        <v>11.268913347457627</v>
      </c>
      <c r="P16" s="118">
        <f>M16+N16+O16</f>
        <v>2265.051582838983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167.88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1857.1725000000001</v>
      </c>
      <c r="N17" s="277">
        <f t="shared" ref="N17:N24" si="3">+(G17*D17+H17)*V17</f>
        <v>396.61016949152526</v>
      </c>
      <c r="O17" s="239">
        <f t="shared" ref="O17:O24" si="4">(N17+M17)*$O$15</f>
        <v>11.268913347457627</v>
      </c>
      <c r="P17" s="119">
        <f t="shared" ref="P17:P24" si="5">M17+N17+O17</f>
        <v>2265.051582838983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167.88</v>
      </c>
      <c r="K18" s="128">
        <f t="shared" si="1"/>
        <v>73.447500000000005</v>
      </c>
      <c r="L18" s="119">
        <f t="shared" si="1"/>
        <v>0</v>
      </c>
      <c r="M18" s="230">
        <f t="shared" si="2"/>
        <v>1857.1725000000001</v>
      </c>
      <c r="N18" s="277">
        <f t="shared" si="3"/>
        <v>396.61016949152526</v>
      </c>
      <c r="O18" s="239">
        <f t="shared" si="4"/>
        <v>11.268913347457627</v>
      </c>
      <c r="P18" s="119">
        <f t="shared" si="5"/>
        <v>2265.051582838983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232.44800000000001</v>
      </c>
      <c r="K19" s="128">
        <f t="shared" si="1"/>
        <v>101.69600000000001</v>
      </c>
      <c r="L19" s="119">
        <f t="shared" si="1"/>
        <v>0</v>
      </c>
      <c r="M19" s="230">
        <f t="shared" si="2"/>
        <v>2571.4560000000001</v>
      </c>
      <c r="N19" s="277">
        <f t="shared" si="3"/>
        <v>549.15254237288138</v>
      </c>
      <c r="O19" s="239">
        <f t="shared" si="4"/>
        <v>15.603042711864408</v>
      </c>
      <c r="P19" s="119">
        <f t="shared" si="5"/>
        <v>3136.2115850847458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232.44800000000001</v>
      </c>
      <c r="K20" s="128">
        <f t="shared" si="1"/>
        <v>101.69600000000001</v>
      </c>
      <c r="L20" s="119">
        <f t="shared" si="1"/>
        <v>0</v>
      </c>
      <c r="M20" s="230">
        <f t="shared" si="2"/>
        <v>2571.4560000000001</v>
      </c>
      <c r="N20" s="277">
        <f t="shared" si="3"/>
        <v>549.15254237288138</v>
      </c>
      <c r="O20" s="239">
        <f t="shared" si="4"/>
        <v>15.603042711864408</v>
      </c>
      <c r="P20" s="119">
        <f t="shared" si="5"/>
        <v>3136.2115850847458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240</v>
      </c>
      <c r="I25" s="114">
        <f t="shared" si="7"/>
        <v>15012.300000000001</v>
      </c>
      <c r="J25" s="274">
        <f>SUM(J16:J24)</f>
        <v>1200.9839999999999</v>
      </c>
      <c r="K25" s="275">
        <f t="shared" si="7"/>
        <v>525.43050000000005</v>
      </c>
      <c r="L25" s="276">
        <f t="shared" si="7"/>
        <v>0</v>
      </c>
      <c r="M25" s="232">
        <f t="shared" si="7"/>
        <v>13285.8855</v>
      </c>
      <c r="N25" s="233">
        <f>SUM(N16:N24)</f>
        <v>2837.2881355932195</v>
      </c>
      <c r="O25" s="101">
        <f>SUM(O16:O24)</f>
        <v>80.615868177966092</v>
      </c>
      <c r="P25" s="234">
        <f>SUM(P16:P24)</f>
        <v>16203.789503771186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15012.300000000001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1200.9839999999999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525.43050000000005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13285.8855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2837.2881355932195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16123.173635593219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80.615868177966092</v>
      </c>
    </row>
    <row r="35" spans="2:16" ht="15.75" customHeight="1" thickBot="1" x14ac:dyDescent="0.4">
      <c r="N35" s="345" t="s">
        <v>88</v>
      </c>
      <c r="O35" s="346"/>
      <c r="P35" s="297">
        <f>+P33+P34</f>
        <v>16203.789503771184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518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906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46314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46313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 xml:space="preserve">Zeshan 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46316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46315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2026-10-20T04:33:57Z</dcterms:modified>
</cp:coreProperties>
</file>