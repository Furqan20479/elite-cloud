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7F03CA-23E1-4B4A-B105-C3274D235E3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<sst xmlns="http://schemas.openxmlformats.org/spreadsheetml/2006/main" count="3948" uniqueCount="529">
  <si>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</si>
  <si>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</si>
  <si>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</si>
  <si>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</si>
  <si>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</si>
  <si>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</si>
  <si>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</si>
  <si>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</si>
  <si>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</si>
  <si>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</si>
  <si>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</si>
  <si>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</si>
  <si>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</si>
  <si>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</si>
  <si>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</si>
  <si>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</si>
  <si>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</si>
  <si>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</si>
  <si>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</si>
  <si>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</si>
  <si>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</si>
  <si>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</si>
  <si>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</si>
  <si>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</si>
  <si>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</si>
  <si>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</si>
  <si>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</si>
  <si>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</si>
  <si>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</si>
  <si>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</si>
  <si>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</si>
  <si>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</si>
  <si>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</si>
  <si>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</si>
  <si>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</si>
  <si>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</si>
  <si>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</si>
  <si>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</si>
  <si>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</si>
  <si>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</si>
  <si>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</si>
  <si>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</si>
  <si>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</si>
  <si>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</si>
  <si>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</si>
  <si>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</si>
  <si>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</si>
  <si>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</si>
  <si>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</si>
  <si>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</si>
  <si>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</si>
  <si>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</si>
  <si>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</si>
  <si>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</si>
  <si>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</si>
  <si>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</si>
  <si>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</si>
  <si>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</si>
  <si>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</si>
  <si>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</si>
  <si>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</si>
  <si>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</si>
  <si>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</si>
  <si>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</si>
  <si>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</si>
  <si>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</si>
  <si>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</si>
  <si>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</si>
  <si>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</si>
  <si>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</si>
  <si>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</si>
  <si>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</si>
  <si>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</si>
  <si>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</si>
  <si>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</si>
  <si>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</si>
  <si>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</si>
  <si>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</si>
  <si>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</si>
  <si>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</si>
  <si>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</si>
  <si>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</si>
  <si>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</si>
  <si>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</si>
  <si>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</si>
  <si>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</si>
  <si>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</si>
  <si>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</si>
  <si>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</si>
  <si>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</si>
  <si>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</si>
  <si>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</si>
  <si>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</si>
  <si>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</si>
  <si>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</si>
  <si>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</si>
  <si>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</si>
  <si>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</si>
  <si>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</si>
  <si>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</si>
  <si>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</si>
  <si>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</si>
  <si>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</si>
  <si>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</si>
  <si>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</si>
  <si>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</si>
  <si>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</si>
  <si>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</si>
  <si>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</si>
  <si>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</si>
  <si>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</si>
  <si>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</si>
  <si>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</si>
  <si>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</si>
  <si>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</si>
  <si>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</si>
  <si>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</si>
  <si>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</si>
  <si>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</si>
  <si>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</si>
  <si>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</si>
  <si>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</si>
  <si>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</si>
  <si>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</si>
  <si>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</si>
  <si>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</si>
  <si>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</si>
  <si>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</si>
  <si>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</si>
  <si>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</si>
  <si>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</si>
  <si>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</si>
  <si>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</si>
  <si>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</si>
  <si>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</si>
  <si>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</si>
  <si>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</si>
  <si>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</si>
  <si>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</si>
  <si>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</si>
  <si>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</si>
  <si>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</si>
  <si>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</si>
  <si>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</si>
  <si>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</si>
  <si>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</si>
  <si>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</si>
  <si>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</si>
  <si>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</si>
  <si>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</si>
  <si>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</si>
  <si>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</si>
  <si>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</si>
  <si>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</si>
  <si>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</si>
  <si>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</si>
  <si>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</si>
  <si>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</si>
  <si>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</si>
  <si>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</si>
  <si>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</si>
  <si>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</si>
  <si>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</si>
  <si>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</si>
  <si>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</si>
  <si>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</si>
  <si>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</si>
  <si>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</si>
  <si>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</si>
  <si>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</si>
  <si>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</si>
  <si>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</si>
  <si>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</si>
  <si>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</si>
  <si>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</si>
  <si>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</si>
  <si>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</si>
  <si>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</si>
  <si>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</si>
  <si>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</si>
  <si>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</si>
  <si>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</si>
  <si>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</si>
  <si>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</si>
  <si>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</si>
  <si>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</si>
  <si>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</si>
  <si>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</si>
  <si>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</si>
  <si>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</si>
  <si>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</si>
  <si>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</si>
  <si>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</si>
  <si>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</si>
  <si>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</si>
  <si>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</si>
  <si>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</si>
  <si>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</si>
  <si>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</si>
  <si>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</si>
  <si>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</si>
  <si>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</si>
  <si>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</si>
  <si>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</si>
  <si>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</si>
  <si>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</si>
  <si>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</si>
  <si>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</si>
  <si>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</si>
  <si>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</si>
  <si>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</si>
  <si>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</si>
  <si>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</si>
  <si>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</si>
  <si>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</si>
  <si>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</si>
  <si>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</si>
  <si>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</si>
  <si>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</si>
  <si>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</si>
  <si>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</si>
  <si>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</si>
  <si>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</si>
  <si>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</si>
  <si>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</si>
  <si>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</si>
  <si>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</si>
  <si>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</si>
  <si>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</si>
  <si>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</si>
  <si>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</si>
  <si>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</si>
  <si>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</si>
  <si>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</si>
  <si>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</si>
  <si>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</si>
  <si>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</si>
  <si>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</si>
  <si>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</si>
  <si>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</si>
  <si>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</si>
  <si>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</si>
  <si>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</si>
  <si>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</si>
  <si>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</si>
  <si>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</si>
  <si>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</si>
  <si>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</si>
  <si>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</si>
  <si>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</si>
  <si>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</si>
  <si>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</si>
  <si>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</si>
  <si>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</si>
  <si>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</si>
  <si>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</si>
  <si>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</si>
  <si>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</si>
  <si>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</si>
  <si>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</si>
  <si>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</si>
  <si>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</si>
  <si>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</si>
  <si>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</si>
  <si>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</si>
  <si>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</si>
  <si>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</si>
  <si>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</si>
  <si>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</si>
  <si>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</si>
  <si>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</si>
  <si>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</si>
  <si>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</si>
  <si>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</si>
  <si>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</si>
  <si>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</si>
  <si>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</si>
  <si>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</si>
  <si>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</si>
  <si>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</si>
  <si>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</si>
  <si>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</si>
  <si>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</si>
  <si>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</si>
  <si>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</si>
  <si>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</si>
  <si>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</si>
  <si>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</si>
  <si>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</si>
  <si>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</si>
  <si>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</si>
  <si>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</si>
  <si>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</si>
  <si>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</si>
  <si>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</si>
  <si>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</si>
  <si>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</si>
  <si>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</si>
  <si>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</si>
  <si>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</si>
  <si>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</si>
  <si>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</si>
  <si>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</si>
  <si>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</si>
  <si>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</si>
  <si>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</si>
  <si>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</si>
  <si>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</si>
  <si>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</si>
  <si>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</si>
  <si>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</si>
  <si>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</si>
  <si>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</si>
  <si>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</si>
  <si>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</si>
  <si>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</si>
  <si>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</si>
  <si>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</si>
  <si>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</si>
  <si>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</si>
  <si>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</si>
  <si>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</si>
  <si>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</si>
  <si>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</si>
  <si>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</si>
  <si>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</si>
  <si>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</si>
  <si>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</si>
  <si>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</si>
  <si>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</si>
  <si>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</si>
  <si>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</si>
  <si>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</si>
  <si>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</si>
  <si>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</si>
  <si>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</si>
  <si>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</si>
  <si>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</si>
  <si>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</si>
  <si>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</si>
  <si>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</si>
  <si>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</si>
  <si>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</si>
  <si>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</si>
  <si>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</si>
  <si>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</si>
  <si>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</si>
  <si>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</si>
  <si>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</si>
  <si>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</si>
  <si>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</si>
  <si>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</si>
  <si>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</si>
  <si>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</si>
  <si>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</si>
  <si>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</si>
  <si>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</si>
  <si>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</si>
  <si>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</si>
  <si>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</si>
  <si>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</si>
  <si>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</si>
  <si>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</si>
  <si>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</si>
  <si>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</si>
  <si>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</si>
  <si>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</si>
  <si>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</si>
  <si>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</si>
  <si>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</si>
  <si>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</si>
  <si>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</si>
  <si>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</si>
  <si>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</si>
  <si>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</si>
  <si>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</si>
  <si>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</si>
  <si>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</si>
  <si>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</si>
  <si>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</si>
  <si>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</si>
  <si>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</si>
  <si>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</si>
  <si>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</si>
  <si>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</si>
  <si>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</si>
  <si>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</si>
  <si>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</si>
  <si>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</si>
  <si>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</si>
  <si>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</si>
  <si>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</si>
  <si>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</si>
  <si>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</si>
  <si>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</si>
  <si>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</si>
  <si>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</si>
  <si>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</si>
  <si>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</si>
  <si>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</si>
  <si>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</si>
  <si>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</si>
  <si>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</si>
  <si>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</si>
  <si>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</si>
  <si>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</si>
  <si>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</si>
  <si>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</si>
  <si>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</si>
  <si>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</si>
  <si>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</si>
  <si>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</si>
  <si>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</si>
  <si>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</si>
  <si>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</si>
  <si>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</si>
  <si>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</si>
  <si>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</si>
  <si>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</si>
  <si>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</si>
  <si>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</si>
  <si>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</si>
  <si>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</si>
  <si>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</si>
  <si>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</si>
  <si>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</si>
  <si>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</si>
  <si>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</si>
  <si>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</si>
  <si>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</si>
  <si>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</si>
  <si>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</si>
  <si>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</si>
  <si>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</si>
  <si>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</si>
  <si>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</si>
  <si>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</si>
  <si>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</si>
  <si>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</si>
  <si>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</si>
  <si>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</si>
  <si>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</si>
  <si>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</si>
  <si>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</si>
  <si>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</si>
  <si>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</si>
  <si>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</si>
  <si>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</si>
  <si>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</si>
  <si>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</si>
  <si>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</si>
  <si>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</si>
  <si>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</si>
  <si>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</si>
  <si>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</si>
  <si>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</si>
  <si>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</si>
  <si>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</si>
  <si>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</si>
  <si>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</si>
  <si>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</si>
  <si>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</si>
  <si>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</si>
  <si>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</si>
  <si>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</si>
  <si>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</si>
  <si>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</si>
  <si>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</si>
  <si>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</si>
  <si>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</si>
  <si>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</si>
  <si>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</si>
  <si>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</si>
  <si>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</si>
  <si>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</si>
  <si>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</si>
  <si>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</si>
  <si>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</si>
  <si>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</si>
  <si>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</si>
  <si>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</si>
  <si>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</si>
  <si>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</si>
  <si>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</si>
  <si>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</si>
  <si>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</si>
  <si>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</si>
  <si>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</si>
  <si>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</si>
  <si>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</si>
  <si>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</si>
  <si>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</si>
  <si>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</si>
  <si>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</si>
  <si>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</si>
  <si>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</si>
  <si>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</si>
  <si>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</si>
  <si>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</si>
  <si>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</si>
  <si>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</si>
  <si>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</si>
  <si>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</si>
  <si>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</si>
  <si>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</si>
  <si>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</si>
  <si>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</si>
  <si>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</si>
  <si>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</si>
  <si>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</si>
  <si>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</si>
  <si>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</si>
  <si>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</si>
  <si>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</si>
  <si>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</si>
  <si>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Nizamaabad</t>
  </si>
  <si>
    <t xml:space="preserve">Rehman Bakery </t>
  </si>
  <si>
    <t xml:space="preserve">Bin Saeed </t>
  </si>
  <si>
    <t>Address: Ghaziaabad</t>
  </si>
  <si>
    <t>Sadique Super store</t>
  </si>
  <si>
    <t>Khan Store</t>
  </si>
  <si>
    <t xml:space="preserve">Address: Tajpura Akhri Stop </t>
  </si>
  <si>
    <t>Adeel Store</t>
  </si>
  <si>
    <t xml:space="preserve">Address:Tajpura Akhri Stop </t>
  </si>
  <si>
    <t>Usman GS</t>
  </si>
  <si>
    <t>Address: Noori Darbar Road</t>
  </si>
  <si>
    <t>Gwalmandi Store</t>
  </si>
  <si>
    <t>Ahsan Store</t>
  </si>
  <si>
    <t xml:space="preserve">Address: Al Rehman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</si>
</sst>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Rehman Bakery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Bin Saeed 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Sadique Super store</v>
      </c>
      <c r="T5" s="301">
        <f>+'3'!P35</f>
        <v>4403.5636156779656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2770.3261629915255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58</v>
      </c>
      <c r="I7" s="235">
        <f>(G7*D7)*F7+H7*F7</f>
        <v>3042.8249999999998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295.36387500000001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106.498875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2640.9622499999996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575.08474576271169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16.080234978813557</v>
      </c>
      <c r="P7" s="310">
        <f>M7+N7+O7</f>
        <v>3232.1272307415247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32</v>
      </c>
      <c r="R7" s="313">
        <v>5</v>
      </c>
      <c r="S7" s="300" t="str">
        <f>+'5'!A6:A6</f>
        <v>Adeel Store</v>
      </c>
      <c r="T7" s="301">
        <f>+'5'!P35</f>
        <v>1067.1843441260594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58</v>
      </c>
      <c r="I8" s="236">
        <f t="shared" ref="I8:I14" si="0">(G8*D8)*F8+H8*F8</f>
        <v>3042.8249999999998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295.36387500000001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106.498875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2640.9622499999996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575.08474576271169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16.080234978813557</v>
      </c>
      <c r="P8" s="311">
        <f t="shared" ref="P8:P15" si="2">M8+N8+O8</f>
        <v>3232.1272307415247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32</v>
      </c>
      <c r="R8" s="313">
        <v>6</v>
      </c>
      <c r="S8" s="300" t="str">
        <f>+'6'!A6:A6</f>
        <v>Usman GS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69</v>
      </c>
      <c r="I9" s="236">
        <f t="shared" si="0"/>
        <v>3619.9124999999999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349.40025000000003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126.6969375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3143.8153124999999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684.15254237288093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19.139839274364405</v>
      </c>
      <c r="P9" s="311">
        <f t="shared" si="2"/>
        <v>3847.1076941472452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32</v>
      </c>
      <c r="R9" s="313">
        <v>7</v>
      </c>
      <c r="S9" s="300" t="str">
        <f>+'7'!A6:A6</f>
        <v>Gwalmandi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57</v>
      </c>
      <c r="I10" s="236">
        <f t="shared" si="0"/>
        <v>4140.4800000000005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144.91680000000002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3646.8912000000005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782.54237288135596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22.147167864406779</v>
      </c>
      <c r="P10" s="311">
        <f t="shared" si="2"/>
        <v>4451.5807407457633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112</v>
      </c>
      <c r="R10" s="313">
        <v>8</v>
      </c>
      <c r="S10" s="300" t="str">
        <f>+'8'!A6:A6</f>
        <v>Ahsan Store</v>
      </c>
      <c r="T10" s="301">
        <f>+'8'!P35</f>
        <v>3847.2699746059325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37</v>
      </c>
      <c r="I11" s="236">
        <f t="shared" si="0"/>
        <v>2687.68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94.06880000000001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2361.1632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507.96610169491527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14.345646508474577</v>
      </c>
      <c r="P11" s="311">
        <f t="shared" si="2"/>
        <v>2883.4749482033899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642.86399999999992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7.2249999999999996</v>
      </c>
      <c r="H16" s="113">
        <f t="shared" ref="H16:M16" si="3">SUM(H7:H15)</f>
        <v>289</v>
      </c>
      <c r="I16" s="114">
        <f t="shared" si="3"/>
        <v>17260.122500000001</v>
      </c>
      <c r="J16" s="274">
        <f>SUM(J7:J15)</f>
        <v>1579.3600000000004</v>
      </c>
      <c r="K16" s="275">
        <f t="shared" si="3"/>
        <v>604.10428750000005</v>
      </c>
      <c r="L16" s="276">
        <f t="shared" si="3"/>
        <v>0</v>
      </c>
      <c r="M16" s="232">
        <f t="shared" si="3"/>
        <v>15076.6582125</v>
      </c>
      <c r="N16" s="233">
        <f>SUM(N7:N15)</f>
        <v>3262.1186440677961</v>
      </c>
      <c r="O16" s="101">
        <f>SUM(O7:O15)</f>
        <v>91.69388428283898</v>
      </c>
      <c r="P16" s="113">
        <f>SUM(P7:P15)</f>
        <v>18430.470740850637</v>
      </c>
      <c r="Q16" s="128">
        <f>SUM(Q7:Q15)</f>
        <v>364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17260.122500000001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1579.3600000000004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604.10428750000005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15076.6582125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3262.1186440677961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18338.776856567798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91.69388428283898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18430.470740850637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18430.470740850637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144.27187499999999</v>
      </c>
      <c r="K16" s="127">
        <f>$I16*T16</f>
        <v>45.904687500000001</v>
      </c>
      <c r="L16" s="118">
        <f>$I16*U16</f>
        <v>0</v>
      </c>
      <c r="M16" s="229">
        <f>I16-SUM(J16:L16)</f>
        <v>1121.3859375</v>
      </c>
      <c r="N16" s="248">
        <f>+(G16*D16+H16)*V16</f>
        <v>247.88135593220329</v>
      </c>
      <c r="O16" s="238">
        <f>(N16+M16)*$O$15</f>
        <v>6.8463364671610156</v>
      </c>
      <c r="P16" s="118">
        <f>M16+N16+O16</f>
        <v>1376.1136298993642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144.27187499999999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1121.3859375</v>
      </c>
      <c r="N17" s="277">
        <f t="shared" ref="N17:N24" si="3">+(G17*D17+H17)*V17</f>
        <v>247.88135593220329</v>
      </c>
      <c r="O17" s="239">
        <f t="shared" ref="O17:O24" si="4">(N17+M17)*$O$15</f>
        <v>6.8463364671610156</v>
      </c>
      <c r="P17" s="119">
        <f t="shared" ref="P17:P24" si="5">M17+N17+O17</f>
        <v>1376.1136298993642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173.12625</v>
      </c>
      <c r="K18" s="128">
        <f t="shared" si="1"/>
        <v>55.085625000000007</v>
      </c>
      <c r="L18" s="119">
        <f t="shared" si="1"/>
        <v>0</v>
      </c>
      <c r="M18" s="230">
        <f t="shared" si="2"/>
        <v>1345.663125</v>
      </c>
      <c r="N18" s="277">
        <f t="shared" si="3"/>
        <v>297.45762711864393</v>
      </c>
      <c r="O18" s="239">
        <f t="shared" si="4"/>
        <v>8.2156037605932202</v>
      </c>
      <c r="P18" s="119">
        <f t="shared" si="5"/>
        <v>1651.3363558792371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461.66999999999996</v>
      </c>
      <c r="K25" s="275">
        <f t="shared" si="7"/>
        <v>146.89500000000001</v>
      </c>
      <c r="L25" s="276">
        <f t="shared" si="7"/>
        <v>0</v>
      </c>
      <c r="M25" s="232">
        <f t="shared" si="7"/>
        <v>3588.4349999999999</v>
      </c>
      <c r="N25" s="233">
        <f>SUM(N16:N24)</f>
        <v>793.22033898305051</v>
      </c>
      <c r="O25" s="101">
        <f>SUM(O16:O24)</f>
        <v>21.908276694915251</v>
      </c>
      <c r="P25" s="234">
        <f>SUM(P16:P24)</f>
        <v>4403.5636156779656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461.66999999999996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146.89500000000001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3588.4349999999999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4381.6553389830506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21.908276694915255</v>
      </c>
    </row>
    <row r="35" spans="2:16" ht="15.75" customHeight="1" thickBot="1" x14ac:dyDescent="0.4">
      <c r="N35" s="345" t="s">
        <v>88</v>
      </c>
      <c r="O35" s="346"/>
      <c r="P35" s="297">
        <f>+P33+P34</f>
        <v>4403.5636156779656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42</v>
      </c>
      <c r="I25" s="114">
        <f t="shared" si="7"/>
        <v>2566.6200000000003</v>
      </c>
      <c r="J25" s="274">
        <f>SUM(J16:J24)</f>
        <v>205.3296</v>
      </c>
      <c r="K25" s="275">
        <f t="shared" si="7"/>
        <v>89.831700000000012</v>
      </c>
      <c r="L25" s="276">
        <f t="shared" si="7"/>
        <v>0</v>
      </c>
      <c r="M25" s="232">
        <f t="shared" si="7"/>
        <v>2271.4587000000001</v>
      </c>
      <c r="N25" s="233">
        <f>SUM(N16:N24)</f>
        <v>485.0847457627118</v>
      </c>
      <c r="O25" s="101">
        <f>SUM(O16:O24)</f>
        <v>13.78271722881356</v>
      </c>
      <c r="P25" s="234">
        <f>SUM(P16:P24)</f>
        <v>2770.3261629915251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2566.6200000000003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205.3296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89.831700000000012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2271.4587000000001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485.0847457627118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2756.5434457627121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13.78271722881356</v>
      </c>
    </row>
    <row r="35" spans="2:16" ht="15.75" customHeight="1" thickBot="1" x14ac:dyDescent="0.4">
      <c r="N35" s="345" t="s">
        <v>88</v>
      </c>
      <c r="O35" s="346"/>
      <c r="P35" s="297">
        <f>+P33+P34</f>
        <v>2770.3261629915255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988.71250000000009</v>
      </c>
      <c r="J25" s="274">
        <f>SUM(J16:J24)</f>
        <v>79.096999999999994</v>
      </c>
      <c r="K25" s="275">
        <f t="shared" si="7"/>
        <v>34.604937500000005</v>
      </c>
      <c r="L25" s="276">
        <f t="shared" si="7"/>
        <v>0</v>
      </c>
      <c r="M25" s="232">
        <f t="shared" si="7"/>
        <v>875.01056250000011</v>
      </c>
      <c r="N25" s="233">
        <f>SUM(N16:N24)</f>
        <v>186.86440677966101</v>
      </c>
      <c r="O25" s="101">
        <f>SUM(O16:O24)</f>
        <v>5.3093748463983053</v>
      </c>
      <c r="P25" s="234">
        <f>SUM(P16:P24)</f>
        <v>1067.1843441260594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988.71250000000009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79.096999999999994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34.604937500000005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875.01056250000011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186.86440677966101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1061.8749692796612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5.3093748463983061</v>
      </c>
    </row>
    <row r="35" spans="2:16" ht="15.75" customHeight="1" thickBot="1" x14ac:dyDescent="0.4">
      <c r="N35" s="345" t="s">
        <v>88</v>
      </c>
      <c r="O35" s="346"/>
      <c r="P35" s="297">
        <f>+P33+P34</f>
        <v>1067.1843441260594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62.954999999999998</v>
      </c>
      <c r="K16" s="127">
        <f>$I16*T16</f>
        <v>22.03425</v>
      </c>
      <c r="L16" s="118">
        <f>$I16*U16</f>
        <v>0</v>
      </c>
      <c r="M16" s="229">
        <f>I16-SUM(J16:L16)</f>
        <v>544.56074999999998</v>
      </c>
      <c r="N16" s="248">
        <f>+(G16*D16+H16)*V16</f>
        <v>118.98305084745758</v>
      </c>
      <c r="O16" s="238">
        <f>(N16+M16)*$O$15</f>
        <v>3.3177190042372877</v>
      </c>
      <c r="P16" s="118">
        <f>M16+N16+O16</f>
        <v>666.86151985169477</v>
      </c>
      <c r="Q16" s="318">
        <v>28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62.954999999999998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544.56074999999998</v>
      </c>
      <c r="N17" s="277">
        <f t="shared" ref="N17:N24" si="3">+(G17*D17+H17)*V17</f>
        <v>118.98305084745758</v>
      </c>
      <c r="O17" s="239">
        <f t="shared" ref="O17:O24" si="4">(N17+M17)*$O$15</f>
        <v>3.3177190042372877</v>
      </c>
      <c r="P17" s="119">
        <f t="shared" ref="P17:P24" si="5">M17+N17+O17</f>
        <v>666.86151985169477</v>
      </c>
      <c r="Q17" s="319">
        <v>28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62.954999999999998</v>
      </c>
      <c r="K18" s="128">
        <f t="shared" si="1"/>
        <v>22.03425</v>
      </c>
      <c r="L18" s="119">
        <f t="shared" si="1"/>
        <v>0</v>
      </c>
      <c r="M18" s="230">
        <f t="shared" si="2"/>
        <v>544.56074999999998</v>
      </c>
      <c r="N18" s="277">
        <f t="shared" si="3"/>
        <v>118.98305084745758</v>
      </c>
      <c r="O18" s="239">
        <f t="shared" si="4"/>
        <v>3.3177190042372877</v>
      </c>
      <c r="P18" s="119">
        <f t="shared" si="5"/>
        <v>666.86151985169477</v>
      </c>
      <c r="Q18" s="319">
        <v>28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87.168000000000006</v>
      </c>
      <c r="K19" s="128">
        <f t="shared" si="1"/>
        <v>30.508800000000004</v>
      </c>
      <c r="L19" s="119">
        <f t="shared" si="1"/>
        <v>0</v>
      </c>
      <c r="M19" s="230">
        <f t="shared" si="2"/>
        <v>754.00320000000011</v>
      </c>
      <c r="N19" s="277">
        <f t="shared" si="3"/>
        <v>164.74576271186442</v>
      </c>
      <c r="O19" s="239">
        <f t="shared" si="4"/>
        <v>4.5937448135593231</v>
      </c>
      <c r="P19" s="119">
        <f t="shared" si="5"/>
        <v>923.34270752542386</v>
      </c>
      <c r="Q19" s="319">
        <v>108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87.168000000000006</v>
      </c>
      <c r="K20" s="128">
        <f t="shared" si="1"/>
        <v>30.508800000000004</v>
      </c>
      <c r="L20" s="119">
        <f t="shared" si="1"/>
        <v>0</v>
      </c>
      <c r="M20" s="230">
        <f t="shared" si="2"/>
        <v>754.00320000000011</v>
      </c>
      <c r="N20" s="277">
        <f t="shared" si="3"/>
        <v>164.74576271186442</v>
      </c>
      <c r="O20" s="239">
        <f t="shared" si="4"/>
        <v>4.5937448135593231</v>
      </c>
      <c r="P20" s="119">
        <f t="shared" si="5"/>
        <v>923.34270752542386</v>
      </c>
      <c r="Q20" s="319">
        <v>28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3632.01</v>
      </c>
      <c r="J25" s="274">
        <f>SUM(J16:J24)</f>
        <v>363.20100000000002</v>
      </c>
      <c r="K25" s="275">
        <f t="shared" si="7"/>
        <v>127.12035000000002</v>
      </c>
      <c r="L25" s="276">
        <f t="shared" si="7"/>
        <v>0</v>
      </c>
      <c r="M25" s="232">
        <f t="shared" si="7"/>
        <v>3141.6886500000001</v>
      </c>
      <c r="N25" s="233">
        <f>SUM(N16:N24)</f>
        <v>686.4406779661017</v>
      </c>
      <c r="O25" s="101">
        <f>SUM(O16:O24)</f>
        <v>19.140646639830507</v>
      </c>
      <c r="P25" s="234">
        <f>SUM(P16:P24)</f>
        <v>3847.269974605932</v>
      </c>
      <c r="Q25" s="239">
        <f>SUM(Q16:Q24)</f>
        <v>340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3632.01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363.20100000000002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127.12035000000002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3141.6886500000001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686.4406779661017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3828.1293279661018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19.140646639830511</v>
      </c>
    </row>
    <row r="35" spans="2:16" ht="15.75" customHeight="1" thickBot="1" x14ac:dyDescent="0.4">
      <c r="N35" s="345" t="s">
        <v>88</v>
      </c>
      <c r="O35" s="346"/>
      <c r="P35" s="297">
        <f>+P33+P34</f>
        <v>3847.2699746059325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2026-10-19T11:16:10Z</dcterms:modified>
</cp:coreProperties>
</file>