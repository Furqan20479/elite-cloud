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56F84B2-8EB4-4C1E-AD77-63447AB4CBA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<sst xmlns="http://schemas.openxmlformats.org/spreadsheetml/2006/main" count="3918" uniqueCount="518">
  <si>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</si>
  <si>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</si>
  <si>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</si>
  <si>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</si>
  <si>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</si>
  <si>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</si>
  <si>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</si>
  <si>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</si>
  <si>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</si>
  <si>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</si>
  <si>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</si>
  <si>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</si>
  <si>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</si>
  <si>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</si>
  <si>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</si>
  <si>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</si>
  <si>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</si>
  <si>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</si>
  <si>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</si>
  <si>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</si>
  <si>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</si>
  <si>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</si>
  <si>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</si>
  <si>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</si>
  <si>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</si>
  <si>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</si>
  <si>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</si>
  <si>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</si>
  <si>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</si>
  <si>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</si>
  <si>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</si>
  <si>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</si>
  <si>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</si>
  <si>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</si>
  <si>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</si>
  <si>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</si>
  <si>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</si>
  <si>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</si>
  <si>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</si>
  <si>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</si>
  <si>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</si>
  <si>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</si>
  <si>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</si>
  <si>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</si>
  <si>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</si>
  <si>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</si>
  <si>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</si>
  <si>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</si>
  <si>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</si>
  <si>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</si>
  <si>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</si>
  <si>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</si>
  <si>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</si>
  <si>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</si>
  <si>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</si>
  <si>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</si>
  <si>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</si>
  <si>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</si>
  <si>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</si>
  <si>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</si>
  <si>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</si>
  <si>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</si>
  <si>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</si>
  <si>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</si>
  <si>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</si>
  <si>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</si>
  <si>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</si>
  <si>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</si>
  <si>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</si>
  <si>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</si>
  <si>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</si>
  <si>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</si>
  <si>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</si>
  <si>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</si>
  <si>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</si>
  <si>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</si>
  <si>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</si>
  <si>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</si>
  <si>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</si>
  <si>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</si>
  <si>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</si>
  <si>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</si>
  <si>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</si>
  <si>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</si>
  <si>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</si>
  <si>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</si>
  <si>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</si>
  <si>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</si>
  <si>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</si>
  <si>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</si>
  <si>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</si>
  <si>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</si>
  <si>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</si>
  <si>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</si>
  <si>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</si>
  <si>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</si>
  <si>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</si>
  <si>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</si>
  <si>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</si>
  <si>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</si>
  <si>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</si>
  <si>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</si>
  <si>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</si>
  <si>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</si>
  <si>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</si>
  <si>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</si>
  <si>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</si>
  <si>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</si>
  <si>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</si>
  <si>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</si>
  <si>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</si>
  <si>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</si>
  <si>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</si>
  <si>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</si>
  <si>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</si>
  <si>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</si>
  <si>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</si>
  <si>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</si>
  <si>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</si>
  <si>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</si>
  <si>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</si>
  <si>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</si>
  <si>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</si>
  <si>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</si>
  <si>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</si>
  <si>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</si>
  <si>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</si>
  <si>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</si>
  <si>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</si>
  <si>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</si>
  <si>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</si>
  <si>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</si>
  <si>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</si>
  <si>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</si>
  <si>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</si>
  <si>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</si>
  <si>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</si>
  <si>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</si>
  <si>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</si>
  <si>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</si>
  <si>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</si>
  <si>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</si>
  <si>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</si>
  <si>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</si>
  <si>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</si>
  <si>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</si>
  <si>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</si>
  <si>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</si>
  <si>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</si>
  <si>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</si>
  <si>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</si>
  <si>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</si>
  <si>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</si>
  <si>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</si>
  <si>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</si>
  <si>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</si>
  <si>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</si>
  <si>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</si>
  <si>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</si>
  <si>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</si>
  <si>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</si>
  <si>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</si>
  <si>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</si>
  <si>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</si>
  <si>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</si>
  <si>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</si>
  <si>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</si>
  <si>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</si>
  <si>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</si>
  <si>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</si>
  <si>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</si>
  <si>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</si>
  <si>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</si>
  <si>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</si>
  <si>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</si>
  <si>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</si>
  <si>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</si>
  <si>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</si>
  <si>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</si>
  <si>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</si>
  <si>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</si>
  <si>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</si>
  <si>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</si>
  <si>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</si>
  <si>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</si>
  <si>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</si>
  <si>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</si>
  <si>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</si>
  <si>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</si>
  <si>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</si>
  <si>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</si>
  <si>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</si>
  <si>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</si>
  <si>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</si>
  <si>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</si>
  <si>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</si>
  <si>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</si>
  <si>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</si>
  <si>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</si>
  <si>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</si>
  <si>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</si>
  <si>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</si>
  <si>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</si>
  <si>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</si>
  <si>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</si>
  <si>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</si>
  <si>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</si>
  <si>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</si>
  <si>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</si>
  <si>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</si>
  <si>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</si>
  <si>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</si>
  <si>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</si>
  <si>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</si>
  <si>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</si>
  <si>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</si>
  <si>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</si>
  <si>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</si>
  <si>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</si>
  <si>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</si>
  <si>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</si>
  <si>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</si>
  <si>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</si>
  <si>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</si>
  <si>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</si>
  <si>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</si>
  <si>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</si>
  <si>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</si>
  <si>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</si>
  <si>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</si>
  <si>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</si>
  <si>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</si>
  <si>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</si>
  <si>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</si>
  <si>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</si>
  <si>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</si>
  <si>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</si>
  <si>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</si>
  <si>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</si>
  <si>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</si>
  <si>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</si>
  <si>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</si>
  <si>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</si>
  <si>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</si>
  <si>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</si>
  <si>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</si>
  <si>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</si>
  <si>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</si>
  <si>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</si>
  <si>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</si>
  <si>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</si>
  <si>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</si>
  <si>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</si>
  <si>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</si>
  <si>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</si>
  <si>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</si>
  <si>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</si>
  <si>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</si>
  <si>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</si>
  <si>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</si>
  <si>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</si>
  <si>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</si>
  <si>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</si>
  <si>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</si>
  <si>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</si>
  <si>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</si>
  <si>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</si>
  <si>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</si>
  <si>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</si>
  <si>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</si>
  <si>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</si>
  <si>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</si>
  <si>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</si>
  <si>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</si>
  <si>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</si>
  <si>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</si>
  <si>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</si>
  <si>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</si>
  <si>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</si>
  <si>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</si>
  <si>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</si>
  <si>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</si>
  <si>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</si>
  <si>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</si>
  <si>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</si>
  <si>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</si>
  <si>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</si>
  <si>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</si>
  <si>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</si>
  <si>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</si>
  <si>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</si>
  <si>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</si>
  <si>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</si>
  <si>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</si>
  <si>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</si>
  <si>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</si>
  <si>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</si>
  <si>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</si>
  <si>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</si>
  <si>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</si>
  <si>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</si>
  <si>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</si>
  <si>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</si>
  <si>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</si>
  <si>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</si>
  <si>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</si>
  <si>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</si>
  <si>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</si>
  <si>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</si>
  <si>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</si>
  <si>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</si>
  <si>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</si>
  <si>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</si>
  <si>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</si>
  <si>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</si>
  <si>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</si>
  <si>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</si>
  <si>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</si>
  <si>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</si>
  <si>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</si>
  <si>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</si>
  <si>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</si>
  <si>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</si>
  <si>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</si>
  <si>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</si>
  <si>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</si>
  <si>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</si>
  <si>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</si>
  <si>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</si>
  <si>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</si>
  <si>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</si>
  <si>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</si>
  <si>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</si>
  <si>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</si>
  <si>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</si>
  <si>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</si>
  <si>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</si>
  <si>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</si>
  <si>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</si>
  <si>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</si>
  <si>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</si>
  <si>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</si>
  <si>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</si>
  <si>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</si>
  <si>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</si>
  <si>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</si>
  <si>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</si>
  <si>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</si>
  <si>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</si>
  <si>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</si>
  <si>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</si>
  <si>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</si>
  <si>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</si>
  <si>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</si>
  <si>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</si>
  <si>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</si>
  <si>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</si>
  <si>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</si>
  <si>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</si>
  <si>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</si>
  <si>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</si>
  <si>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</si>
  <si>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</si>
  <si>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</si>
  <si>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</si>
  <si>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</si>
  <si>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</si>
  <si>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</si>
  <si>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</si>
  <si>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</si>
  <si>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</si>
  <si>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</si>
  <si>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</si>
  <si>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</si>
  <si>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</si>
  <si>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</si>
  <si>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</si>
  <si>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</si>
  <si>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</si>
  <si>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</si>
  <si>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</si>
  <si>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</si>
  <si>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</si>
  <si>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</si>
  <si>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</si>
  <si>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</si>
  <si>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</si>
  <si>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</si>
  <si>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</si>
  <si>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</si>
  <si>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</si>
  <si>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</si>
  <si>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</si>
  <si>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</si>
  <si>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</si>
  <si>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</si>
  <si>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</si>
  <si>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</si>
  <si>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</si>
  <si>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</si>
  <si>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</si>
  <si>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</si>
  <si>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</si>
  <si>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</si>
  <si>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</si>
  <si>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</si>
  <si>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</si>
  <si>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</si>
  <si>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</si>
  <si>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</si>
  <si>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</si>
  <si>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</si>
  <si>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</si>
  <si>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</si>
  <si>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</si>
  <si>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</si>
  <si>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</si>
  <si>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</si>
  <si>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</si>
  <si>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</si>
  <si>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</si>
  <si>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</si>
  <si>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</si>
  <si>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</si>
  <si>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</si>
  <si>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</si>
  <si>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</si>
  <si>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</si>
  <si>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</si>
  <si>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</si>
  <si>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</si>
  <si>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</si>
  <si>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</si>
  <si>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</si>
  <si>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</si>
  <si>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</si>
  <si>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</si>
  <si>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</si>
  <si>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</si>
  <si>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</si>
  <si>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</si>
  <si>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</si>
  <si>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</si>
  <si>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</si>
  <si>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</si>
  <si>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</si>
  <si>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</si>
  <si>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</si>
  <si>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</si>
  <si>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</si>
  <si>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</si>
  <si>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</si>
  <si>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</si>
  <si>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</si>
  <si>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</si>
  <si>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</si>
  <si>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</si>
  <si>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</si>
  <si>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</si>
  <si>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</si>
  <si>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</si>
  <si>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</si>
  <si>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</si>
  <si>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</si>
  <si>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</si>
  <si>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</si>
  <si>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</si>
  <si>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</si>
  <si>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</si>
  <si>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</si>
  <si>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</si>
  <si>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</si>
  <si>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</si>
  <si>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</si>
  <si>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</si>
  <si>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</si>
  <si>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</si>
  <si>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</si>
  <si>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</si>
  <si>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</si>
  <si>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</si>
  <si>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</si>
  <si>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</si>
  <si>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</si>
  <si>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</si>
  <si>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</si>
  <si>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</si>
  <si>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</si>
  <si>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</si>
  <si>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</si>
  <si>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</si>
  <si>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</si>
  <si>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</si>
  <si>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</si>
  <si>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</si>
  <si>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</si>
  <si>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</si>
  <si>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</si>
  <si>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</si>
  <si>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</si>
  <si>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</si>
  <si>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</si>
  <si>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</si>
  <si>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</si>
  <si>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</si>
  <si>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</si>
  <si>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</si>
  <si>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</si>
  <si>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</si>
  <si>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</si>
  <si>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</si>
  <si>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</si>
  <si>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College Road</t>
  </si>
  <si>
    <t>Askari Departmental Store</t>
  </si>
  <si>
    <t>Shakoor</t>
  </si>
  <si>
    <t>Invoice No # :1214</t>
  </si>
  <si>
    <t xml:space="preserve">Address: Punjab Society </t>
  </si>
  <si>
    <t>NTN #: 6397883-8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</si>
</sst>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514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Askari Departmental Store</v>
      </c>
      <c r="T3" s="301">
        <f>+'1'!P35</f>
        <v>21135.84525559322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Askari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Askari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Askari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Askari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Askari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Askari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Askari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Askari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Askari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Askari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Askari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Askari Departmental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7</v>
      </c>
      <c r="H16" s="113">
        <f t="shared" ref="H16:M16" si="3">SUM(H7:H15)</f>
        <v>280</v>
      </c>
      <c r="I16" s="114">
        <f t="shared" si="3"/>
        <v>20339.199999999997</v>
      </c>
      <c r="J16" s="274">
        <f>SUM(J7:J15)</f>
        <v>2440.7039999999997</v>
      </c>
      <c r="K16" s="275">
        <f t="shared" si="3"/>
        <v>711.87200000000007</v>
      </c>
      <c r="L16" s="276">
        <f t="shared" si="3"/>
        <v>0</v>
      </c>
      <c r="M16" s="232">
        <f t="shared" si="3"/>
        <v>17186.624</v>
      </c>
      <c r="N16" s="233">
        <f>SUM(N7:N15)</f>
        <v>3844.0677966101698</v>
      </c>
      <c r="O16" s="101">
        <f>SUM(O7:O15)</f>
        <v>105.15345898305085</v>
      </c>
      <c r="P16" s="113">
        <f>SUM(P7:P15)</f>
        <v>21135.845255593224</v>
      </c>
      <c r="Q16" s="128">
        <f>SUM(Q7:Q15)</f>
        <v>0</v>
      </c>
      <c r="R16" s="313">
        <v>14</v>
      </c>
      <c r="S16" s="315" t="str">
        <f>+'14'!A6:A6</f>
        <v>Askari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Askari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Askari Departmental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20339.199999999997</v>
      </c>
      <c r="R19" s="299">
        <v>17</v>
      </c>
      <c r="S19" s="300" t="str">
        <f>+'17'!A6:A6</f>
        <v>Askari Departmental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2440.7039999999997</v>
      </c>
      <c r="R20" s="299">
        <v>18</v>
      </c>
      <c r="S20" s="300" t="str">
        <f>+'18'!A6:A6</f>
        <v>Askari Departmental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711.87200000000007</v>
      </c>
      <c r="R21" s="299">
        <v>19</v>
      </c>
      <c r="S21" s="300" t="str">
        <f>+'19'!A6:A6</f>
        <v>Askari Departmental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17186.624</v>
      </c>
      <c r="R22" s="299">
        <v>20</v>
      </c>
      <c r="S22" s="300" t="str">
        <f>+'20'!A6:A6</f>
        <v>Askari Departmental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3844.0677966101698</v>
      </c>
      <c r="R23" s="299">
        <v>21</v>
      </c>
      <c r="S23" s="300" t="str">
        <f>+'21'!A6:A6</f>
        <v>Askari Departmental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21030.691796610168</v>
      </c>
      <c r="R24" s="299">
        <v>22</v>
      </c>
      <c r="S24" s="300" t="str">
        <f>+'22'!A6:A6</f>
        <v>Askari Departmental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105.15345898305085</v>
      </c>
      <c r="R25" s="299">
        <v>23</v>
      </c>
      <c r="S25" s="300" t="str">
        <f>+'23'!A6:A6</f>
        <v>Askari Departmental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21135.84525559322</v>
      </c>
      <c r="R26" s="299">
        <v>24</v>
      </c>
      <c r="S26" s="300" t="str">
        <f>+'24'!A6:A6</f>
        <v>Askari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Askari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Askari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Askari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Askari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Askari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Askari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21135.84525559322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J9" sqref="J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5429687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119">
        <f t="shared" si="5"/>
        <v>9058.2193952542384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20339.199999999997</v>
      </c>
      <c r="J25" s="274">
        <f>SUM(J16:J24)</f>
        <v>2440.7039999999997</v>
      </c>
      <c r="K25" s="275">
        <f t="shared" si="10"/>
        <v>711.87200000000007</v>
      </c>
      <c r="L25" s="276">
        <f t="shared" si="10"/>
        <v>0</v>
      </c>
      <c r="M25" s="232">
        <f t="shared" si="10"/>
        <v>17186.624</v>
      </c>
      <c r="N25" s="233">
        <f>SUM(N16:N24)</f>
        <v>3844.0677966101698</v>
      </c>
      <c r="O25" s="101">
        <f>SUM(O16:O24)</f>
        <v>105.15345898305085</v>
      </c>
      <c r="P25" s="234">
        <f>SUM(P16:P24)</f>
        <v>21135.845255593224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20339.199999999997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2440.7039999999997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711.87200000000007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17186.624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3844.0677966101698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21030.691796610168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105.15345898305084</v>
      </c>
    </row>
    <row r="35" spans="2:16" ht="15.75" customHeight="1" thickBot="1" x14ac:dyDescent="0.4">
      <c r="N35" s="346" t="s">
        <v>88</v>
      </c>
      <c r="O35" s="347"/>
      <c r="P35" s="297">
        <f>+P33+P34</f>
        <v>21135.84525559322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46315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46314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2026-10-19T09:28:59Z</dcterms:modified>
</cp:coreProperties>
</file>