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4E13417-E1EA-4277-92D2-34407D3E9A5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0" i="48"/>
  <c r="O20" i="48" s="1"/>
  <c r="P20" i="48" s="1"/>
  <c r="J7" i="62"/>
  <c r="M16" i="48"/>
  <c r="O16" i="48" s="1"/>
  <c r="P16" i="48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<sst xmlns="http://schemas.openxmlformats.org/spreadsheetml/2006/main" count="3948" uniqueCount="523">
  <si>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</si>
  <si>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</si>
  <si>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</si>
  <si>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</si>
  <si>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</si>
  <si>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</si>
  <si>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</si>
  <si>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</si>
  <si>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</si>
  <si>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</si>
  <si>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</si>
  <si>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</si>
  <si>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</si>
  <si>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</si>
  <si>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</si>
  <si>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</si>
  <si>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</si>
  <si>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</si>
  <si>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</si>
  <si>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</si>
  <si>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</si>
  <si>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</si>
  <si>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</si>
  <si>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</si>
  <si>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</si>
  <si>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</si>
  <si>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</si>
  <si>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</si>
  <si>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</si>
  <si>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</si>
  <si>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</si>
  <si>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</si>
  <si>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</si>
  <si>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</si>
  <si>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</si>
  <si>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</si>
  <si>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</si>
  <si>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</si>
  <si>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</si>
  <si>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</si>
  <si>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</si>
  <si>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</si>
  <si>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</si>
  <si>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</si>
  <si>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</si>
  <si>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</si>
  <si>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</si>
  <si>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</si>
  <si>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</si>
  <si>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</si>
  <si>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</si>
  <si>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</si>
  <si>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</si>
  <si>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</si>
  <si>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</si>
  <si>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</si>
  <si>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</si>
  <si>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</si>
  <si>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</si>
  <si>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</si>
  <si>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</si>
  <si>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</si>
  <si>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</si>
  <si>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</si>
  <si>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</si>
  <si>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</si>
  <si>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</si>
  <si>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</si>
  <si>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</si>
  <si>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</si>
  <si>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</si>
  <si>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</si>
  <si>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</si>
  <si>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</si>
  <si>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</si>
  <si>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</si>
  <si>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</si>
  <si>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</si>
  <si>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</si>
  <si>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</si>
  <si>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</si>
  <si>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</si>
  <si>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</si>
  <si>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</si>
  <si>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</si>
  <si>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</si>
  <si>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</si>
  <si>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</si>
  <si>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</si>
  <si>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</si>
  <si>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</si>
  <si>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</si>
  <si>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</si>
  <si>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</si>
  <si>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</si>
  <si>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</si>
  <si>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</si>
  <si>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</si>
  <si>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</si>
  <si>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</si>
  <si>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</si>
  <si>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</si>
  <si>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</si>
  <si>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</si>
  <si>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</si>
  <si>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</si>
  <si>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</si>
  <si>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</si>
  <si>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</si>
  <si>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</si>
  <si>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</si>
  <si>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</si>
  <si>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</si>
  <si>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</si>
  <si>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</si>
  <si>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</si>
  <si>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</si>
  <si>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</si>
  <si>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</si>
  <si>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</si>
  <si>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</si>
  <si>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</si>
  <si>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</si>
  <si>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</si>
  <si>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</si>
  <si>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</si>
  <si>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</si>
  <si>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</si>
  <si>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</si>
  <si>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</si>
  <si>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</si>
  <si>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</si>
  <si>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</si>
  <si>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</si>
  <si>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</si>
  <si>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</si>
  <si>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</si>
  <si>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</si>
  <si>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</si>
  <si>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</si>
  <si>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</si>
  <si>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</si>
  <si>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</si>
  <si>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</si>
  <si>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</si>
  <si>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</si>
  <si>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</si>
  <si>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</si>
  <si>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</si>
  <si>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</si>
  <si>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</si>
  <si>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</si>
  <si>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</si>
  <si>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</si>
  <si>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</si>
  <si>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</si>
  <si>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</si>
  <si>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</si>
  <si>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</si>
  <si>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</si>
  <si>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</si>
  <si>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</si>
  <si>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</si>
  <si>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</si>
  <si>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</si>
  <si>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</si>
  <si>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</si>
  <si>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</si>
  <si>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</si>
  <si>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</si>
  <si>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</si>
  <si>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</si>
  <si>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</si>
  <si>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</si>
  <si>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</si>
  <si>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</si>
  <si>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</si>
  <si>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</si>
  <si>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</si>
  <si>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</si>
  <si>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</si>
  <si>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</si>
  <si>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</si>
  <si>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</si>
  <si>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</si>
  <si>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</si>
  <si>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</si>
  <si>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</si>
  <si>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</si>
  <si>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</si>
  <si>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</si>
  <si>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</si>
  <si>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</si>
  <si>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</si>
  <si>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</si>
  <si>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</si>
  <si>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</si>
  <si>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</si>
  <si>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</si>
  <si>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</si>
  <si>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</si>
  <si>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</si>
  <si>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</si>
  <si>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</si>
  <si>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</si>
  <si>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</si>
  <si>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</si>
  <si>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</si>
  <si>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</si>
  <si>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</si>
  <si>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</si>
  <si>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</si>
  <si>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</si>
  <si>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</si>
  <si>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</si>
  <si>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</si>
  <si>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</si>
  <si>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</si>
  <si>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</si>
  <si>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</si>
  <si>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</si>
  <si>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</si>
  <si>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</si>
  <si>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</si>
  <si>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</si>
  <si>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</si>
  <si>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</si>
  <si>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</si>
  <si>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</si>
  <si>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</si>
  <si>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</si>
  <si>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</si>
  <si>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</si>
  <si>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</si>
  <si>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</si>
  <si>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</si>
  <si>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</si>
  <si>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</si>
  <si>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</si>
  <si>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</si>
  <si>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</si>
  <si>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</si>
  <si>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</si>
  <si>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</si>
  <si>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</si>
  <si>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</si>
  <si>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</si>
  <si>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</si>
  <si>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</si>
  <si>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</si>
  <si>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</si>
  <si>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</si>
  <si>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</si>
  <si>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</si>
  <si>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</si>
  <si>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</si>
  <si>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</si>
  <si>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</si>
  <si>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</si>
  <si>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</si>
  <si>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</si>
  <si>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</si>
  <si>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</si>
  <si>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</si>
  <si>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</si>
  <si>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</si>
  <si>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</si>
  <si>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</si>
  <si>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</si>
  <si>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</si>
  <si>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</si>
  <si>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</si>
  <si>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</si>
  <si>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</si>
  <si>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</si>
  <si>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</si>
  <si>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</si>
  <si>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</si>
  <si>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</si>
  <si>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</si>
  <si>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</si>
  <si>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</si>
  <si>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</si>
  <si>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</si>
  <si>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</si>
  <si>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</si>
  <si>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</si>
  <si>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</si>
  <si>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</si>
  <si>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</si>
  <si>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</si>
  <si>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</si>
  <si>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</si>
  <si>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</si>
  <si>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</si>
  <si>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</si>
  <si>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</si>
  <si>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</si>
  <si>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</si>
  <si>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</si>
  <si>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</si>
  <si>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</si>
  <si>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</si>
  <si>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</si>
  <si>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</si>
  <si>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</si>
  <si>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</si>
  <si>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</si>
  <si>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</si>
  <si>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</si>
  <si>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</si>
  <si>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</si>
  <si>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</si>
  <si>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</si>
  <si>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</si>
  <si>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</si>
  <si>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</si>
  <si>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</si>
  <si>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</si>
  <si>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</si>
  <si>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</si>
  <si>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</si>
  <si>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</si>
  <si>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</si>
  <si>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</si>
  <si>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</si>
  <si>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</si>
  <si>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</si>
  <si>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</si>
  <si>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</si>
  <si>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</si>
  <si>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</si>
  <si>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</si>
  <si>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</si>
  <si>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</si>
  <si>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</si>
  <si>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</si>
  <si>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</si>
  <si>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</si>
  <si>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</si>
  <si>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</si>
  <si>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</si>
  <si>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</si>
  <si>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</si>
  <si>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</si>
  <si>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</si>
  <si>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</si>
  <si>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</si>
  <si>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</si>
  <si>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</si>
  <si>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</si>
  <si>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</si>
  <si>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</si>
  <si>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</si>
  <si>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</si>
  <si>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</si>
  <si>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</si>
  <si>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</si>
  <si>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</si>
  <si>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</si>
  <si>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</si>
  <si>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</si>
  <si>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</si>
  <si>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</si>
  <si>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</si>
  <si>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</si>
  <si>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</si>
  <si>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</si>
  <si>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</si>
  <si>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</si>
  <si>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</si>
  <si>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</si>
  <si>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</si>
  <si>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</si>
  <si>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</si>
  <si>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</si>
  <si>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</si>
  <si>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</si>
  <si>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</si>
  <si>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</si>
  <si>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</si>
  <si>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</si>
  <si>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</si>
  <si>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</si>
  <si>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</si>
  <si>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</si>
  <si>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</si>
  <si>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</si>
  <si>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</si>
  <si>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</si>
  <si>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</si>
  <si>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</si>
  <si>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</si>
  <si>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</si>
  <si>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</si>
  <si>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</si>
  <si>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</si>
  <si>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</si>
  <si>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</si>
  <si>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</si>
  <si>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</si>
  <si>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</si>
  <si>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</si>
  <si>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</si>
  <si>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</si>
  <si>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</si>
  <si>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</si>
  <si>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</si>
  <si>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</si>
  <si>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</si>
  <si>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</si>
  <si>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</si>
  <si>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</si>
  <si>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</si>
  <si>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</si>
  <si>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</si>
  <si>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</si>
  <si>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</si>
  <si>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</si>
  <si>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</si>
  <si>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</si>
  <si>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</si>
  <si>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</si>
  <si>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</si>
  <si>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</si>
  <si>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</si>
  <si>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</si>
  <si>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</si>
  <si>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</si>
  <si>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</si>
  <si>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</si>
  <si>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</si>
  <si>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</si>
  <si>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</si>
  <si>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</si>
  <si>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</si>
  <si>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</si>
  <si>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</si>
  <si>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</si>
  <si>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</si>
  <si>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</si>
  <si>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</si>
  <si>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</si>
  <si>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</si>
  <si>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</si>
  <si>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</si>
  <si>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</si>
  <si>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</si>
  <si>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</si>
  <si>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</si>
  <si>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</si>
  <si>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</si>
  <si>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</si>
  <si>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</si>
  <si>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</si>
  <si>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</si>
  <si>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</si>
  <si>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</si>
  <si>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</si>
  <si>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</si>
  <si>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</si>
  <si>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</si>
  <si>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</si>
  <si>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</si>
  <si>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</si>
  <si>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</si>
  <si>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</si>
  <si>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</si>
  <si>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</si>
  <si>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</si>
  <si>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</si>
  <si>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</si>
  <si>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</si>
  <si>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</si>
  <si>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</si>
  <si>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</si>
  <si>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</si>
  <si>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</si>
  <si>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</si>
  <si>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</si>
  <si>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</si>
  <si>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</si>
  <si>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</si>
  <si>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</si>
  <si>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</si>
  <si>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</si>
  <si>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</si>
  <si>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</si>
  <si>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</si>
  <si>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</si>
  <si>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</si>
  <si>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</si>
  <si>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</si>
  <si>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</si>
  <si>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</si>
  <si>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</si>
  <si>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</si>
  <si>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</si>
  <si>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</si>
  <si>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</si>
  <si>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</si>
  <si>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</si>
  <si>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</si>
  <si>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</si>
  <si>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</si>
  <si>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</si>
  <si>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</si>
  <si>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</si>
  <si>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</si>
  <si>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</si>
  <si>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</si>
  <si>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</si>
  <si>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</si>
  <si>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</si>
  <si>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</si>
  <si>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Aashiyana road</t>
  </si>
  <si>
    <t xml:space="preserve">Ghosia Bakery </t>
  </si>
  <si>
    <t xml:space="preserve">Bros Mart </t>
  </si>
  <si>
    <t xml:space="preserve">Nazeer Bakery </t>
  </si>
  <si>
    <t>Shahtaj Super Store</t>
  </si>
  <si>
    <t xml:space="preserve">Maher G </t>
  </si>
  <si>
    <t>Eman Store</t>
  </si>
  <si>
    <t>Haq Bahu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</si>
</sst>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Ghosia Bakery </v>
      </c>
      <c r="T3" s="301">
        <f>+'1'!P35</f>
        <v>4530.103165677966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Bros Mart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Nazeer Bakery 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Shahtaj Super Store</v>
      </c>
      <c r="T6" s="301">
        <f>+'4'!P35</f>
        <v>1019.2732122775423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42</v>
      </c>
      <c r="I7" s="235">
        <f>(G7*D7)*F7+H7*F7</f>
        <v>2203.4249999999997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176.274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77.119875000000008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1950.0311249999997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416.44067796610148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11.832359014830509</v>
      </c>
      <c r="P7" s="310">
        <f>M7+N7+O7</f>
        <v>2378.3041619809319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3">
        <v>5</v>
      </c>
      <c r="S7" s="300" t="str">
        <f>+'5'!A6:A6</f>
        <v xml:space="preserve">Maher G </v>
      </c>
      <c r="T7" s="301">
        <f>+'5'!P35</f>
        <v>574.97360630720334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43</v>
      </c>
      <c r="I8" s="236">
        <f t="shared" ref="I8:I14" si="0">(G8*D8)*F8+H8*F8</f>
        <v>2255.8874999999998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180.47099999999998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78.956062500000002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1996.4604374999999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426.35593220338961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12.11408184851695</v>
      </c>
      <c r="P8" s="311">
        <f t="shared" ref="P8:P15" si="2">M8+N8+O8</f>
        <v>2434.9304515519066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Eman Store</v>
      </c>
      <c r="T8" s="301">
        <f>+'6'!P35</f>
        <v>958.28934384533898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65</v>
      </c>
      <c r="I9" s="236">
        <f t="shared" si="0"/>
        <v>3410.0625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272.80499999999995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119.35218749999999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3017.9053125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644.49152542372849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18.311984189618641</v>
      </c>
      <c r="P9" s="311">
        <f t="shared" si="2"/>
        <v>3680.7088221133472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>Haq Bahu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</v>
      </c>
      <c r="I10" s="236">
        <f t="shared" si="0"/>
        <v>363.2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29.056000000000001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12.712000000000002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321.43200000000002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68.644067796610173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1.950380338983051</v>
      </c>
      <c r="P10" s="311">
        <f t="shared" si="2"/>
        <v>392.02644813559323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</v>
      </c>
      <c r="I12" s="236">
        <f t="shared" si="0"/>
        <v>217.92000000000002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17.433600000000002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7.6272000000000011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192.85920000000002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41.186440677966104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1.1702282033898306</v>
      </c>
      <c r="P12" s="311">
        <f t="shared" si="2"/>
        <v>235.21586888135593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3.95</v>
      </c>
      <c r="H16" s="113">
        <f t="shared" ref="H16:M16" si="3">SUM(H7:H15)</f>
        <v>158</v>
      </c>
      <c r="I16" s="114">
        <f t="shared" si="3"/>
        <v>8450.4950000000008</v>
      </c>
      <c r="J16" s="274">
        <f>SUM(J7:J15)</f>
        <v>676.03959999999995</v>
      </c>
      <c r="K16" s="275">
        <f t="shared" si="3"/>
        <v>295.76732500000003</v>
      </c>
      <c r="L16" s="276">
        <f t="shared" si="3"/>
        <v>0</v>
      </c>
      <c r="M16" s="232">
        <f t="shared" si="3"/>
        <v>7478.6880749999991</v>
      </c>
      <c r="N16" s="233">
        <f>SUM(N7:N15)</f>
        <v>1597.1186440677959</v>
      </c>
      <c r="O16" s="101">
        <f>SUM(O7:O15)</f>
        <v>45.379033595338989</v>
      </c>
      <c r="P16" s="113">
        <f>SUM(P7:P15)</f>
        <v>9121.1857526631356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8450.4950000000008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676.03959999999995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295.76732500000003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7478.6880750000009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1597.1186440677959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9075.8067190677975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45.379033595338989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9121.1857526631356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9121.1857526631338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118">
        <f>M16+N16+O16</f>
        <v>1415.6572392743644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ref="I18:I21" si="7">(G18*D18)*F18+H18*F18</f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4197</v>
      </c>
      <c r="J25" s="274">
        <f>SUM(J16:J24)</f>
        <v>335.76</v>
      </c>
      <c r="K25" s="275">
        <f t="shared" si="10"/>
        <v>146.89500000000001</v>
      </c>
      <c r="L25" s="276">
        <f t="shared" si="10"/>
        <v>0</v>
      </c>
      <c r="M25" s="232">
        <f t="shared" si="10"/>
        <v>3714.3449999999998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4197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335.76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146.89500000000001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3714.3449999999998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4507.5653389830504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45" t="s">
        <v>88</v>
      </c>
      <c r="O35" s="346"/>
      <c r="P35" s="297">
        <f>+P33+P34</f>
        <v>4530.103165677966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532.69499999999994</v>
      </c>
      <c r="J25" s="274">
        <f>SUM(J16:J24)</f>
        <v>42.615600000000001</v>
      </c>
      <c r="K25" s="275">
        <f t="shared" si="7"/>
        <v>18.644325000000002</v>
      </c>
      <c r="L25" s="276">
        <f t="shared" si="7"/>
        <v>0</v>
      </c>
      <c r="M25" s="232">
        <f t="shared" si="7"/>
        <v>471.43507499999998</v>
      </c>
      <c r="N25" s="233">
        <f>SUM(N16:N24)</f>
        <v>100.67796610169489</v>
      </c>
      <c r="O25" s="101">
        <f>SUM(O16:O24)</f>
        <v>2.8605652055084745</v>
      </c>
      <c r="P25" s="234">
        <f>SUM(P16:P24)</f>
        <v>574.97360630720334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532.69499999999994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42.615600000000001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18.644325000000002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471.43507499999998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100.67796610169489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572.11304110169488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2.8605652055084745</v>
      </c>
    </row>
    <row r="35" spans="2:16" ht="15.75" customHeight="1" thickBot="1" x14ac:dyDescent="0.4">
      <c r="N35" s="345" t="s">
        <v>88</v>
      </c>
      <c r="O35" s="346"/>
      <c r="P35" s="297">
        <f>+P33+P34</f>
        <v>574.97360630720334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887.82500000000005</v>
      </c>
      <c r="J25" s="274">
        <f>SUM(J16:J24)</f>
        <v>71.025999999999996</v>
      </c>
      <c r="K25" s="275">
        <f t="shared" si="7"/>
        <v>31.073875000000001</v>
      </c>
      <c r="L25" s="276">
        <f t="shared" si="7"/>
        <v>0</v>
      </c>
      <c r="M25" s="232">
        <f t="shared" si="7"/>
        <v>785.72512500000005</v>
      </c>
      <c r="N25" s="233">
        <f>SUM(N16:N24)</f>
        <v>167.79661016949149</v>
      </c>
      <c r="O25" s="101">
        <f>SUM(O16:O24)</f>
        <v>4.7676086758474572</v>
      </c>
      <c r="P25" s="234">
        <f>SUM(P16:P24)</f>
        <v>958.28934384533898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887.82500000000005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71.025999999999996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31.073875000000001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785.72512500000005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167.79661016949149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953.52173516949154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4.7676086758474581</v>
      </c>
    </row>
    <row r="35" spans="2:16" ht="15.75" customHeight="1" thickBot="1" x14ac:dyDescent="0.4">
      <c r="N35" s="345" t="s">
        <v>88</v>
      </c>
      <c r="O35" s="346"/>
      <c r="P35" s="297">
        <f>+P33+P34</f>
        <v>958.28934384533898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2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2026-10-19T10:58:38Z</dcterms:modified>
</cp:coreProperties>
</file>