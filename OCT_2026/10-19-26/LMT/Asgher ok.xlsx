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35CA3D9-E852-4528-BF07-824BB415BD6D}" xr6:coauthVersionLast="47" xr6:coauthVersionMax="47" xr10:uidLastSave="{00000000-0000-0000-0000-000000000000}"/>
  <bookViews>
    <workbookView xWindow="-110" yWindow="-110" windowWidth="19420" windowHeight="10420" tabRatio="594" firstSheet="3" activeTab="9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3" i="62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R20" i="48" s="1"/>
  <c r="M16" i="48"/>
  <c r="M16" i="43"/>
  <c r="M22" i="43"/>
  <c r="O22" i="43" s="1"/>
  <c r="P22" i="43" s="1"/>
  <c r="M20" i="43"/>
  <c r="O20" i="43" s="1"/>
  <c r="P20" i="43" s="1"/>
  <c r="M21" i="43"/>
  <c r="O21" i="43" s="1"/>
  <c r="P21" i="43" s="1"/>
  <c r="M23" i="44"/>
  <c r="O23" i="44" s="1"/>
  <c r="P23" i="44" s="1"/>
  <c r="M20" i="47"/>
  <c r="O20" i="47" s="1"/>
  <c r="P20" i="47" s="1"/>
  <c r="M21" i="47"/>
  <c r="O21" i="47" s="1"/>
  <c r="P21" i="47" s="1"/>
  <c r="J7" i="62"/>
  <c r="M21" i="44"/>
  <c r="O21" i="44" s="1"/>
  <c r="P21" i="44" s="1"/>
  <c r="M17" i="44"/>
  <c r="O17" i="44" s="1"/>
  <c r="P17" i="44" s="1"/>
  <c r="M16" i="44"/>
  <c r="O16" i="44" s="1"/>
  <c r="K12" i="62"/>
  <c r="M17" i="60"/>
  <c r="O17" i="60" s="1"/>
  <c r="P17" i="60" s="1"/>
  <c r="M16" i="66"/>
  <c r="M20" i="46"/>
  <c r="O20" i="46" s="1"/>
  <c r="P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<sst xmlns="http://schemas.openxmlformats.org/spreadsheetml/2006/main" count="3976" uniqueCount="532">
  <si>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</si>
  <si>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</si>
  <si>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</si>
  <si>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</si>
  <si>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</si>
  <si>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</si>
  <si>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</si>
  <si>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</si>
  <si>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</si>
  <si>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</si>
  <si>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</si>
  <si>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</si>
  <si>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</si>
  <si>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</si>
  <si>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</si>
  <si>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</si>
  <si>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</si>
  <si>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</si>
  <si>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</si>
  <si>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</si>
  <si>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</si>
  <si>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</si>
  <si>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</si>
  <si>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</si>
  <si>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</si>
  <si>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</si>
  <si>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</si>
  <si>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</si>
  <si>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</si>
  <si>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</si>
  <si>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</si>
  <si>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</si>
  <si>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</si>
  <si>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</si>
  <si>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</si>
  <si>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</si>
  <si>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</si>
  <si>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</si>
  <si>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</si>
  <si>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</si>
  <si>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</si>
  <si>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</si>
  <si>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</si>
  <si>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</si>
  <si>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</si>
  <si>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</si>
  <si>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</si>
  <si>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</si>
  <si>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</si>
  <si>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</si>
  <si>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</si>
  <si>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</si>
  <si>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</si>
  <si>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</si>
  <si>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</si>
  <si>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</si>
  <si>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</si>
  <si>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</si>
  <si>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</si>
  <si>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</si>
  <si>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</si>
  <si>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</si>
  <si>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</si>
  <si>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</si>
  <si>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</si>
  <si>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</si>
  <si>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</si>
  <si>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</si>
  <si>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</si>
  <si>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</si>
  <si>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</si>
  <si>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</si>
  <si>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</si>
  <si>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</si>
  <si>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</si>
  <si>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</si>
  <si>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</si>
  <si>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</si>
  <si>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</si>
  <si>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</si>
  <si>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</si>
  <si>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</si>
  <si>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</si>
  <si>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</si>
  <si>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</si>
  <si>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</si>
  <si>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</si>
  <si>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</si>
  <si>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</si>
  <si>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</si>
  <si>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</si>
  <si>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</si>
  <si>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</si>
  <si>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</si>
  <si>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</si>
  <si>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</si>
  <si>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</si>
  <si>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</si>
  <si>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</si>
  <si>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</si>
  <si>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</si>
  <si>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</si>
  <si>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</si>
  <si>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</si>
  <si>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</si>
  <si>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</si>
  <si>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</si>
  <si>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</si>
  <si>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</si>
  <si>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</si>
  <si>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</si>
  <si>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</si>
  <si>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</si>
  <si>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</si>
  <si>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</si>
  <si>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</si>
  <si>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</si>
  <si>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</si>
  <si>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</si>
  <si>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</si>
  <si>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</si>
  <si>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</si>
  <si>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</si>
  <si>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</si>
  <si>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</si>
  <si>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</si>
  <si>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</si>
  <si>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</si>
  <si>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</si>
  <si>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</si>
  <si>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</si>
  <si>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</si>
  <si>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</si>
  <si>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</si>
  <si>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</si>
  <si>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</si>
  <si>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</si>
  <si>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</si>
  <si>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</si>
  <si>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</si>
  <si>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</si>
  <si>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</si>
  <si>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</si>
  <si>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</si>
  <si>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</si>
  <si>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</si>
  <si>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</si>
  <si>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</si>
  <si>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</si>
  <si>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</si>
  <si>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</si>
  <si>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</si>
  <si>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</si>
  <si>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</si>
  <si>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</si>
  <si>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</si>
  <si>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</si>
  <si>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</si>
  <si>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</si>
  <si>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</si>
  <si>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</si>
  <si>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</si>
  <si>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</si>
  <si>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</si>
  <si>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</si>
  <si>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</si>
  <si>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</si>
  <si>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</si>
  <si>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</si>
  <si>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</si>
  <si>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</si>
  <si>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</si>
  <si>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</si>
  <si>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</si>
  <si>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</si>
  <si>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</si>
  <si>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</si>
  <si>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</si>
  <si>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</si>
  <si>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</si>
  <si>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</si>
  <si>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</si>
  <si>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</si>
  <si>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</si>
  <si>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</si>
  <si>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</si>
  <si>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</si>
  <si>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</si>
  <si>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</si>
  <si>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</si>
  <si>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</si>
  <si>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</si>
  <si>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</si>
  <si>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</si>
  <si>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</si>
  <si>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</si>
  <si>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</si>
  <si>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</si>
  <si>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</si>
  <si>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</si>
  <si>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</si>
  <si>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</si>
  <si>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</si>
  <si>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</si>
  <si>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</si>
  <si>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</si>
  <si>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</si>
  <si>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</si>
  <si>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</si>
  <si>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</si>
  <si>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</si>
  <si>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</si>
  <si>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</si>
  <si>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</si>
  <si>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</si>
  <si>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</si>
  <si>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</si>
  <si>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</si>
  <si>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</si>
  <si>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</si>
  <si>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</si>
  <si>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</si>
  <si>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</si>
  <si>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</si>
  <si>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</si>
  <si>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</si>
  <si>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</si>
  <si>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</si>
  <si>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</si>
  <si>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</si>
  <si>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</si>
  <si>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</si>
  <si>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</si>
  <si>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</si>
  <si>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</si>
  <si>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</si>
  <si>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</si>
  <si>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</si>
  <si>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</si>
  <si>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</si>
  <si>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</si>
  <si>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</si>
  <si>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</si>
  <si>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</si>
  <si>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</si>
  <si>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</si>
  <si>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</si>
  <si>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</si>
  <si>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</si>
  <si>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</si>
  <si>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</si>
  <si>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</si>
  <si>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</si>
  <si>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</si>
  <si>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</si>
  <si>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</si>
  <si>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</si>
  <si>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</si>
  <si>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</si>
  <si>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</si>
  <si>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</si>
  <si>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</si>
  <si>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</si>
  <si>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</si>
  <si>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</si>
  <si>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</si>
  <si>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</si>
  <si>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</si>
  <si>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</si>
  <si>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</si>
  <si>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</si>
  <si>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</si>
  <si>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</si>
  <si>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</si>
  <si>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</si>
  <si>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</si>
  <si>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</si>
  <si>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</si>
  <si>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</si>
  <si>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</si>
  <si>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</si>
  <si>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</si>
  <si>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</si>
  <si>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</si>
  <si>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</si>
  <si>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</si>
  <si>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</si>
  <si>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</si>
  <si>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</si>
  <si>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</si>
  <si>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</si>
  <si>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</si>
  <si>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</si>
  <si>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</si>
  <si>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</si>
  <si>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</si>
  <si>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</si>
  <si>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</si>
  <si>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</si>
  <si>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</si>
  <si>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</si>
  <si>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</si>
  <si>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</si>
  <si>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</si>
  <si>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</si>
  <si>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</si>
  <si>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</si>
  <si>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</si>
  <si>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</si>
  <si>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</si>
  <si>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</si>
  <si>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</si>
  <si>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</si>
  <si>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</si>
  <si>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</si>
  <si>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</si>
  <si>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</si>
  <si>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</si>
  <si>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</si>
  <si>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</si>
  <si>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</si>
  <si>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</si>
  <si>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</si>
  <si>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</si>
  <si>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</si>
  <si>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</si>
  <si>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</si>
  <si>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</si>
  <si>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</si>
  <si>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</si>
  <si>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</si>
  <si>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</si>
  <si>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</si>
  <si>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</si>
  <si>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</si>
  <si>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</si>
  <si>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</si>
  <si>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</si>
  <si>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</si>
  <si>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</si>
  <si>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</si>
  <si>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</si>
  <si>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</si>
  <si>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</si>
  <si>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</si>
  <si>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</si>
  <si>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</si>
  <si>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</si>
  <si>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</si>
  <si>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</si>
  <si>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</si>
  <si>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</si>
  <si>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</si>
  <si>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</si>
  <si>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</si>
  <si>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</si>
  <si>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</si>
  <si>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</si>
  <si>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</si>
  <si>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</si>
  <si>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</si>
  <si>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</si>
  <si>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</si>
  <si>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</si>
  <si>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</si>
  <si>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</si>
  <si>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</si>
  <si>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</si>
  <si>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</si>
  <si>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</si>
  <si>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</si>
  <si>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</si>
  <si>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</si>
  <si>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</si>
  <si>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</si>
  <si>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</si>
  <si>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</si>
  <si>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</si>
  <si>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</si>
  <si>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</si>
  <si>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</si>
  <si>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</si>
  <si>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</si>
  <si>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</si>
  <si>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</si>
  <si>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</si>
  <si>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</si>
  <si>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</si>
  <si>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</si>
  <si>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</si>
  <si>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</si>
  <si>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</si>
  <si>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</si>
  <si>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</si>
  <si>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</si>
  <si>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</si>
  <si>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</si>
  <si>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</si>
  <si>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</si>
  <si>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</si>
  <si>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</si>
  <si>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</si>
  <si>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</si>
  <si>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</si>
  <si>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</si>
  <si>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</si>
  <si>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</si>
  <si>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</si>
  <si>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</si>
  <si>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</si>
  <si>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</si>
  <si>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</si>
  <si>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</si>
  <si>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</si>
  <si>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</si>
  <si>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</si>
  <si>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</si>
  <si>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</si>
  <si>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</si>
  <si>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</si>
  <si>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</si>
  <si>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</si>
  <si>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</si>
  <si>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</si>
  <si>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</si>
  <si>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</si>
  <si>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</si>
  <si>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</si>
  <si>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</si>
  <si>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</si>
  <si>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</si>
  <si>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</si>
  <si>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</si>
  <si>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</si>
  <si>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</si>
  <si>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</si>
  <si>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</si>
  <si>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</si>
  <si>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</si>
  <si>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</si>
  <si>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</si>
  <si>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</si>
  <si>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</si>
  <si>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</si>
  <si>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</si>
  <si>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</si>
  <si>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</si>
  <si>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</si>
  <si>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</si>
  <si>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</si>
  <si>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</si>
  <si>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</si>
  <si>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</si>
  <si>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</si>
  <si>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</si>
  <si>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</si>
  <si>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</si>
  <si>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</si>
  <si>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</si>
  <si>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</si>
  <si>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</si>
  <si>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</si>
  <si>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</si>
  <si>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</si>
  <si>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</si>
  <si>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</si>
  <si>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</si>
  <si>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</si>
  <si>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</si>
  <si>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</si>
  <si>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</si>
  <si>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</si>
  <si>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</si>
  <si>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</si>
  <si>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</si>
  <si>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</si>
  <si>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</si>
  <si>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</si>
  <si>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</si>
  <si>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</si>
  <si>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</si>
  <si>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</si>
  <si>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</si>
  <si>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</si>
  <si>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</si>
  <si>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</si>
  <si>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</si>
  <si>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</si>
  <si>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</si>
  <si>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</si>
  <si>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</si>
  <si>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</si>
  <si>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</si>
  <si>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</si>
  <si>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</si>
  <si>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</si>
  <si>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</si>
  <si>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</si>
  <si>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</si>
  <si>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</si>
  <si>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</si>
  <si>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</si>
  <si>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</si>
  <si>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</si>
  <si>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</si>
  <si>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</si>
  <si>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</si>
  <si>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</si>
  <si>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</si>
  <si>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</si>
  <si>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</si>
  <si>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</si>
  <si>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</si>
  <si>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</si>
  <si>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</si>
  <si>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</si>
  <si>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</si>
  <si>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</si>
  <si>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 xml:space="preserve">Address: Airport </t>
  </si>
  <si>
    <t>Euro Store</t>
  </si>
  <si>
    <t xml:space="preserve">Address:Rangers </t>
  </si>
  <si>
    <t>Address:GT Road</t>
  </si>
  <si>
    <t>NTN #:1218925-1</t>
  </si>
  <si>
    <t>NTN #: 5420873-2</t>
  </si>
  <si>
    <t>NTN #: 6273197-8</t>
  </si>
  <si>
    <t>NTN #: 2157875-3</t>
  </si>
  <si>
    <t>Invoice No # :00000</t>
  </si>
  <si>
    <t>Address:Fateh Garh</t>
  </si>
  <si>
    <t>EURO Store Hypermarket</t>
  </si>
  <si>
    <t>NTN #: 4890950-8</t>
  </si>
  <si>
    <t>Address: Riwind Road</t>
  </si>
  <si>
    <t>Invoice No # :1231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</si>
</sst>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3" sqref="S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516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512</v>
      </c>
      <c r="F3" s="359"/>
      <c r="G3" s="359"/>
      <c r="H3" s="356">
        <f ca="1">TODAY()</f>
        <v>46315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Euro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Euro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Euro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EURO Store Hypermarket</v>
      </c>
      <c r="T7" s="301">
        <f>+'5'!P35</f>
        <v>177660.23430508471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EURO Store Hypermarket</v>
      </c>
      <c r="T8" s="301">
        <f>+'6'!P35</f>
        <v>177660.23430508471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20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800</v>
      </c>
      <c r="I10" s="236">
        <f t="shared" si="0"/>
        <v>116224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16271.360000000002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4067.8400000000006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95884.799999999988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21966.101694915254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589.25450847457626</v>
      </c>
      <c r="P10" s="311">
        <f t="shared" si="2"/>
        <v>118440.15620338982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18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720</v>
      </c>
      <c r="I11" s="236">
        <f t="shared" si="0"/>
        <v>104601.60000000001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14644.224000000002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3661.0560000000005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86296.320000000007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19769.491525423731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530.32905762711869</v>
      </c>
      <c r="P11" s="311">
        <f t="shared" si="2"/>
        <v>106596.14058305086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22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880</v>
      </c>
      <c r="I12" s="236">
        <f t="shared" si="0"/>
        <v>127846.39999999999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17898.495999999999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4474.6239999999998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105473.28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24162.711864406781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648.17995932203394</v>
      </c>
      <c r="P12" s="311">
        <f t="shared" si="2"/>
        <v>130284.17182372882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60</v>
      </c>
      <c r="H16" s="113">
        <f t="shared" ref="H16:M16" si="3">SUM(H7:H15)</f>
        <v>2400</v>
      </c>
      <c r="I16" s="114">
        <f t="shared" si="3"/>
        <v>348672</v>
      </c>
      <c r="J16" s="274">
        <f>SUM(J7:J15)</f>
        <v>48814.080000000002</v>
      </c>
      <c r="K16" s="275">
        <f t="shared" si="3"/>
        <v>12203.52</v>
      </c>
      <c r="L16" s="276">
        <f t="shared" si="3"/>
        <v>0</v>
      </c>
      <c r="M16" s="232">
        <f t="shared" si="3"/>
        <v>287654.40000000002</v>
      </c>
      <c r="N16" s="233">
        <f>SUM(N7:N15)</f>
        <v>65898.305084745763</v>
      </c>
      <c r="O16" s="101">
        <f>SUM(O7:O15)</f>
        <v>1767.7635254237289</v>
      </c>
      <c r="P16" s="113">
        <f>SUM(P7:P15)</f>
        <v>355320.46861016948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348672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48814.080000000002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12203.52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287654.39999999997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65898.305084745763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353552.70508474571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1767.7635254237289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355320.46861016942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355320.46861016942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69" t="s">
        <v>69</v>
      </c>
      <c r="L6" s="369"/>
      <c r="M6" s="369"/>
      <c r="N6" s="398" t="s">
        <v>504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522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518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12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12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1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12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12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506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523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520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8.7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524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521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46309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525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527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531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46311</v>
      </c>
      <c r="O5" s="368"/>
      <c r="P5" s="368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529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530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800</v>
      </c>
      <c r="I19" s="236">
        <f t="shared" si="0"/>
        <v>58112</v>
      </c>
      <c r="J19" s="272">
        <f t="shared" si="1"/>
        <v>8135.6800000000012</v>
      </c>
      <c r="K19" s="128">
        <f t="shared" si="1"/>
        <v>2033.9200000000003</v>
      </c>
      <c r="L19" s="119">
        <f t="shared" si="1"/>
        <v>0</v>
      </c>
      <c r="M19" s="230">
        <f t="shared" si="2"/>
        <v>47942.399999999994</v>
      </c>
      <c r="N19" s="277">
        <f t="shared" si="3"/>
        <v>10983.050847457627</v>
      </c>
      <c r="O19" s="239">
        <f t="shared" si="4"/>
        <v>294.62725423728813</v>
      </c>
      <c r="P19" s="311">
        <f t="shared" si="5"/>
        <v>59220.078101694911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720</v>
      </c>
      <c r="I20" s="236">
        <f t="shared" si="0"/>
        <v>52300.800000000003</v>
      </c>
      <c r="J20" s="272">
        <f t="shared" si="1"/>
        <v>7322.112000000001</v>
      </c>
      <c r="K20" s="128">
        <f t="shared" si="1"/>
        <v>1830.5280000000002</v>
      </c>
      <c r="L20" s="119">
        <f t="shared" si="1"/>
        <v>0</v>
      </c>
      <c r="M20" s="230">
        <f t="shared" si="2"/>
        <v>43148.160000000003</v>
      </c>
      <c r="N20" s="277">
        <f t="shared" si="3"/>
        <v>9884.7457627118656</v>
      </c>
      <c r="O20" s="239">
        <f t="shared" si="4"/>
        <v>265.16452881355934</v>
      </c>
      <c r="P20" s="311">
        <f t="shared" si="5"/>
        <v>53298.07029152543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880</v>
      </c>
      <c r="I21" s="236">
        <f t="shared" si="0"/>
        <v>63923.199999999997</v>
      </c>
      <c r="J21" s="272">
        <f t="shared" si="1"/>
        <v>8949.2479999999996</v>
      </c>
      <c r="K21" s="128">
        <f t="shared" si="1"/>
        <v>2237.3119999999999</v>
      </c>
      <c r="L21" s="119">
        <f t="shared" si="1"/>
        <v>0</v>
      </c>
      <c r="M21" s="230">
        <f t="shared" si="2"/>
        <v>52736.639999999999</v>
      </c>
      <c r="N21" s="277">
        <f t="shared" si="3"/>
        <v>12081.355932203391</v>
      </c>
      <c r="O21" s="239">
        <f t="shared" si="4"/>
        <v>324.08997966101697</v>
      </c>
      <c r="P21" s="311">
        <f t="shared" si="5"/>
        <v>65142.085911864408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2400</v>
      </c>
      <c r="I25" s="114">
        <f t="shared" si="7"/>
        <v>174336</v>
      </c>
      <c r="J25" s="274">
        <f>SUM(J16:J24)</f>
        <v>24407.040000000001</v>
      </c>
      <c r="K25" s="275">
        <f t="shared" si="7"/>
        <v>6101.76</v>
      </c>
      <c r="L25" s="276">
        <f t="shared" si="7"/>
        <v>0</v>
      </c>
      <c r="M25" s="232">
        <f t="shared" si="7"/>
        <v>143827.20000000001</v>
      </c>
      <c r="N25" s="233">
        <f>SUM(N16:N24)</f>
        <v>32949.152542372882</v>
      </c>
      <c r="O25" s="101">
        <f>SUM(O16:O24)</f>
        <v>883.88176271186444</v>
      </c>
      <c r="P25" s="113">
        <f>SUM(P16:P24)</f>
        <v>177660.23430508474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174336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24407.040000000001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6101.76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143827.19999999998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32949.152542372882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176776.35254237286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883.88176271186433</v>
      </c>
    </row>
    <row r="35" spans="2:16" ht="15.75" customHeight="1" thickBot="1" x14ac:dyDescent="0.4">
      <c r="N35" s="343" t="s">
        <v>88</v>
      </c>
      <c r="O35" s="344"/>
      <c r="P35" s="297">
        <f>+P33+P34</f>
        <v>177660.23430508471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10"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46313</v>
      </c>
      <c r="O5" s="368"/>
      <c r="P5" s="368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529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20</v>
      </c>
      <c r="H19" s="96"/>
      <c r="I19" s="236">
        <f t="shared" si="0"/>
        <v>58112</v>
      </c>
      <c r="J19" s="272">
        <f t="shared" si="1"/>
        <v>8135.6800000000012</v>
      </c>
      <c r="K19" s="128">
        <f t="shared" si="1"/>
        <v>2033.9200000000003</v>
      </c>
      <c r="L19" s="119">
        <f t="shared" si="1"/>
        <v>0</v>
      </c>
      <c r="M19" s="230">
        <f t="shared" si="2"/>
        <v>47942.399999999994</v>
      </c>
      <c r="N19" s="277">
        <f t="shared" si="3"/>
        <v>10983.050847457627</v>
      </c>
      <c r="O19" s="239">
        <f t="shared" si="4"/>
        <v>294.62725423728813</v>
      </c>
      <c r="P19" s="311">
        <f t="shared" si="5"/>
        <v>59220.078101694911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18</v>
      </c>
      <c r="H20" s="96"/>
      <c r="I20" s="236">
        <f t="shared" si="0"/>
        <v>52300.800000000003</v>
      </c>
      <c r="J20" s="272">
        <f t="shared" si="1"/>
        <v>7322.112000000001</v>
      </c>
      <c r="K20" s="128">
        <f t="shared" si="1"/>
        <v>1830.5280000000002</v>
      </c>
      <c r="L20" s="119">
        <f t="shared" si="1"/>
        <v>0</v>
      </c>
      <c r="M20" s="230">
        <f t="shared" si="2"/>
        <v>43148.160000000003</v>
      </c>
      <c r="N20" s="277">
        <f t="shared" si="3"/>
        <v>9884.7457627118656</v>
      </c>
      <c r="O20" s="239">
        <f t="shared" si="4"/>
        <v>265.16452881355934</v>
      </c>
      <c r="P20" s="311">
        <f t="shared" si="5"/>
        <v>53298.07029152543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22</v>
      </c>
      <c r="H21" s="96"/>
      <c r="I21" s="236">
        <f t="shared" si="0"/>
        <v>63923.199999999997</v>
      </c>
      <c r="J21" s="272">
        <f t="shared" si="1"/>
        <v>8949.2479999999996</v>
      </c>
      <c r="K21" s="128">
        <f t="shared" si="1"/>
        <v>2237.3119999999999</v>
      </c>
      <c r="L21" s="119">
        <f t="shared" si="1"/>
        <v>0</v>
      </c>
      <c r="M21" s="230">
        <f t="shared" si="2"/>
        <v>52736.639999999999</v>
      </c>
      <c r="N21" s="277">
        <f t="shared" si="3"/>
        <v>12081.355932203391</v>
      </c>
      <c r="O21" s="239">
        <f t="shared" si="4"/>
        <v>324.08997966101697</v>
      </c>
      <c r="P21" s="311">
        <f t="shared" si="5"/>
        <v>65142.085911864408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60</v>
      </c>
      <c r="H25" s="113">
        <f t="shared" si="7"/>
        <v>0</v>
      </c>
      <c r="I25" s="114">
        <f t="shared" si="7"/>
        <v>174336</v>
      </c>
      <c r="J25" s="274">
        <f>SUM(J16:J24)</f>
        <v>24407.040000000001</v>
      </c>
      <c r="K25" s="275">
        <f t="shared" si="7"/>
        <v>6101.76</v>
      </c>
      <c r="L25" s="276">
        <f t="shared" si="7"/>
        <v>0</v>
      </c>
      <c r="M25" s="232">
        <f t="shared" si="7"/>
        <v>143827.20000000001</v>
      </c>
      <c r="N25" s="233">
        <f>SUM(N16:N24)</f>
        <v>32949.152542372882</v>
      </c>
      <c r="O25" s="101">
        <f>SUM(O16:O24)</f>
        <v>883.88176271186444</v>
      </c>
      <c r="P25" s="113">
        <f>SUM(P16:P24)</f>
        <v>177660.23430508474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174336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24407.040000000001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6101.76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143827.19999999998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32949.152542372882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176776.35254237286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883.88176271186433</v>
      </c>
    </row>
    <row r="35" spans="2:16" ht="15.75" customHeight="1" thickBot="1" x14ac:dyDescent="0.4">
      <c r="N35" s="343" t="s">
        <v>88</v>
      </c>
      <c r="O35" s="344"/>
      <c r="P35" s="297">
        <f>+P33+P34</f>
        <v>177660.23430508471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Q16" sqref="Q16:Q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503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509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509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46316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46315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2026-10-20T04:43:39Z</dcterms:modified>
</cp:coreProperties>
</file>