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5223CB2-05E1-4382-9D16-48E40789D813}" xr6:coauthVersionLast="47" xr6:coauthVersionMax="47" xr10:uidLastSave="{00000000-0000-0000-0000-000000000000}"/>
  <bookViews>
    <workbookView xWindow="-110" yWindow="-110" windowWidth="19420" windowHeight="10420" tabRatio="594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3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16" i="48"/>
  <c r="M16" i="43"/>
  <c r="M22" i="43"/>
  <c r="O22" i="43" s="1"/>
  <c r="P22" i="43" s="1"/>
  <c r="M20" i="43"/>
  <c r="O20" i="43" s="1"/>
  <c r="P20" i="43" s="1"/>
  <c r="M21" i="43"/>
  <c r="O21" i="43" s="1"/>
  <c r="P21" i="43" s="1"/>
  <c r="M23" i="44"/>
  <c r="O23" i="44" s="1"/>
  <c r="P23" i="44" s="1"/>
  <c r="M20" i="47"/>
  <c r="O20" i="47" s="1"/>
  <c r="P20" i="47" s="1"/>
  <c r="M21" i="47"/>
  <c r="O21" i="47" s="1"/>
  <c r="P21" i="47" s="1"/>
  <c r="J7" i="62"/>
  <c r="M21" i="44"/>
  <c r="O21" i="44" s="1"/>
  <c r="P21" i="44" s="1"/>
  <c r="M17" i="44"/>
  <c r="O17" i="44" s="1"/>
  <c r="P17" i="44" s="1"/>
  <c r="M16" i="44"/>
  <c r="O16" i="44" s="1"/>
  <c r="K12" i="62"/>
  <c r="M17" i="60"/>
  <c r="O17" i="60" s="1"/>
  <c r="P17" i="60" s="1"/>
  <c r="M16" i="66"/>
  <c r="M20" i="46"/>
  <c r="O20" i="46" s="1"/>
  <c r="P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<sst xmlns="http://schemas.openxmlformats.org/spreadsheetml/2006/main" count="3974" uniqueCount="537">
  <si>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</si>
  <si>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</si>
  <si>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</si>
  <si>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</si>
  <si>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</si>
  <si>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</si>
  <si>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</si>
  <si>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</si>
  <si>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</si>
  <si>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</si>
  <si>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</si>
  <si>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</si>
  <si>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</si>
  <si>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</si>
  <si>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</si>
  <si>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</si>
  <si>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</si>
  <si>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</si>
  <si>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</si>
  <si>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</si>
  <si>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</si>
  <si>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</si>
  <si>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</si>
  <si>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</si>
  <si>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</si>
  <si>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</si>
  <si>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</si>
  <si>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</si>
  <si>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</si>
  <si>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</si>
  <si>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</si>
  <si>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</si>
  <si>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</si>
  <si>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</si>
  <si>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</si>
  <si>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</si>
  <si>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</si>
  <si>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</si>
  <si>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</si>
  <si>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</si>
  <si>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</si>
  <si>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</si>
  <si>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</si>
  <si>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</si>
  <si>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</si>
  <si>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</si>
  <si>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</si>
  <si>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</si>
  <si>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</si>
  <si>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</si>
  <si>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</si>
  <si>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</si>
  <si>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</si>
  <si>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</si>
  <si>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</si>
  <si>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</si>
  <si>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</si>
  <si>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</si>
  <si>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</si>
  <si>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</si>
  <si>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</si>
  <si>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</si>
  <si>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</si>
  <si>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</si>
  <si>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</si>
  <si>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</si>
  <si>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</si>
  <si>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</si>
  <si>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</si>
  <si>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</si>
  <si>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</si>
  <si>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</si>
  <si>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</si>
  <si>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</si>
  <si>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</si>
  <si>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</si>
  <si>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</si>
  <si>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</si>
  <si>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</si>
  <si>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</si>
  <si>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</si>
  <si>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</si>
  <si>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</si>
  <si>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</si>
  <si>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</si>
  <si>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</si>
  <si>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</si>
  <si>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</si>
  <si>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</si>
  <si>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</si>
  <si>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</si>
  <si>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</si>
  <si>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</si>
  <si>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</si>
  <si>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</si>
  <si>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</si>
  <si>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</si>
  <si>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</si>
  <si>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</si>
  <si>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</si>
  <si>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</si>
  <si>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</si>
  <si>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</si>
  <si>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</si>
  <si>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</si>
  <si>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</si>
  <si>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</si>
  <si>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</si>
  <si>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</si>
  <si>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</si>
  <si>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</si>
  <si>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</si>
  <si>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</si>
  <si>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</si>
  <si>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</si>
  <si>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</si>
  <si>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</si>
  <si>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</si>
  <si>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</si>
  <si>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</si>
  <si>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</si>
  <si>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</si>
  <si>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</si>
  <si>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</si>
  <si>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</si>
  <si>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</si>
  <si>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</si>
  <si>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</si>
  <si>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</si>
  <si>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</si>
  <si>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</si>
  <si>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</si>
  <si>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</si>
  <si>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</si>
  <si>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</si>
  <si>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</si>
  <si>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</si>
  <si>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</si>
  <si>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</si>
  <si>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</si>
  <si>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</si>
  <si>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</si>
  <si>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</si>
  <si>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</si>
  <si>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</si>
  <si>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</si>
  <si>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</si>
  <si>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</si>
  <si>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</si>
  <si>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</si>
  <si>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</si>
  <si>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</si>
  <si>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</si>
  <si>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</si>
  <si>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</si>
  <si>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</si>
  <si>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</si>
  <si>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</si>
  <si>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</si>
  <si>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</si>
  <si>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</si>
  <si>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</si>
  <si>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</si>
  <si>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</si>
  <si>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</si>
  <si>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</si>
  <si>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</si>
  <si>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</si>
  <si>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</si>
  <si>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</si>
  <si>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</si>
  <si>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</si>
  <si>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</si>
  <si>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</si>
  <si>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</si>
  <si>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</si>
  <si>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</si>
  <si>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</si>
  <si>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</si>
  <si>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</si>
  <si>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</si>
  <si>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</si>
  <si>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</si>
  <si>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</si>
  <si>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</si>
  <si>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</si>
  <si>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</si>
  <si>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</si>
  <si>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</si>
  <si>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</si>
  <si>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</si>
  <si>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</si>
  <si>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</si>
  <si>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</si>
  <si>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</si>
  <si>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</si>
  <si>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</si>
  <si>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</si>
  <si>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</si>
  <si>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</si>
  <si>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</si>
  <si>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</si>
  <si>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</si>
  <si>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</si>
  <si>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</si>
  <si>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</si>
  <si>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</si>
  <si>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</si>
  <si>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</si>
  <si>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</si>
  <si>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</si>
  <si>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</si>
  <si>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</si>
  <si>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</si>
  <si>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</si>
  <si>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</si>
  <si>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</si>
  <si>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</si>
  <si>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</si>
  <si>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</si>
  <si>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</si>
  <si>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</si>
  <si>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</si>
  <si>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</si>
  <si>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</si>
  <si>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</si>
  <si>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</si>
  <si>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</si>
  <si>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</si>
  <si>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</si>
  <si>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</si>
  <si>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</si>
  <si>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</si>
  <si>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</si>
  <si>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</si>
  <si>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</si>
  <si>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</si>
  <si>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</si>
  <si>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</si>
  <si>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</si>
  <si>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</si>
  <si>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</si>
  <si>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</si>
  <si>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</si>
  <si>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</si>
  <si>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</si>
  <si>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</si>
  <si>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</si>
  <si>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</si>
  <si>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</si>
  <si>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</si>
  <si>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</si>
  <si>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</si>
  <si>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</si>
  <si>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</si>
  <si>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</si>
  <si>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</si>
  <si>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</si>
  <si>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</si>
  <si>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</si>
  <si>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</si>
  <si>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</si>
  <si>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</si>
  <si>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</si>
  <si>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</si>
  <si>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</si>
  <si>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</si>
  <si>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</si>
  <si>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</si>
  <si>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</si>
  <si>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</si>
  <si>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</si>
  <si>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</si>
  <si>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</si>
  <si>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</si>
  <si>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</si>
  <si>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</si>
  <si>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</si>
  <si>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</si>
  <si>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</si>
  <si>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</si>
  <si>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</si>
  <si>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</si>
  <si>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</si>
  <si>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</si>
  <si>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</si>
  <si>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</si>
  <si>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</si>
  <si>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</si>
  <si>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</si>
  <si>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</si>
  <si>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</si>
  <si>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</si>
  <si>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</si>
  <si>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</si>
  <si>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</si>
  <si>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</si>
  <si>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</si>
  <si>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</si>
  <si>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</si>
  <si>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</si>
  <si>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</si>
  <si>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</si>
  <si>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</si>
  <si>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</si>
  <si>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</si>
  <si>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</si>
  <si>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</si>
  <si>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</si>
  <si>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</si>
  <si>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</si>
  <si>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</si>
  <si>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</si>
  <si>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</si>
  <si>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</si>
  <si>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</si>
  <si>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</si>
  <si>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</si>
  <si>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</si>
  <si>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</si>
  <si>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</si>
  <si>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</si>
  <si>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</si>
  <si>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</si>
  <si>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</si>
  <si>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</si>
  <si>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</si>
  <si>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</si>
  <si>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</si>
  <si>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</si>
  <si>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</si>
  <si>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</si>
  <si>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</si>
  <si>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</si>
  <si>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</si>
  <si>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</si>
  <si>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</si>
  <si>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</si>
  <si>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</si>
  <si>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</si>
  <si>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</si>
  <si>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</si>
  <si>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</si>
  <si>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</si>
  <si>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</si>
  <si>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</si>
  <si>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</si>
  <si>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</si>
  <si>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</si>
  <si>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</si>
  <si>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</si>
  <si>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</si>
  <si>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</si>
  <si>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</si>
  <si>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</si>
  <si>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</si>
  <si>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</si>
  <si>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</si>
  <si>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</si>
  <si>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</si>
  <si>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</si>
  <si>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</si>
  <si>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</si>
  <si>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</si>
  <si>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</si>
  <si>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</si>
  <si>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</si>
  <si>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</si>
  <si>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</si>
  <si>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</si>
  <si>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</si>
  <si>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</si>
  <si>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</si>
  <si>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</si>
  <si>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</si>
  <si>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</si>
  <si>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</si>
  <si>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</si>
  <si>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</si>
  <si>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</si>
  <si>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</si>
  <si>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</si>
  <si>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</si>
  <si>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</si>
  <si>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</si>
  <si>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</si>
  <si>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</si>
  <si>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</si>
  <si>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</si>
  <si>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</si>
  <si>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</si>
  <si>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</si>
  <si>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</si>
  <si>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</si>
  <si>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</si>
  <si>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</si>
  <si>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</si>
  <si>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</si>
  <si>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</si>
  <si>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</si>
  <si>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</si>
  <si>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</si>
  <si>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</si>
  <si>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</si>
  <si>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</si>
  <si>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</si>
  <si>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</si>
  <si>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</si>
  <si>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</si>
  <si>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</si>
  <si>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</si>
  <si>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</si>
  <si>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</si>
  <si>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</si>
  <si>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</si>
  <si>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</si>
  <si>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</si>
  <si>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</si>
  <si>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</si>
  <si>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</si>
  <si>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</si>
  <si>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</si>
  <si>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</si>
  <si>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</si>
  <si>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</si>
  <si>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</si>
  <si>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</si>
  <si>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</si>
  <si>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</si>
  <si>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</si>
  <si>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</si>
  <si>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</si>
  <si>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</si>
  <si>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</si>
  <si>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</si>
  <si>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</si>
  <si>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</si>
  <si>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</si>
  <si>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</si>
  <si>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</si>
  <si>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</si>
  <si>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</si>
  <si>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</si>
  <si>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</si>
  <si>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</si>
  <si>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</si>
  <si>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</si>
  <si>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</si>
  <si>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</si>
  <si>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</si>
  <si>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</si>
  <si>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</si>
  <si>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</si>
  <si>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</si>
  <si>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</si>
  <si>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</si>
  <si>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</si>
  <si>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</si>
  <si>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</si>
  <si>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</si>
  <si>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</si>
  <si>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</si>
  <si>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</si>
  <si>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</si>
  <si>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</si>
  <si>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</si>
  <si>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</si>
  <si>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</si>
  <si>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</si>
  <si>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</si>
  <si>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</si>
  <si>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</si>
  <si>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</si>
  <si>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</si>
  <si>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</si>
  <si>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</si>
  <si>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</si>
  <si>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</si>
  <si>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</si>
  <si>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</si>
  <si>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</si>
  <si>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</si>
  <si>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</si>
  <si>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</si>
  <si>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</si>
  <si>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</si>
  <si>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</si>
  <si>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</si>
  <si>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</si>
  <si>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</si>
  <si>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</si>
  <si>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</si>
  <si>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</si>
  <si>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</si>
  <si>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</si>
  <si>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</si>
  <si>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</si>
  <si>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</si>
  <si>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</si>
  <si>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</si>
  <si>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</si>
  <si>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</si>
  <si>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</si>
  <si>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</si>
  <si>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</si>
  <si>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</si>
  <si>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</si>
  <si>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</si>
  <si>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</si>
  <si>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</si>
  <si>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</si>
  <si>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</si>
  <si>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</si>
  <si>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</si>
  <si>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</si>
  <si>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</si>
  <si>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</si>
  <si>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</si>
  <si>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Airport </t>
  </si>
  <si>
    <t>Euro Store</t>
  </si>
  <si>
    <t xml:space="preserve">Address:Rangers </t>
  </si>
  <si>
    <t>Address:GT Road</t>
  </si>
  <si>
    <t>NTN #:1218925-1</t>
  </si>
  <si>
    <t>NTN #: 5420873-2</t>
  </si>
  <si>
    <t>NTN #: 6273197-8</t>
  </si>
  <si>
    <t>NTN #: 2157875-3</t>
  </si>
  <si>
    <t>Invoice No # :00000</t>
  </si>
  <si>
    <t>Address:Fateh Garh</t>
  </si>
  <si>
    <t>EURO Store Hypermarket</t>
  </si>
  <si>
    <t>NTN #: 4890950-8</t>
  </si>
  <si>
    <t>Address: Riwind Road</t>
  </si>
  <si>
    <t>Invoice No # :1231</t>
  </si>
  <si>
    <t xml:space="preserve">Euro Model Town </t>
  </si>
  <si>
    <t xml:space="preserve">Address:Model Town </t>
  </si>
  <si>
    <t>Invoice No # :1515</t>
  </si>
  <si>
    <t xml:space="preserve">Address:NFC Society </t>
  </si>
  <si>
    <t>Invoice No # :15151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</si>
</sst>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516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512</v>
      </c>
      <c r="F3" s="359"/>
      <c r="G3" s="359"/>
      <c r="H3" s="356">
        <f ca="1">TODAY()</f>
        <v>46315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Euro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120</v>
      </c>
      <c r="R7" s="314">
        <v>5</v>
      </c>
      <c r="S7" s="300" t="str">
        <f>+'5'!A6:A6</f>
        <v>EURO Store Hypermarket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120</v>
      </c>
      <c r="R8" s="314">
        <v>6</v>
      </c>
      <c r="S8" s="300" t="str">
        <f>+'6'!A6:A6</f>
        <v xml:space="preserve">Euro Model Town </v>
      </c>
      <c r="T8" s="301">
        <f>+'6'!P35</f>
        <v>2961.0039050847454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200</v>
      </c>
      <c r="R9" s="314">
        <v>7</v>
      </c>
      <c r="S9" s="300" t="str">
        <f>+'7'!A6:A6</f>
        <v>Euro Store</v>
      </c>
      <c r="T9" s="301">
        <f>+'7'!P35</f>
        <v>36519.103437711856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120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1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44.194088135593219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15</v>
      </c>
      <c r="H16" s="113">
        <f t="shared" ref="H16:M16" si="3">SUM(H7:H15)</f>
        <v>600</v>
      </c>
      <c r="I16" s="114">
        <f t="shared" si="3"/>
        <v>38741.399999999994</v>
      </c>
      <c r="J16" s="274">
        <f>SUM(J7:J15)</f>
        <v>5423.7960000000003</v>
      </c>
      <c r="K16" s="275">
        <f t="shared" si="3"/>
        <v>1355.9490000000001</v>
      </c>
      <c r="L16" s="276">
        <f t="shared" si="3"/>
        <v>0</v>
      </c>
      <c r="M16" s="232">
        <f t="shared" si="3"/>
        <v>31961.654999999999</v>
      </c>
      <c r="N16" s="233">
        <f>SUM(N7:N15)</f>
        <v>7322.0338983050842</v>
      </c>
      <c r="O16" s="101">
        <f>SUM(O7:O15)</f>
        <v>196.41844449152541</v>
      </c>
      <c r="P16" s="113">
        <f>SUM(P7:P15)</f>
        <v>39480.107342796604</v>
      </c>
      <c r="Q16" s="128">
        <f>SUM(Q7:Q15)</f>
        <v>880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38741.399999999994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5423.7960000000003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1355.9490000000001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31961.654999999992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7322.0338983050842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39283.688898305074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196.41844449152541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39480.107342796597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39480.107342796604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504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522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12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506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523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524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521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525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527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17" sqref="H17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531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46311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529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46313</v>
      </c>
      <c r="O5" s="368"/>
      <c r="P5" s="368"/>
      <c r="R5" s="85"/>
      <c r="S5" s="266"/>
    </row>
    <row r="6" spans="1:22 16383:16384" ht="15" customHeight="1" x14ac:dyDescent="0.4">
      <c r="A6" s="397" t="s">
        <v>532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533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120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120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200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120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120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96">
        <v>200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406.78400000000005</v>
      </c>
      <c r="K25" s="275">
        <f t="shared" si="7"/>
        <v>101.69600000000001</v>
      </c>
      <c r="L25" s="276">
        <f t="shared" si="7"/>
        <v>0</v>
      </c>
      <c r="M25" s="232">
        <f t="shared" si="7"/>
        <v>2397.12</v>
      </c>
      <c r="N25" s="233">
        <f>SUM(N16:N24)</f>
        <v>549.15254237288138</v>
      </c>
      <c r="O25" s="101">
        <f>SUM(O16:O24)</f>
        <v>14.731362711864406</v>
      </c>
      <c r="P25" s="113">
        <f>SUM(P16:P24)</f>
        <v>2961.0039050847454</v>
      </c>
      <c r="Q25" s="128">
        <f>SUM(Q16:Q24)</f>
        <v>880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2905.6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406.78400000000005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101.69600000000001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2397.12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2946.2725423728812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14.731362711864406</v>
      </c>
    </row>
    <row r="35" spans="2:16" ht="15.75" customHeight="1" thickBot="1" x14ac:dyDescent="0.4">
      <c r="N35" s="343" t="s">
        <v>88</v>
      </c>
      <c r="O35" s="344"/>
      <c r="P35" s="297">
        <f>+P33+P34</f>
        <v>2961.0039050847454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46313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560</v>
      </c>
      <c r="I25" s="114">
        <f t="shared" si="7"/>
        <v>35835.799999999996</v>
      </c>
      <c r="J25" s="274">
        <f>SUM(J16:J24)</f>
        <v>5017.0120000000006</v>
      </c>
      <c r="K25" s="275">
        <f t="shared" si="7"/>
        <v>1254.2530000000002</v>
      </c>
      <c r="L25" s="276">
        <f t="shared" si="7"/>
        <v>0</v>
      </c>
      <c r="M25" s="232">
        <f t="shared" si="7"/>
        <v>29564.534999999996</v>
      </c>
      <c r="N25" s="233">
        <f>SUM(N16:N24)</f>
        <v>6772.8813559322025</v>
      </c>
      <c r="O25" s="101">
        <f>SUM(O16:O24)</f>
        <v>181.68708177966099</v>
      </c>
      <c r="P25" s="113">
        <f>SUM(P16:P24)</f>
        <v>36519.103437711856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35835.799999999996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5017.0120000000006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1254.2530000000002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29564.534999999993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6772.8813559322025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36337.416355932197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181.68708177966099</v>
      </c>
    </row>
    <row r="35" spans="2:16" ht="15.75" customHeight="1" thickBot="1" x14ac:dyDescent="0.4">
      <c r="N35" s="343" t="s">
        <v>88</v>
      </c>
      <c r="O35" s="344"/>
      <c r="P35" s="297">
        <f>+P33+P34</f>
        <v>36519.103437711856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46315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2026-10-20T04:47:06Z</dcterms:modified>
</cp:coreProperties>
</file>