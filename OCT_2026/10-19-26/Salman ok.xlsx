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497011BD-53D6-47BD-82FD-131324CE761F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5" l="1"/>
  <c r="N5" i="65" s="1"/>
  <c r="N4" i="60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L20" i="48"/>
  <c r="J20" i="48"/>
  <c r="K20" i="53"/>
  <c r="L20" i="53"/>
  <c r="J20" i="53"/>
  <c r="K20" i="43"/>
  <c r="L20" i="43"/>
  <c r="J20" i="43"/>
  <c r="M20" i="43" s="1"/>
  <c r="O20" i="43" s="1"/>
  <c r="P20" i="43" s="1"/>
  <c r="K20" i="57"/>
  <c r="J20" i="57"/>
  <c r="L20" i="57"/>
  <c r="K20" i="61"/>
  <c r="J20" i="61"/>
  <c r="L20" i="61"/>
  <c r="M20" i="61"/>
  <c r="O20" i="61" s="1"/>
  <c r="P20" i="61" s="1"/>
  <c r="K20" i="71"/>
  <c r="J20" i="71"/>
  <c r="M20" i="71" s="1"/>
  <c r="O20" i="71" s="1"/>
  <c r="P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3" i="69" l="1"/>
  <c r="M16" i="60"/>
  <c r="M16" i="59"/>
  <c r="O16" i="59" s="1"/>
  <c r="P16" i="59" s="1"/>
  <c r="M20" i="57"/>
  <c r="O20" i="57" s="1"/>
  <c r="P20" i="57" s="1"/>
  <c r="M21" i="53"/>
  <c r="O21" i="53" s="1"/>
  <c r="P21" i="53" s="1"/>
  <c r="M20" i="53"/>
  <c r="O20" i="53" s="1"/>
  <c r="P20" i="53" s="1"/>
  <c r="M21" i="52"/>
  <c r="O21" i="52" s="1"/>
  <c r="P21" i="52" s="1"/>
  <c r="J7" i="62"/>
  <c r="K12" i="62"/>
  <c r="M21" i="44"/>
  <c r="O21" i="44" s="1"/>
  <c r="P21" i="44" s="1"/>
  <c r="M20" i="46"/>
  <c r="O20" i="46" s="1"/>
  <c r="P20" i="46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M20" i="65"/>
  <c r="O20" i="65" s="1"/>
  <c r="P20" i="65" s="1"/>
  <c r="M20" i="64"/>
  <c r="O20" i="64" s="1"/>
  <c r="P20" i="64" s="1"/>
  <c r="M20" i="52"/>
  <c r="M20" i="66"/>
  <c r="O20" i="66" s="1"/>
  <c r="P20" i="66" s="1"/>
  <c r="M20" i="59"/>
  <c r="O20" i="59" s="1"/>
  <c r="P20" i="59" s="1"/>
  <c r="M20" i="54"/>
  <c r="O20" i="54" s="1"/>
  <c r="P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M20" i="58"/>
  <c r="O20" i="58" s="1"/>
  <c r="P20" i="58" s="1"/>
  <c r="J25" i="47"/>
  <c r="P29" i="47" s="1"/>
  <c r="M20" i="55"/>
  <c r="O20" i="55" s="1"/>
  <c r="P20" i="55" s="1"/>
  <c r="M20" i="56"/>
  <c r="O20" i="56" s="1"/>
  <c r="P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23" i="66"/>
  <c r="P23" i="66" s="1"/>
  <c r="O16" i="58"/>
  <c r="P16" i="58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25" i="52" l="1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<sst xmlns="http://schemas.openxmlformats.org/spreadsheetml/2006/main" count="3948" uniqueCount="541">
  <si>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</si>
  <si>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</si>
  <si>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</si>
  <si>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</si>
  <si>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</si>
  <si>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</si>
  <si>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</si>
  <si>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</si>
  <si>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</si>
  <si>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</si>
  <si>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</si>
  <si>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</si>
  <si>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</si>
  <si>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</si>
  <si>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</si>
  <si>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</si>
  <si>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</si>
  <si>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</si>
  <si>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</si>
  <si>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</si>
  <si>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</si>
  <si>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</si>
  <si>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</si>
  <si>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</si>
  <si>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</si>
  <si>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</si>
  <si>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</si>
  <si>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</si>
  <si>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</si>
  <si>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</si>
  <si>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</si>
  <si>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</si>
  <si>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</si>
  <si>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</si>
  <si>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</si>
  <si>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</si>
  <si>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</si>
  <si>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</si>
  <si>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</si>
  <si>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</si>
  <si>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</si>
  <si>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</si>
  <si>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</si>
  <si>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</si>
  <si>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</si>
  <si>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</si>
  <si>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</si>
  <si>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</si>
  <si>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</si>
  <si>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</si>
  <si>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</si>
  <si>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</si>
  <si>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</si>
  <si>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</si>
  <si>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</si>
  <si>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</si>
  <si>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</si>
  <si>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</si>
  <si>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</si>
  <si>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</si>
  <si>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</si>
  <si>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</si>
  <si>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</si>
  <si>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</si>
  <si>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</si>
  <si>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</si>
  <si>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</si>
  <si>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</si>
  <si>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</si>
  <si>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</si>
  <si>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</si>
  <si>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</si>
  <si>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</si>
  <si>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</si>
  <si>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</si>
  <si>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</si>
  <si>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</si>
  <si>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</si>
  <si>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</si>
  <si>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</si>
  <si>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</si>
  <si>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</si>
  <si>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</si>
  <si>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</si>
  <si>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</si>
  <si>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</si>
  <si>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</si>
  <si>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</si>
  <si>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</si>
  <si>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</si>
  <si>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</si>
  <si>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</si>
  <si>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</si>
  <si>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</si>
  <si>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</si>
  <si>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</si>
  <si>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</si>
  <si>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</si>
  <si>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</si>
  <si>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</si>
  <si>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</si>
  <si>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</si>
  <si>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</si>
  <si>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</si>
  <si>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</si>
  <si>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</si>
  <si>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</si>
  <si>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</si>
  <si>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</si>
  <si>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</si>
  <si>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</si>
  <si>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</si>
  <si>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</si>
  <si>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</si>
  <si>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</si>
  <si>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</si>
  <si>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</si>
  <si>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</si>
  <si>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</si>
  <si>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</si>
  <si>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</si>
  <si>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</si>
  <si>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</si>
  <si>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</si>
  <si>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</si>
  <si>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</si>
  <si>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</si>
  <si>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</si>
  <si>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</si>
  <si>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</si>
  <si>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</si>
  <si>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</si>
  <si>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</si>
  <si>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</si>
  <si>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</si>
  <si>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</si>
  <si>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</si>
  <si>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</si>
  <si>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</si>
  <si>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</si>
  <si>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</si>
  <si>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</si>
  <si>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</si>
  <si>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</si>
  <si>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</si>
  <si>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</si>
  <si>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</si>
  <si>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</si>
  <si>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</si>
  <si>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</si>
  <si>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</si>
  <si>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</si>
  <si>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</si>
  <si>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</si>
  <si>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</si>
  <si>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</si>
  <si>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</si>
  <si>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</si>
  <si>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</si>
  <si>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</si>
  <si>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</si>
  <si>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</si>
  <si>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</si>
  <si>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</si>
  <si>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</si>
  <si>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</si>
  <si>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</si>
  <si>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</si>
  <si>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</si>
  <si>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</si>
  <si>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</si>
  <si>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</si>
  <si>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</si>
  <si>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</si>
  <si>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</si>
  <si>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</si>
  <si>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</si>
  <si>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</si>
  <si>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</si>
  <si>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</si>
  <si>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</si>
  <si>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</si>
  <si>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</si>
  <si>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</si>
  <si>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</si>
  <si>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</si>
  <si>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</si>
  <si>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</si>
  <si>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</si>
  <si>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</si>
  <si>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</si>
  <si>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</si>
  <si>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</si>
  <si>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</si>
  <si>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</si>
  <si>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</si>
  <si>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</si>
  <si>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</si>
  <si>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</si>
  <si>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</si>
  <si>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</si>
  <si>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</si>
  <si>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</si>
  <si>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</si>
  <si>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</si>
  <si>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</si>
  <si>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</si>
  <si>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</si>
  <si>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</si>
  <si>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</si>
  <si>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</si>
  <si>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</si>
  <si>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</si>
  <si>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</si>
  <si>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</si>
  <si>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</si>
  <si>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</si>
  <si>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</si>
  <si>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</si>
  <si>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</si>
  <si>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</si>
  <si>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</si>
  <si>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</si>
  <si>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</si>
  <si>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</si>
  <si>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</si>
  <si>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</si>
  <si>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</si>
  <si>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</si>
  <si>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</si>
  <si>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</si>
  <si>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</si>
  <si>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</si>
  <si>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</si>
  <si>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</si>
  <si>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</si>
  <si>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</si>
  <si>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</si>
  <si>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</si>
  <si>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</si>
  <si>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</si>
  <si>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</si>
  <si>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</si>
  <si>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</si>
  <si>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</si>
  <si>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</si>
  <si>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</si>
  <si>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</si>
  <si>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</si>
  <si>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</si>
  <si>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</si>
  <si>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</si>
  <si>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</si>
  <si>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</si>
  <si>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</si>
  <si>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</si>
  <si>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</si>
  <si>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</si>
  <si>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</si>
  <si>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</si>
  <si>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</si>
  <si>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</si>
  <si>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</si>
  <si>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</si>
  <si>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</si>
  <si>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</si>
  <si>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</si>
  <si>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</si>
  <si>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</si>
  <si>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</si>
  <si>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</si>
  <si>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</si>
  <si>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</si>
  <si>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</si>
  <si>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</si>
  <si>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</si>
  <si>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</si>
  <si>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</si>
  <si>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</si>
  <si>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</si>
  <si>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</si>
  <si>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</si>
  <si>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</si>
  <si>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</si>
  <si>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</si>
  <si>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</si>
  <si>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</si>
  <si>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</si>
  <si>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</si>
  <si>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</si>
  <si>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</si>
  <si>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</si>
  <si>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</si>
  <si>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</si>
  <si>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</si>
  <si>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</si>
  <si>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</si>
  <si>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</si>
  <si>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</si>
  <si>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</si>
  <si>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</si>
  <si>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</si>
  <si>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</si>
  <si>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</si>
  <si>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</si>
  <si>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</si>
  <si>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</si>
  <si>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</si>
  <si>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</si>
  <si>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</si>
  <si>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</si>
  <si>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</si>
  <si>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</si>
  <si>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</si>
  <si>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</si>
  <si>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</si>
  <si>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</si>
  <si>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</si>
  <si>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</si>
  <si>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</si>
  <si>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</si>
  <si>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</si>
  <si>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</si>
  <si>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</si>
  <si>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</si>
  <si>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</si>
  <si>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</si>
  <si>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</si>
  <si>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</si>
  <si>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</si>
  <si>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</si>
  <si>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</si>
  <si>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</si>
  <si>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</si>
  <si>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</si>
  <si>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</si>
  <si>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</si>
  <si>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</si>
  <si>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</si>
  <si>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</si>
  <si>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</si>
  <si>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</si>
  <si>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</si>
  <si>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</si>
  <si>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</si>
  <si>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</si>
  <si>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</si>
  <si>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</si>
  <si>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</si>
  <si>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</si>
  <si>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</si>
  <si>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</si>
  <si>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</si>
  <si>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</si>
  <si>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</si>
  <si>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</si>
  <si>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</si>
  <si>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</si>
  <si>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</si>
  <si>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</si>
  <si>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</si>
  <si>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</si>
  <si>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</si>
  <si>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</si>
  <si>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</si>
  <si>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</si>
  <si>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</si>
  <si>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</si>
  <si>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</si>
  <si>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</si>
  <si>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</si>
  <si>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</si>
  <si>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</si>
  <si>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</si>
  <si>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</si>
  <si>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</si>
  <si>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</si>
  <si>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</si>
  <si>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</si>
  <si>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</si>
  <si>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</si>
  <si>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</si>
  <si>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</si>
  <si>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</si>
  <si>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</si>
  <si>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</si>
  <si>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</si>
  <si>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</si>
  <si>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</si>
  <si>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</si>
  <si>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</si>
  <si>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</si>
  <si>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</si>
  <si>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</si>
  <si>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</si>
  <si>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</si>
  <si>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</si>
  <si>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</si>
  <si>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</si>
  <si>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</si>
  <si>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</si>
  <si>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</si>
  <si>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</si>
  <si>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</si>
  <si>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</si>
  <si>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</si>
  <si>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</si>
  <si>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</si>
  <si>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</si>
  <si>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</si>
  <si>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</si>
  <si>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</si>
  <si>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</si>
  <si>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</si>
  <si>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</si>
  <si>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</si>
  <si>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</si>
  <si>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</si>
  <si>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</si>
  <si>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</si>
  <si>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</si>
  <si>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</si>
  <si>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</si>
  <si>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</si>
  <si>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</si>
  <si>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</si>
  <si>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</si>
  <si>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</si>
  <si>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</si>
  <si>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</si>
  <si>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</si>
  <si>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</si>
  <si>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</si>
  <si>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</si>
  <si>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</si>
  <si>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</si>
  <si>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</si>
  <si>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</si>
  <si>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</si>
  <si>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</si>
  <si>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</si>
  <si>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</si>
  <si>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</si>
  <si>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</si>
  <si>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</si>
  <si>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</si>
  <si>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</si>
  <si>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</si>
  <si>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</si>
  <si>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</si>
  <si>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</si>
  <si>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</si>
  <si>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</si>
  <si>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</si>
  <si>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</si>
  <si>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</si>
  <si>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</si>
  <si>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</si>
  <si>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</si>
  <si>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</si>
  <si>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</si>
  <si>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</si>
  <si>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</si>
  <si>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</si>
  <si>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</si>
  <si>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</si>
  <si>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</si>
  <si>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</si>
  <si>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</si>
  <si>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</si>
  <si>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</si>
  <si>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</si>
  <si>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</si>
  <si>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</si>
  <si>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</si>
  <si>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</si>
  <si>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</si>
  <si>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</si>
  <si>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</si>
  <si>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</si>
  <si>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</si>
  <si>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</si>
  <si>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</si>
  <si>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</si>
  <si>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</si>
  <si>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</si>
  <si>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</si>
  <si>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</si>
  <si>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</si>
  <si>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</si>
  <si>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</si>
  <si>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</si>
  <si>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</si>
  <si>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</si>
  <si>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</si>
  <si>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</si>
  <si>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</si>
  <si>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</si>
  <si>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</si>
  <si>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</si>
  <si>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</si>
  <si>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</si>
  <si>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</si>
  <si>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</si>
  <si>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</si>
  <si>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</si>
  <si>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</si>
  <si>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</si>
  <si>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</si>
  <si>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</si>
  <si>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</si>
  <si>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</si>
  <si>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</si>
  <si>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</si>
  <si>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 xml:space="preserve">Salman </t>
  </si>
  <si>
    <t>Askari Store</t>
  </si>
  <si>
    <t>Address: Askari 1</t>
  </si>
  <si>
    <t xml:space="preserve">Sitara Bakers </t>
  </si>
  <si>
    <t xml:space="preserve">Al Falah Bakers </t>
  </si>
  <si>
    <t>Al falah Bakers</t>
  </si>
  <si>
    <t>Wali Store</t>
  </si>
  <si>
    <t>Raheem Store</t>
  </si>
  <si>
    <t>Khattak Store</t>
  </si>
  <si>
    <t>Mughal Store</t>
  </si>
  <si>
    <t>Faisal Store</t>
  </si>
  <si>
    <t>Khan Store</t>
  </si>
  <si>
    <t>Janjua Strore</t>
  </si>
  <si>
    <t>Ali Store</t>
  </si>
  <si>
    <t>Khuram Store</t>
  </si>
  <si>
    <t>Javaid Store</t>
  </si>
  <si>
    <t>Zafar Store</t>
  </si>
  <si>
    <t>Maki Store</t>
  </si>
  <si>
    <t>Qazi Store</t>
  </si>
  <si>
    <t>Butt Store</t>
  </si>
  <si>
    <t>Shahid GS</t>
  </si>
  <si>
    <t>Asif GS</t>
  </si>
  <si>
    <t>Hasan Store</t>
  </si>
  <si>
    <t>Shareef Gs</t>
  </si>
  <si>
    <t xml:space="preserve">Kashmir Bakers </t>
  </si>
  <si>
    <t>Yousaf Store</t>
  </si>
  <si>
    <t>Chelet Bakers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</si>
</sst>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H7" sqref="H7:H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514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46314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>Askari Store</v>
      </c>
      <c r="T3" s="301">
        <f>+'1'!P35</f>
        <v>10802.526335847459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 xml:space="preserve">Sitara Bakers 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 xml:space="preserve">Al Falah Bakers </v>
      </c>
      <c r="T5" s="301">
        <f>+'3'!P35</f>
        <v>3136.2115850847458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Al falah Bakers</v>
      </c>
      <c r="T6" s="301">
        <f>+'4'!P35</f>
        <v>339.75773742584738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93</v>
      </c>
      <c r="I7" s="235">
        <f>(G7*D7)*F7+H7*F7</f>
        <v>4879.0124999999998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390.32100000000014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170.76543749999999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4317.9260624999997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922.11864406779614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26.200223532838979</v>
      </c>
      <c r="P7" s="310">
        <f>M7+N7+O7</f>
        <v>5266.2449301006354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40</v>
      </c>
      <c r="R7" s="313">
        <v>5</v>
      </c>
      <c r="S7" s="300" t="str">
        <f>+'5'!A6:A6</f>
        <v>Wali Store</v>
      </c>
      <c r="T7" s="301">
        <f>+'5'!P35</f>
        <v>226.50515828389825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12</v>
      </c>
      <c r="I8" s="236">
        <f t="shared" ref="I8:I14" si="0">(G8*D8)*F8+H8*F8</f>
        <v>629.54999999999995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50.363999999999997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22.03425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557.15174999999999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118.98305084745758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3.3806740042372878</v>
      </c>
      <c r="P8" s="311">
        <f t="shared" ref="P8:P15" si="2">M8+N8+O8</f>
        <v>679.51547485169488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Raheem Store</v>
      </c>
      <c r="T8" s="301">
        <f>+'6'!P35</f>
        <v>339.75773742584738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55</v>
      </c>
      <c r="I9" s="236">
        <f t="shared" si="0"/>
        <v>2885.4375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230.83500000000004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100.9903125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2553.6121874999999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545.33898305084733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15.494755852754237</v>
      </c>
      <c r="P9" s="311">
        <f t="shared" si="2"/>
        <v>3114.4459264036013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Khattak Store</v>
      </c>
      <c r="T9" s="301">
        <f>+'7'!P35</f>
        <v>339.75773742584738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65</v>
      </c>
      <c r="I10" s="236">
        <f t="shared" si="0"/>
        <v>4721.6000000000004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377.72800000000001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165.25600000000003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4178.616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892.37288135593224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25.354944406779659</v>
      </c>
      <c r="P10" s="311">
        <f t="shared" si="2"/>
        <v>5096.3438257627113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20</v>
      </c>
      <c r="R10" s="313">
        <v>8</v>
      </c>
      <c r="S10" s="300" t="str">
        <f>+'8'!A6:A6</f>
        <v>Mughal Store</v>
      </c>
      <c r="T10" s="301">
        <f>+'8'!P35</f>
        <v>509.63660613877113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60</v>
      </c>
      <c r="I11" s="236">
        <f t="shared" si="0"/>
        <v>4358.3999999999996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348.67200000000003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152.54400000000001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3857.1839999999997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823.72881355932202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23.40456406779661</v>
      </c>
      <c r="P11" s="311">
        <f t="shared" si="2"/>
        <v>4704.3173776271187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20</v>
      </c>
      <c r="R11" s="313">
        <v>9</v>
      </c>
      <c r="S11" s="300" t="str">
        <f>+'9'!A6:A6</f>
        <v>Faisal Store</v>
      </c>
      <c r="T11" s="301">
        <f>+'9'!P35</f>
        <v>283.13144785487287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75</v>
      </c>
      <c r="I12" s="236">
        <f t="shared" si="0"/>
        <v>5448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435.84000000000009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190.68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4821.4799999999996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1029.6610169491526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29.255705084745763</v>
      </c>
      <c r="P12" s="311">
        <f t="shared" si="2"/>
        <v>5880.3967220338973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Khan Store</v>
      </c>
      <c r="T12" s="301">
        <f>+'10'!P35</f>
        <v>226.50515828389825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Janjua Strore</v>
      </c>
      <c r="T13" s="301">
        <f>+'11'!P35</f>
        <v>392.02644813559323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Ali Store</v>
      </c>
      <c r="T14" s="301">
        <f>+'12'!P35</f>
        <v>470.43173776271186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Khuram Store</v>
      </c>
      <c r="T15" s="301">
        <f>+'13'!P35</f>
        <v>392.02644813559323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9</v>
      </c>
      <c r="H16" s="113">
        <f t="shared" ref="H16:M16" si="3">SUM(H7:H15)</f>
        <v>360</v>
      </c>
      <c r="I16" s="114">
        <f t="shared" si="3"/>
        <v>22922</v>
      </c>
      <c r="J16" s="274">
        <f>SUM(J7:J15)</f>
        <v>1833.7600000000004</v>
      </c>
      <c r="K16" s="275">
        <f t="shared" si="3"/>
        <v>802.27</v>
      </c>
      <c r="L16" s="276">
        <f t="shared" si="3"/>
        <v>0</v>
      </c>
      <c r="M16" s="232">
        <f t="shared" si="3"/>
        <v>20285.97</v>
      </c>
      <c r="N16" s="233">
        <f>SUM(N7:N15)</f>
        <v>4332.2033898305081</v>
      </c>
      <c r="O16" s="101">
        <f>SUM(O7:O15)</f>
        <v>123.09086694915254</v>
      </c>
      <c r="P16" s="113">
        <f>SUM(P7:P15)</f>
        <v>24741.264256779657</v>
      </c>
      <c r="Q16" s="128">
        <f>SUM(Q7:Q15)</f>
        <v>80</v>
      </c>
      <c r="R16" s="313">
        <v>14</v>
      </c>
      <c r="S16" s="315" t="str">
        <f>+'14'!A6:A6</f>
        <v>Javaid Store</v>
      </c>
      <c r="T16" s="301">
        <f>+'14'!P35</f>
        <v>470.43173776271186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Zafar Store</v>
      </c>
      <c r="T17" s="301">
        <f>+'15'!P35</f>
        <v>470.43173776271186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Maki Store</v>
      </c>
      <c r="T18" s="301">
        <f>+'16'!P35</f>
        <v>470.43173776271186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22922</v>
      </c>
      <c r="R19" s="299">
        <v>17</v>
      </c>
      <c r="S19" s="300" t="str">
        <f>+'17'!A6:A6</f>
        <v>Qazi Store</v>
      </c>
      <c r="T19" s="301">
        <f>+'17'!P35</f>
        <v>470.43173776271186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1833.7600000000004</v>
      </c>
      <c r="R20" s="299">
        <v>18</v>
      </c>
      <c r="S20" s="300" t="str">
        <f>+'18'!A6:A6</f>
        <v>Butt Store</v>
      </c>
      <c r="T20" s="301">
        <f>+'18'!P35</f>
        <v>566.26289570974575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802.27</v>
      </c>
      <c r="R21" s="299">
        <v>19</v>
      </c>
      <c r="S21" s="300" t="str">
        <f>+'19'!A6:A6</f>
        <v>Shahid GS</v>
      </c>
      <c r="T21" s="301">
        <f>+'19'!P35</f>
        <v>566.26289570974575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20285.969999999998</v>
      </c>
      <c r="R22" s="299">
        <v>20</v>
      </c>
      <c r="S22" s="300" t="str">
        <f>+'20'!A6:A6</f>
        <v>Asif GS</v>
      </c>
      <c r="T22" s="301">
        <f>+'20'!P35</f>
        <v>566.26289570974575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4332.2033898305081</v>
      </c>
      <c r="R23" s="299">
        <v>21</v>
      </c>
      <c r="S23" s="300" t="str">
        <f>+'21'!A6:A6</f>
        <v>Hasan Store</v>
      </c>
      <c r="T23" s="301">
        <f>+'21'!P35</f>
        <v>566.26289570974575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24618.173389830506</v>
      </c>
      <c r="R24" s="299">
        <v>22</v>
      </c>
      <c r="S24" s="300" t="str">
        <f>+'22'!A6:A6</f>
        <v>Shareef Gs</v>
      </c>
      <c r="T24" s="301">
        <f>+'22'!P35</f>
        <v>784.05289627118646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123.09086694915254</v>
      </c>
      <c r="R25" s="299">
        <v>23</v>
      </c>
      <c r="S25" s="300" t="str">
        <f>+'23'!A6:A6</f>
        <v>Ali Store</v>
      </c>
      <c r="T25" s="301">
        <f>+'23'!P35</f>
        <v>784.05289627118646</v>
      </c>
    </row>
    <row r="26" spans="1:20" ht="21.75" customHeight="1" thickBot="1" x14ac:dyDescent="0.4">
      <c r="N26" s="374" t="s">
        <v>88</v>
      </c>
      <c r="O26" s="375"/>
      <c r="P26" s="297">
        <f>+P24+P25</f>
        <v>24741.264256779657</v>
      </c>
      <c r="R26" s="299">
        <v>24</v>
      </c>
      <c r="S26" s="300" t="str">
        <f>+'24'!A6:A6</f>
        <v xml:space="preserve">Kashmir Bakers </v>
      </c>
      <c r="T26" s="301">
        <f>+'24'!P35</f>
        <v>784.05289627118646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Yousaf Store</v>
      </c>
      <c r="T27" s="301">
        <f>+'25'!P35</f>
        <v>784.05289627118646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Chelet Bakers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24741.264256779654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18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46314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46313</v>
      </c>
      <c r="O5" s="394"/>
      <c r="P5" s="394"/>
      <c r="R5" s="85"/>
      <c r="S5" s="266"/>
    </row>
    <row r="6" spans="1:22 16383:16384" ht="17.25" customHeight="1" x14ac:dyDescent="0.4">
      <c r="A6" s="400" t="s">
        <v>515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Salman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167.88</v>
      </c>
      <c r="K16" s="127">
        <f>$I16*T16</f>
        <v>73.447500000000005</v>
      </c>
      <c r="L16" s="118">
        <f>$I16*U16</f>
        <v>0</v>
      </c>
      <c r="M16" s="229">
        <f>I16-SUM(J16:L16)</f>
        <v>1857.1725000000001</v>
      </c>
      <c r="N16" s="248">
        <f>+(G16*D16+H16)*V16</f>
        <v>396.61016949152526</v>
      </c>
      <c r="O16" s="238">
        <f>(N16+M16)*$O$15</f>
        <v>11.268913347457627</v>
      </c>
      <c r="P16" s="118">
        <f>M16+N16+O16</f>
        <v>2265.051582838983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ref="I18:I21" si="7">(G18*D18)*F18+H18*F18</f>
        <v>2098.5</v>
      </c>
      <c r="J18" s="272">
        <f t="shared" si="1"/>
        <v>167.88</v>
      </c>
      <c r="K18" s="128">
        <f t="shared" si="1"/>
        <v>73.447500000000005</v>
      </c>
      <c r="L18" s="119">
        <f t="shared" si="1"/>
        <v>0</v>
      </c>
      <c r="M18" s="230">
        <f t="shared" si="2"/>
        <v>1857.1725000000001</v>
      </c>
      <c r="N18" s="277">
        <f t="shared" si="3"/>
        <v>396.61016949152526</v>
      </c>
      <c r="O18" s="239">
        <f t="shared" si="4"/>
        <v>11.268913347457627</v>
      </c>
      <c r="P18" s="119">
        <f t="shared" si="5"/>
        <v>2265.051582838983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7"/>
        <v>1452.8</v>
      </c>
      <c r="J19" s="272">
        <f t="shared" si="1"/>
        <v>116.224</v>
      </c>
      <c r="K19" s="128">
        <f t="shared" si="1"/>
        <v>50.848000000000006</v>
      </c>
      <c r="L19" s="119">
        <f t="shared" si="1"/>
        <v>0</v>
      </c>
      <c r="M19" s="230">
        <f t="shared" si="2"/>
        <v>1285.7280000000001</v>
      </c>
      <c r="N19" s="277">
        <f t="shared" si="3"/>
        <v>274.57627118644069</v>
      </c>
      <c r="O19" s="239">
        <f t="shared" si="4"/>
        <v>7.8015213559322039</v>
      </c>
      <c r="P19" s="119">
        <f t="shared" si="5"/>
        <v>1568.1057925423729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7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119">
        <f t="shared" si="5"/>
        <v>1568.1057925423729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7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160</v>
      </c>
      <c r="I25" s="114">
        <f t="shared" ref="I25:M25" si="10">SUM(I16:I24)</f>
        <v>10008.200000000001</v>
      </c>
      <c r="J25" s="274">
        <f>SUM(J16:J24)</f>
        <v>800.65599999999995</v>
      </c>
      <c r="K25" s="275">
        <f t="shared" si="10"/>
        <v>350.28700000000003</v>
      </c>
      <c r="L25" s="276">
        <f t="shared" si="10"/>
        <v>0</v>
      </c>
      <c r="M25" s="232">
        <f t="shared" si="10"/>
        <v>8857.2570000000014</v>
      </c>
      <c r="N25" s="233">
        <f>SUM(N16:N24)</f>
        <v>1891.5254237288132</v>
      </c>
      <c r="O25" s="101">
        <f>SUM(O16:O24)</f>
        <v>53.743912118644062</v>
      </c>
      <c r="P25" s="234">
        <f>SUM(P16:P24)</f>
        <v>10802.526335847459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10008.200000000001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800.65599999999995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350.28700000000003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8857.2570000000014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1891.5254237288132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10748.782423728815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53.743912118644076</v>
      </c>
    </row>
    <row r="35" spans="2:16" ht="15.75" customHeight="1" thickBot="1" x14ac:dyDescent="0.4">
      <c r="N35" s="374" t="s">
        <v>88</v>
      </c>
      <c r="O35" s="375"/>
      <c r="P35" s="297">
        <f>+P33+P34</f>
        <v>10802.526335847459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9" workbookViewId="0">
      <selection activeCell="H16" sqref="H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46313</v>
      </c>
      <c r="O5" s="394"/>
      <c r="P5" s="394"/>
      <c r="R5" s="85"/>
      <c r="S5" s="266"/>
    </row>
    <row r="6" spans="1:22 16383:16384" ht="15" customHeight="1" x14ac:dyDescent="0.4">
      <c r="A6" s="400" t="s">
        <v>517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Salman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>
        <v>40</v>
      </c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>
        <v>20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>
        <v>20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80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46313</v>
      </c>
      <c r="O5" s="394"/>
      <c r="P5" s="394"/>
      <c r="R5" s="85"/>
      <c r="S5" s="266"/>
    </row>
    <row r="6" spans="1:22 16383:16384" ht="18.75" customHeight="1" x14ac:dyDescent="0.4">
      <c r="A6" s="400" t="s">
        <v>518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Salman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</v>
      </c>
      <c r="L25" s="276">
        <f t="shared" si="7"/>
        <v>0</v>
      </c>
      <c r="M25" s="232">
        <f t="shared" si="7"/>
        <v>2571.4559999999997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2905.6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232.44799999999998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101.696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2571.4560000000001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3120.6085423728814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4" t="s">
        <v>88</v>
      </c>
      <c r="O35" s="375"/>
      <c r="P35" s="297">
        <f>+P33+P34</f>
        <v>3136.2115850847458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46313</v>
      </c>
      <c r="O5" s="394"/>
      <c r="P5" s="394"/>
      <c r="R5" s="85"/>
      <c r="S5" s="266"/>
    </row>
    <row r="6" spans="1:22 16383:16384" ht="15" customHeight="1" x14ac:dyDescent="0.4">
      <c r="A6" s="400" t="s">
        <v>519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Salman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</v>
      </c>
      <c r="I16" s="235">
        <f>(G16*D16)*F16+H16*F16</f>
        <v>104.925</v>
      </c>
      <c r="J16" s="271">
        <f>$I16*S16</f>
        <v>8.3940000000000001</v>
      </c>
      <c r="K16" s="127">
        <f>$I16*T16</f>
        <v>3.6723750000000002</v>
      </c>
      <c r="L16" s="118">
        <f>$I16*U16</f>
        <v>0</v>
      </c>
      <c r="M16" s="229">
        <f>I16-SUM(J16:L16)</f>
        <v>92.858624999999989</v>
      </c>
      <c r="N16" s="248">
        <f>+(G16*D16+H16)*V16</f>
        <v>19.830508474576263</v>
      </c>
      <c r="O16" s="238">
        <f>(N16+M16)*$O$15</f>
        <v>0.56344566737288126</v>
      </c>
      <c r="P16" s="118">
        <f>M16+N16+O16</f>
        <v>113.25257914194913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</v>
      </c>
      <c r="I17" s="236">
        <f t="shared" ref="I17:I23" si="0">(G17*D17)*F17+H17*F17</f>
        <v>104.925</v>
      </c>
      <c r="J17" s="272">
        <f t="shared" ref="J17:L24" si="1">$I17*S17</f>
        <v>8.3940000000000001</v>
      </c>
      <c r="K17" s="128">
        <f>$I17*T17</f>
        <v>3.6723750000000002</v>
      </c>
      <c r="L17" s="119">
        <f>$I17*U17</f>
        <v>0</v>
      </c>
      <c r="M17" s="230">
        <f t="shared" ref="M17:M24" si="2">I17-SUM(J17:L17)</f>
        <v>92.858624999999989</v>
      </c>
      <c r="N17" s="277">
        <f t="shared" ref="N17:N24" si="3">+(G17*D17+H17)*V17</f>
        <v>19.830508474576263</v>
      </c>
      <c r="O17" s="239">
        <f t="shared" ref="O17:O24" si="4">(N17+M17)*$O$15</f>
        <v>0.56344566737288126</v>
      </c>
      <c r="P17" s="119">
        <f t="shared" ref="P17:P24" si="5">M17+N17+O17</f>
        <v>113.25257914194913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</v>
      </c>
      <c r="I18" s="236">
        <f t="shared" si="0"/>
        <v>104.925</v>
      </c>
      <c r="J18" s="272">
        <f t="shared" si="1"/>
        <v>8.3940000000000001</v>
      </c>
      <c r="K18" s="128">
        <f t="shared" si="1"/>
        <v>3.6723750000000002</v>
      </c>
      <c r="L18" s="119">
        <f t="shared" si="1"/>
        <v>0</v>
      </c>
      <c r="M18" s="230">
        <f t="shared" si="2"/>
        <v>92.858624999999989</v>
      </c>
      <c r="N18" s="277">
        <f t="shared" si="3"/>
        <v>19.830508474576263</v>
      </c>
      <c r="O18" s="239">
        <f t="shared" si="4"/>
        <v>0.56344566737288126</v>
      </c>
      <c r="P18" s="119">
        <f t="shared" si="5"/>
        <v>113.25257914194913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6</v>
      </c>
      <c r="I25" s="114">
        <f t="shared" si="7"/>
        <v>314.77499999999998</v>
      </c>
      <c r="J25" s="274">
        <f>SUM(J16:J24)</f>
        <v>25.182000000000002</v>
      </c>
      <c r="K25" s="275">
        <f t="shared" si="7"/>
        <v>11.017125</v>
      </c>
      <c r="L25" s="276">
        <f t="shared" si="7"/>
        <v>0</v>
      </c>
      <c r="M25" s="232">
        <f t="shared" si="7"/>
        <v>278.575875</v>
      </c>
      <c r="N25" s="233">
        <f>SUM(N16:N24)</f>
        <v>59.491525423728788</v>
      </c>
      <c r="O25" s="101">
        <f>SUM(O16:O24)</f>
        <v>1.6903370021186439</v>
      </c>
      <c r="P25" s="234">
        <f>SUM(P16:P24)</f>
        <v>339.75773742584738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314.77499999999998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25.182000000000002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11.017125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278.57587499999994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59.491525423728788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338.06740042372871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1.6903370021186437</v>
      </c>
    </row>
    <row r="35" spans="2:16" ht="15.75" customHeight="1" thickBot="1" x14ac:dyDescent="0.4">
      <c r="N35" s="374" t="s">
        <v>88</v>
      </c>
      <c r="O35" s="375"/>
      <c r="P35" s="297">
        <f>+P33+P34</f>
        <v>339.75773742584738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46313</v>
      </c>
      <c r="O5" s="394"/>
      <c r="P5" s="394"/>
      <c r="R5" s="85"/>
      <c r="S5" s="266"/>
    </row>
    <row r="6" spans="1:22 16383:16384" ht="15" customHeight="1" x14ac:dyDescent="0.4">
      <c r="A6" s="400" t="s">
        <v>520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Salman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</v>
      </c>
      <c r="I16" s="235">
        <f>(G16*D16)*F16+H16*F16</f>
        <v>104.925</v>
      </c>
      <c r="J16" s="271">
        <f>$I16*S16</f>
        <v>8.3940000000000001</v>
      </c>
      <c r="K16" s="127">
        <f>$I16*T16</f>
        <v>3.6723750000000002</v>
      </c>
      <c r="L16" s="118">
        <f>$I16*U16</f>
        <v>0</v>
      </c>
      <c r="M16" s="229">
        <f>I16-SUM(J16:L16)</f>
        <v>92.858624999999989</v>
      </c>
      <c r="N16" s="248">
        <f>+(G16*D16+H16)*V16</f>
        <v>19.830508474576263</v>
      </c>
      <c r="O16" s="238">
        <f>(N16+M16)*$O$15</f>
        <v>0.56344566737288126</v>
      </c>
      <c r="P16" s="118">
        <f>M16+N16+O16</f>
        <v>113.25257914194913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</v>
      </c>
      <c r="I18" s="236">
        <f t="shared" si="0"/>
        <v>104.925</v>
      </c>
      <c r="J18" s="272">
        <f t="shared" si="1"/>
        <v>8.3940000000000001</v>
      </c>
      <c r="K18" s="128">
        <f t="shared" si="1"/>
        <v>3.6723750000000002</v>
      </c>
      <c r="L18" s="119">
        <f t="shared" si="1"/>
        <v>0</v>
      </c>
      <c r="M18" s="230">
        <f t="shared" si="2"/>
        <v>92.858624999999989</v>
      </c>
      <c r="N18" s="277">
        <f t="shared" si="3"/>
        <v>19.830508474576263</v>
      </c>
      <c r="O18" s="239">
        <f t="shared" si="4"/>
        <v>0.56344566737288126</v>
      </c>
      <c r="P18" s="119">
        <f t="shared" si="5"/>
        <v>113.25257914194913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</v>
      </c>
      <c r="I25" s="114">
        <f t="shared" si="7"/>
        <v>209.85</v>
      </c>
      <c r="J25" s="274">
        <f>SUM(J16:J24)</f>
        <v>16.788</v>
      </c>
      <c r="K25" s="275">
        <f t="shared" si="7"/>
        <v>7.3447500000000003</v>
      </c>
      <c r="L25" s="276">
        <f t="shared" si="7"/>
        <v>0</v>
      </c>
      <c r="M25" s="232">
        <f t="shared" si="7"/>
        <v>185.71724999999998</v>
      </c>
      <c r="N25" s="233">
        <f>SUM(N16:N24)</f>
        <v>39.661016949152526</v>
      </c>
      <c r="O25" s="101">
        <f>SUM(O16:O24)</f>
        <v>1.1268913347457625</v>
      </c>
      <c r="P25" s="234">
        <f>SUM(P16:P24)</f>
        <v>226.50515828389825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209.85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16.788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7.3447500000000003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185.71724999999998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39.661016949152526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225.3782669491525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1.1268913347457625</v>
      </c>
    </row>
    <row r="35" spans="2:16" ht="15.75" customHeight="1" thickBot="1" x14ac:dyDescent="0.4">
      <c r="N35" s="374" t="s">
        <v>88</v>
      </c>
      <c r="O35" s="375"/>
      <c r="P35" s="297">
        <f>+P33+P34</f>
        <v>226.50515828389825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46314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46313</v>
      </c>
      <c r="O5" s="394"/>
      <c r="P5" s="394"/>
      <c r="R5" s="85"/>
      <c r="S5" s="266"/>
    </row>
    <row r="6" spans="1:22 16383:16384" ht="15" customHeight="1" x14ac:dyDescent="0.4">
      <c r="A6" s="400" t="s">
        <v>521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Salman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3</v>
      </c>
      <c r="I16" s="235">
        <f>(G16*D16)*F16+H16*F16</f>
        <v>157.38749999999999</v>
      </c>
      <c r="J16" s="271">
        <f>$I16*S16</f>
        <v>12.590999999999999</v>
      </c>
      <c r="K16" s="127">
        <f>$I16*T16</f>
        <v>5.5085625</v>
      </c>
      <c r="L16" s="118">
        <f>$I16*U16</f>
        <v>0</v>
      </c>
      <c r="M16" s="229">
        <f>I16-SUM(J16:L16)</f>
        <v>139.2879375</v>
      </c>
      <c r="N16" s="248">
        <f>+(G16*D16+H16)*V16</f>
        <v>29.745762711864394</v>
      </c>
      <c r="O16" s="238">
        <f>(N16+M16)*$O$15</f>
        <v>0.84516850105932195</v>
      </c>
      <c r="P16" s="118">
        <f>M16+N16+O16</f>
        <v>169.87886871292372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3</v>
      </c>
      <c r="I18" s="236">
        <f t="shared" si="0"/>
        <v>157.38749999999999</v>
      </c>
      <c r="J18" s="272">
        <f t="shared" si="1"/>
        <v>12.590999999999999</v>
      </c>
      <c r="K18" s="128">
        <f t="shared" si="1"/>
        <v>5.5085625</v>
      </c>
      <c r="L18" s="119">
        <f t="shared" si="1"/>
        <v>0</v>
      </c>
      <c r="M18" s="230">
        <f t="shared" si="2"/>
        <v>139.2879375</v>
      </c>
      <c r="N18" s="277">
        <f t="shared" si="3"/>
        <v>29.745762711864394</v>
      </c>
      <c r="O18" s="239">
        <f t="shared" si="4"/>
        <v>0.84516850105932195</v>
      </c>
      <c r="P18" s="119">
        <f t="shared" si="5"/>
        <v>169.87886871292372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6</v>
      </c>
      <c r="I25" s="114">
        <f t="shared" si="7"/>
        <v>314.77499999999998</v>
      </c>
      <c r="J25" s="274">
        <f>SUM(J16:J24)</f>
        <v>25.181999999999999</v>
      </c>
      <c r="K25" s="275">
        <f t="shared" si="7"/>
        <v>11.017125</v>
      </c>
      <c r="L25" s="276">
        <f t="shared" si="7"/>
        <v>0</v>
      </c>
      <c r="M25" s="232">
        <f t="shared" si="7"/>
        <v>278.575875</v>
      </c>
      <c r="N25" s="233">
        <f>SUM(N16:N24)</f>
        <v>59.491525423728788</v>
      </c>
      <c r="O25" s="101">
        <f>SUM(O16:O24)</f>
        <v>1.6903370021186439</v>
      </c>
      <c r="P25" s="234">
        <f>SUM(P16:P24)</f>
        <v>339.75773742584744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314.77499999999998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25.181999999999999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11.017125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278.57587499999994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59.491525423728788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338.06740042372871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1.6903370021186437</v>
      </c>
    </row>
    <row r="35" spans="2:16" ht="15.75" customHeight="1" thickBot="1" x14ac:dyDescent="0.4">
      <c r="N35" s="374" t="s">
        <v>88</v>
      </c>
      <c r="O35" s="375"/>
      <c r="P35" s="297">
        <f>+P33+P34</f>
        <v>339.75773742584738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46313</v>
      </c>
      <c r="O5" s="394"/>
      <c r="P5" s="394"/>
      <c r="R5" s="85"/>
      <c r="S5" s="266"/>
    </row>
    <row r="6" spans="1:22 16383:16384" ht="15" customHeight="1" x14ac:dyDescent="0.4">
      <c r="A6" s="400" t="s">
        <v>522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Salman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3</v>
      </c>
      <c r="I16" s="235">
        <f>(G16*D16)*F16+H16*F16</f>
        <v>157.38749999999999</v>
      </c>
      <c r="J16" s="271">
        <f>$I16*S16</f>
        <v>12.590999999999999</v>
      </c>
      <c r="K16" s="127">
        <f>$I16*T16</f>
        <v>5.5085625</v>
      </c>
      <c r="L16" s="118">
        <f>$I16*U16</f>
        <v>0</v>
      </c>
      <c r="M16" s="229">
        <f>I16-SUM(J16:L16)</f>
        <v>139.2879375</v>
      </c>
      <c r="N16" s="248">
        <f>+(G16*D16+H16)*V16</f>
        <v>29.745762711864394</v>
      </c>
      <c r="O16" s="238">
        <f>(N16+M16)*$O$15</f>
        <v>0.84516850105932195</v>
      </c>
      <c r="P16" s="118">
        <f>M16+N16+O16</f>
        <v>169.87886871292372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3</v>
      </c>
      <c r="I18" s="236">
        <f t="shared" si="0"/>
        <v>157.38749999999999</v>
      </c>
      <c r="J18" s="272">
        <f t="shared" si="1"/>
        <v>12.590999999999999</v>
      </c>
      <c r="K18" s="128">
        <f t="shared" si="1"/>
        <v>5.5085625</v>
      </c>
      <c r="L18" s="119">
        <f t="shared" si="1"/>
        <v>0</v>
      </c>
      <c r="M18" s="230">
        <f t="shared" si="2"/>
        <v>139.2879375</v>
      </c>
      <c r="N18" s="277">
        <f t="shared" si="3"/>
        <v>29.745762711864394</v>
      </c>
      <c r="O18" s="239">
        <f t="shared" si="4"/>
        <v>0.84516850105932195</v>
      </c>
      <c r="P18" s="119">
        <f t="shared" si="5"/>
        <v>169.87886871292372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6</v>
      </c>
      <c r="I25" s="114">
        <f t="shared" si="7"/>
        <v>314.77499999999998</v>
      </c>
      <c r="J25" s="274">
        <f>SUM(J16:J24)</f>
        <v>25.181999999999999</v>
      </c>
      <c r="K25" s="275">
        <f t="shared" si="7"/>
        <v>11.017125</v>
      </c>
      <c r="L25" s="276">
        <f t="shared" si="7"/>
        <v>0</v>
      </c>
      <c r="M25" s="232">
        <f t="shared" si="7"/>
        <v>278.575875</v>
      </c>
      <c r="N25" s="233">
        <f>SUM(N16:N24)</f>
        <v>59.491525423728788</v>
      </c>
      <c r="O25" s="101">
        <f>SUM(O16:O24)</f>
        <v>1.6903370021186439</v>
      </c>
      <c r="P25" s="234">
        <f>SUM(P16:P24)</f>
        <v>339.75773742584744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314.77499999999998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25.181999999999999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11.017125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278.57587499999994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59.491525423728788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338.06740042372871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1.6903370021186437</v>
      </c>
    </row>
    <row r="35" spans="2:16" ht="15.75" customHeight="1" thickBot="1" x14ac:dyDescent="0.4">
      <c r="N35" s="374" t="s">
        <v>88</v>
      </c>
      <c r="O35" s="375"/>
      <c r="P35" s="297">
        <f>+P33+P34</f>
        <v>339.75773742584738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46313</v>
      </c>
      <c r="O5" s="394"/>
      <c r="P5" s="394"/>
      <c r="R5" s="85"/>
      <c r="S5" s="266"/>
    </row>
    <row r="6" spans="1:22 16383:16384" ht="15" customHeight="1" x14ac:dyDescent="0.4">
      <c r="A6" s="400" t="s">
        <v>523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Salman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3</v>
      </c>
      <c r="I16" s="235">
        <f>(G16*D16)*F16+H16*F16</f>
        <v>157.38749999999999</v>
      </c>
      <c r="J16" s="271">
        <f>$I16*S16</f>
        <v>12.590999999999999</v>
      </c>
      <c r="K16" s="127">
        <f>$I16*T16</f>
        <v>5.5085625</v>
      </c>
      <c r="L16" s="118">
        <f>$I16*U16</f>
        <v>0</v>
      </c>
      <c r="M16" s="229">
        <f>I16-SUM(J16:L16)</f>
        <v>139.2879375</v>
      </c>
      <c r="N16" s="248">
        <f>+(G16*D16+H16)*V16</f>
        <v>29.745762711864394</v>
      </c>
      <c r="O16" s="238">
        <f>(N16+M16)*$O$15</f>
        <v>0.84516850105932195</v>
      </c>
      <c r="P16" s="118">
        <f>M16+N16+O16</f>
        <v>169.87886871292372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3</v>
      </c>
      <c r="I17" s="236">
        <f t="shared" ref="I17:I23" si="0">(G17*D17)*F17+H17*F17</f>
        <v>157.38749999999999</v>
      </c>
      <c r="J17" s="272">
        <f t="shared" ref="J17:L24" si="1">$I17*S17</f>
        <v>12.590999999999999</v>
      </c>
      <c r="K17" s="128">
        <f>$I17*T17</f>
        <v>5.5085625</v>
      </c>
      <c r="L17" s="119">
        <f>$I17*U17</f>
        <v>0</v>
      </c>
      <c r="M17" s="230">
        <f t="shared" ref="M17:M24" si="2">I17-SUM(J17:L17)</f>
        <v>139.2879375</v>
      </c>
      <c r="N17" s="277">
        <f t="shared" ref="N17:N24" si="3">+(G17*D17+H17)*V17</f>
        <v>29.745762711864394</v>
      </c>
      <c r="O17" s="239">
        <f t="shared" ref="O17:O24" si="4">(N17+M17)*$O$15</f>
        <v>0.84516850105932195</v>
      </c>
      <c r="P17" s="119">
        <f t="shared" ref="P17:P24" si="5">M17+N17+O17</f>
        <v>169.87886871292372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3</v>
      </c>
      <c r="I18" s="236">
        <f t="shared" si="0"/>
        <v>157.38749999999999</v>
      </c>
      <c r="J18" s="272">
        <f t="shared" si="1"/>
        <v>12.590999999999999</v>
      </c>
      <c r="K18" s="128">
        <f t="shared" si="1"/>
        <v>5.5085625</v>
      </c>
      <c r="L18" s="119">
        <f t="shared" si="1"/>
        <v>0</v>
      </c>
      <c r="M18" s="230">
        <f t="shared" si="2"/>
        <v>139.2879375</v>
      </c>
      <c r="N18" s="277">
        <f t="shared" si="3"/>
        <v>29.745762711864394</v>
      </c>
      <c r="O18" s="239">
        <f t="shared" si="4"/>
        <v>0.84516850105932195</v>
      </c>
      <c r="P18" s="119">
        <f t="shared" si="5"/>
        <v>169.87886871292372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9</v>
      </c>
      <c r="I25" s="114">
        <f t="shared" si="7"/>
        <v>472.16249999999997</v>
      </c>
      <c r="J25" s="274">
        <f>SUM(J16:J24)</f>
        <v>37.772999999999996</v>
      </c>
      <c r="K25" s="275">
        <f t="shared" si="7"/>
        <v>16.5256875</v>
      </c>
      <c r="L25" s="276">
        <f t="shared" si="7"/>
        <v>0</v>
      </c>
      <c r="M25" s="232">
        <f t="shared" si="7"/>
        <v>417.86381249999999</v>
      </c>
      <c r="N25" s="233">
        <f>SUM(N16:N24)</f>
        <v>89.23728813559319</v>
      </c>
      <c r="O25" s="101">
        <f>SUM(O16:O24)</f>
        <v>2.5355055031779656</v>
      </c>
      <c r="P25" s="234">
        <f>SUM(P16:P24)</f>
        <v>509.63660613877119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472.16249999999997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37.772999999999996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16.5256875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417.86381249999999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89.23728813559319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507.10110063559318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2.5355055031779661</v>
      </c>
    </row>
    <row r="35" spans="2:16" ht="15.75" customHeight="1" thickBot="1" x14ac:dyDescent="0.4">
      <c r="N35" s="374" t="s">
        <v>88</v>
      </c>
      <c r="O35" s="375"/>
      <c r="P35" s="297">
        <f>+P33+P34</f>
        <v>509.63660613877113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2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46313</v>
      </c>
      <c r="O5" s="394"/>
      <c r="P5" s="394"/>
      <c r="R5" s="85"/>
      <c r="S5" s="266"/>
    </row>
    <row r="6" spans="1:22 16383:16384" ht="15" customHeight="1" x14ac:dyDescent="0.4">
      <c r="A6" s="400" t="s">
        <v>524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Salman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5</v>
      </c>
      <c r="I17" s="236">
        <f t="shared" ref="I17:I23" si="0">(G17*D17)*F17+H17*F17</f>
        <v>262.3125</v>
      </c>
      <c r="J17" s="272">
        <f t="shared" ref="J17:L24" si="1">$I17*S17</f>
        <v>20.984999999999999</v>
      </c>
      <c r="K17" s="128">
        <f>$I17*T17</f>
        <v>9.1809375000000006</v>
      </c>
      <c r="L17" s="119">
        <f>$I17*U17</f>
        <v>0</v>
      </c>
      <c r="M17" s="230">
        <f t="shared" ref="M17:M24" si="2">I17-SUM(J17:L17)</f>
        <v>232.14656250000002</v>
      </c>
      <c r="N17" s="277">
        <f t="shared" ref="N17:N24" si="3">+(G17*D17+H17)*V17</f>
        <v>49.576271186440657</v>
      </c>
      <c r="O17" s="239">
        <f t="shared" ref="O17:O24" si="4">(N17+M17)*$O$15</f>
        <v>1.4086141684322033</v>
      </c>
      <c r="P17" s="119">
        <f t="shared" ref="P17:P24" si="5">M17+N17+O17</f>
        <v>283.13144785487287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5</v>
      </c>
      <c r="I25" s="114">
        <f t="shared" si="7"/>
        <v>262.3125</v>
      </c>
      <c r="J25" s="274">
        <f>SUM(J16:J24)</f>
        <v>20.984999999999999</v>
      </c>
      <c r="K25" s="275">
        <f t="shared" si="7"/>
        <v>9.1809375000000006</v>
      </c>
      <c r="L25" s="276">
        <f t="shared" si="7"/>
        <v>0</v>
      </c>
      <c r="M25" s="232">
        <f t="shared" si="7"/>
        <v>232.14656250000002</v>
      </c>
      <c r="N25" s="233">
        <f>SUM(N16:N24)</f>
        <v>49.576271186440657</v>
      </c>
      <c r="O25" s="101">
        <f>SUM(O16:O24)</f>
        <v>1.4086141684322033</v>
      </c>
      <c r="P25" s="234">
        <f>SUM(P16:P24)</f>
        <v>283.13144785487287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262.3125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20.984999999999999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9.1809375000000006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232.14656249999999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49.576271186440657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281.72283368644065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1.4086141684322033</v>
      </c>
    </row>
    <row r="35" spans="2:16" ht="15.75" customHeight="1" thickBot="1" x14ac:dyDescent="0.4">
      <c r="N35" s="374" t="s">
        <v>88</v>
      </c>
      <c r="O35" s="375"/>
      <c r="P35" s="297">
        <f>+P33+P34</f>
        <v>283.13144785487287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46313</v>
      </c>
      <c r="O5" s="394"/>
      <c r="P5" s="394"/>
      <c r="R5" s="85"/>
      <c r="S5" s="266"/>
    </row>
    <row r="6" spans="1:22 16383:16384" ht="15" customHeight="1" x14ac:dyDescent="0.4">
      <c r="A6" s="400" t="s">
        <v>525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Salman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</v>
      </c>
      <c r="I17" s="236">
        <f t="shared" ref="I17:I23" si="0">(G17*D17)*F17+H17*F17</f>
        <v>104.925</v>
      </c>
      <c r="J17" s="272">
        <f t="shared" ref="J17:L24" si="1">$I17*S17</f>
        <v>8.3940000000000001</v>
      </c>
      <c r="K17" s="128">
        <f>$I17*T17</f>
        <v>3.6723750000000002</v>
      </c>
      <c r="L17" s="119">
        <f>$I17*U17</f>
        <v>0</v>
      </c>
      <c r="M17" s="230">
        <f t="shared" ref="M17:M24" si="2">I17-SUM(J17:L17)</f>
        <v>92.858624999999989</v>
      </c>
      <c r="N17" s="277">
        <f t="shared" ref="N17:N24" si="3">+(G17*D17+H17)*V17</f>
        <v>19.830508474576263</v>
      </c>
      <c r="O17" s="239">
        <f t="shared" ref="O17:O24" si="4">(N17+M17)*$O$15</f>
        <v>0.56344566737288126</v>
      </c>
      <c r="P17" s="119">
        <f t="shared" ref="P17:P24" si="5">M17+N17+O17</f>
        <v>113.25257914194913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</v>
      </c>
      <c r="I18" s="236">
        <f t="shared" si="0"/>
        <v>104.925</v>
      </c>
      <c r="J18" s="272">
        <f t="shared" si="1"/>
        <v>8.3940000000000001</v>
      </c>
      <c r="K18" s="128">
        <f t="shared" si="1"/>
        <v>3.6723750000000002</v>
      </c>
      <c r="L18" s="119">
        <f t="shared" si="1"/>
        <v>0</v>
      </c>
      <c r="M18" s="230">
        <f t="shared" si="2"/>
        <v>92.858624999999989</v>
      </c>
      <c r="N18" s="277">
        <f t="shared" si="3"/>
        <v>19.830508474576263</v>
      </c>
      <c r="O18" s="239">
        <f t="shared" si="4"/>
        <v>0.56344566737288126</v>
      </c>
      <c r="P18" s="119">
        <f t="shared" si="5"/>
        <v>113.25257914194913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</v>
      </c>
      <c r="I25" s="114">
        <f t="shared" si="7"/>
        <v>209.85</v>
      </c>
      <c r="J25" s="274">
        <f>SUM(J16:J24)</f>
        <v>16.788</v>
      </c>
      <c r="K25" s="275">
        <f t="shared" si="7"/>
        <v>7.3447500000000003</v>
      </c>
      <c r="L25" s="276">
        <f t="shared" si="7"/>
        <v>0</v>
      </c>
      <c r="M25" s="232">
        <f t="shared" si="7"/>
        <v>185.71724999999998</v>
      </c>
      <c r="N25" s="233">
        <f>SUM(N16:N24)</f>
        <v>39.661016949152526</v>
      </c>
      <c r="O25" s="101">
        <f>SUM(O16:O24)</f>
        <v>1.1268913347457625</v>
      </c>
      <c r="P25" s="234">
        <f>SUM(P16:P24)</f>
        <v>226.50515828389825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209.85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16.788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7.3447500000000003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185.71724999999998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39.661016949152526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225.3782669491525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1.1268913347457625</v>
      </c>
    </row>
    <row r="35" spans="2:16" ht="15.75" customHeight="1" thickBot="1" x14ac:dyDescent="0.4">
      <c r="N35" s="374" t="s">
        <v>88</v>
      </c>
      <c r="O35" s="375"/>
      <c r="P35" s="297">
        <f>+P33+P34</f>
        <v>226.50515828389825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20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46313</v>
      </c>
      <c r="O5" s="394"/>
      <c r="P5" s="394"/>
      <c r="R5" s="85"/>
      <c r="S5" s="266"/>
    </row>
    <row r="6" spans="1:22 16383:16384" ht="15" customHeight="1" x14ac:dyDescent="0.4">
      <c r="A6" s="400" t="s">
        <v>526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Salman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</v>
      </c>
      <c r="I21" s="236">
        <f t="shared" si="0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119">
        <f t="shared" si="5"/>
        <v>392.02644813559323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363.2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29.056000000000001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12.712000000000002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321.43200000000002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390.07606779661018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74" t="s">
        <v>88</v>
      </c>
      <c r="O35" s="375"/>
      <c r="P35" s="297">
        <f>+P33+P34</f>
        <v>392.02644813559323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46313</v>
      </c>
      <c r="O5" s="394"/>
      <c r="P5" s="394"/>
      <c r="R5" s="85"/>
      <c r="S5" s="266"/>
    </row>
    <row r="6" spans="1:22 16383:16384" ht="15" customHeight="1" x14ac:dyDescent="0.4">
      <c r="A6" s="400" t="s">
        <v>527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Salman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</v>
      </c>
      <c r="I19" s="236">
        <f t="shared" si="0"/>
        <v>145.28</v>
      </c>
      <c r="J19" s="272">
        <f t="shared" si="1"/>
        <v>11.622400000000001</v>
      </c>
      <c r="K19" s="128">
        <f t="shared" si="1"/>
        <v>5.0848000000000004</v>
      </c>
      <c r="L19" s="119">
        <f t="shared" si="1"/>
        <v>0</v>
      </c>
      <c r="M19" s="230">
        <f t="shared" si="2"/>
        <v>128.5728</v>
      </c>
      <c r="N19" s="277">
        <f t="shared" si="3"/>
        <v>27.457627118644069</v>
      </c>
      <c r="O19" s="239">
        <f t="shared" si="4"/>
        <v>0.78015213559322039</v>
      </c>
      <c r="P19" s="119">
        <f t="shared" si="5"/>
        <v>156.8105792542373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</v>
      </c>
      <c r="I20" s="236">
        <f t="shared" si="0"/>
        <v>145.28</v>
      </c>
      <c r="J20" s="272">
        <f t="shared" si="1"/>
        <v>11.622400000000001</v>
      </c>
      <c r="K20" s="128">
        <f t="shared" si="1"/>
        <v>5.0848000000000004</v>
      </c>
      <c r="L20" s="119">
        <f t="shared" si="1"/>
        <v>0</v>
      </c>
      <c r="M20" s="230">
        <f t="shared" si="2"/>
        <v>128.5728</v>
      </c>
      <c r="N20" s="277">
        <f t="shared" si="3"/>
        <v>27.457627118644069</v>
      </c>
      <c r="O20" s="239">
        <f t="shared" si="4"/>
        <v>0.78015213559322039</v>
      </c>
      <c r="P20" s="119">
        <f t="shared" si="5"/>
        <v>156.8105792542373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</v>
      </c>
      <c r="I21" s="236">
        <f t="shared" si="0"/>
        <v>145.28</v>
      </c>
      <c r="J21" s="272">
        <f t="shared" si="1"/>
        <v>11.622400000000001</v>
      </c>
      <c r="K21" s="128">
        <f t="shared" si="1"/>
        <v>5.0848000000000004</v>
      </c>
      <c r="L21" s="119">
        <f t="shared" si="1"/>
        <v>0</v>
      </c>
      <c r="M21" s="230">
        <f t="shared" si="2"/>
        <v>128.5728</v>
      </c>
      <c r="N21" s="277">
        <f t="shared" si="3"/>
        <v>27.457627118644069</v>
      </c>
      <c r="O21" s="239">
        <f t="shared" si="4"/>
        <v>0.78015213559322039</v>
      </c>
      <c r="P21" s="119">
        <f t="shared" si="5"/>
        <v>156.8105792542373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6</v>
      </c>
      <c r="I25" s="114">
        <f t="shared" si="7"/>
        <v>435.84000000000003</v>
      </c>
      <c r="J25" s="274">
        <f>SUM(J16:J24)</f>
        <v>34.867200000000004</v>
      </c>
      <c r="K25" s="275">
        <f t="shared" si="7"/>
        <v>15.2544</v>
      </c>
      <c r="L25" s="276">
        <f t="shared" si="7"/>
        <v>0</v>
      </c>
      <c r="M25" s="232">
        <f t="shared" si="7"/>
        <v>385.71839999999997</v>
      </c>
      <c r="N25" s="233">
        <f>SUM(N16:N24)</f>
        <v>82.372881355932208</v>
      </c>
      <c r="O25" s="101">
        <f>SUM(O16:O24)</f>
        <v>2.3404564067796612</v>
      </c>
      <c r="P25" s="234">
        <f>SUM(P16:P24)</f>
        <v>470.43173776271192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435.84000000000003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34.867200000000004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15.2544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385.71840000000003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82.372881355932208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468.09128135593221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2.3404564067796612</v>
      </c>
    </row>
    <row r="35" spans="2:16" ht="15.75" customHeight="1" thickBot="1" x14ac:dyDescent="0.4">
      <c r="N35" s="374" t="s">
        <v>88</v>
      </c>
      <c r="O35" s="375"/>
      <c r="P35" s="297">
        <f>+P33+P34</f>
        <v>470.43173776271186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46313</v>
      </c>
      <c r="O5" s="394"/>
      <c r="P5" s="394"/>
      <c r="R5" s="85"/>
      <c r="S5" s="266"/>
    </row>
    <row r="6" spans="1:22 16383:16384" ht="15" customHeight="1" x14ac:dyDescent="0.4">
      <c r="A6" s="400" t="s">
        <v>528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Salman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</v>
      </c>
      <c r="I21" s="236">
        <f t="shared" si="0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119">
        <f t="shared" si="5"/>
        <v>392.02644813559323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363.2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29.056000000000001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12.712000000000002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321.43200000000002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390.07606779661018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74" t="s">
        <v>88</v>
      </c>
      <c r="O35" s="375"/>
      <c r="P35" s="297">
        <f>+P33+P34</f>
        <v>392.02644813559323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46313</v>
      </c>
      <c r="O5" s="394"/>
      <c r="P5" s="394"/>
      <c r="R5" s="85"/>
      <c r="S5" s="266"/>
    </row>
    <row r="6" spans="1:22 16383:16384" ht="15" customHeight="1" x14ac:dyDescent="0.4">
      <c r="A6" s="400" t="s">
        <v>529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Salman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</v>
      </c>
      <c r="I19" s="236">
        <f t="shared" si="0"/>
        <v>145.28</v>
      </c>
      <c r="J19" s="272">
        <f t="shared" si="1"/>
        <v>11.622400000000001</v>
      </c>
      <c r="K19" s="128">
        <f t="shared" si="1"/>
        <v>5.0848000000000004</v>
      </c>
      <c r="L19" s="119">
        <f t="shared" si="1"/>
        <v>0</v>
      </c>
      <c r="M19" s="230">
        <f t="shared" si="2"/>
        <v>128.5728</v>
      </c>
      <c r="N19" s="277">
        <f t="shared" si="3"/>
        <v>27.457627118644069</v>
      </c>
      <c r="O19" s="239">
        <f t="shared" si="4"/>
        <v>0.78015213559322039</v>
      </c>
      <c r="P19" s="119">
        <f t="shared" si="5"/>
        <v>156.8105792542373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</v>
      </c>
      <c r="I20" s="236">
        <f t="shared" si="0"/>
        <v>145.28</v>
      </c>
      <c r="J20" s="272">
        <f t="shared" si="1"/>
        <v>11.622400000000001</v>
      </c>
      <c r="K20" s="128">
        <f t="shared" si="1"/>
        <v>5.0848000000000004</v>
      </c>
      <c r="L20" s="119">
        <f t="shared" si="1"/>
        <v>0</v>
      </c>
      <c r="M20" s="230">
        <f t="shared" si="2"/>
        <v>128.5728</v>
      </c>
      <c r="N20" s="277">
        <f t="shared" si="3"/>
        <v>27.457627118644069</v>
      </c>
      <c r="O20" s="239">
        <f t="shared" si="4"/>
        <v>0.78015213559322039</v>
      </c>
      <c r="P20" s="119">
        <f t="shared" si="5"/>
        <v>156.8105792542373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</v>
      </c>
      <c r="I21" s="236">
        <f t="shared" si="0"/>
        <v>145.28</v>
      </c>
      <c r="J21" s="272">
        <f t="shared" si="1"/>
        <v>11.622400000000001</v>
      </c>
      <c r="K21" s="128">
        <f t="shared" si="1"/>
        <v>5.0848000000000004</v>
      </c>
      <c r="L21" s="119">
        <f t="shared" si="1"/>
        <v>0</v>
      </c>
      <c r="M21" s="230">
        <f t="shared" si="2"/>
        <v>128.5728</v>
      </c>
      <c r="N21" s="277">
        <f t="shared" si="3"/>
        <v>27.457627118644069</v>
      </c>
      <c r="O21" s="239">
        <f t="shared" si="4"/>
        <v>0.78015213559322039</v>
      </c>
      <c r="P21" s="119">
        <f t="shared" si="5"/>
        <v>156.8105792542373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6</v>
      </c>
      <c r="I25" s="114">
        <f t="shared" si="7"/>
        <v>435.84000000000003</v>
      </c>
      <c r="J25" s="274">
        <f>SUM(J16:J24)</f>
        <v>34.867200000000004</v>
      </c>
      <c r="K25" s="275">
        <f t="shared" si="7"/>
        <v>15.2544</v>
      </c>
      <c r="L25" s="276">
        <f t="shared" si="7"/>
        <v>0</v>
      </c>
      <c r="M25" s="232">
        <f t="shared" si="7"/>
        <v>385.71839999999997</v>
      </c>
      <c r="N25" s="233">
        <f>SUM(N16:N24)</f>
        <v>82.372881355932208</v>
      </c>
      <c r="O25" s="101">
        <f>SUM(O16:O24)</f>
        <v>2.3404564067796612</v>
      </c>
      <c r="P25" s="234">
        <f>SUM(P16:P24)</f>
        <v>470.43173776271192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435.84000000000003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34.867200000000004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15.2544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385.71840000000003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82.372881355932208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468.09128135593221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2.3404564067796612</v>
      </c>
    </row>
    <row r="35" spans="2:16" ht="15.75" customHeight="1" thickBot="1" x14ac:dyDescent="0.4">
      <c r="N35" s="374" t="s">
        <v>88</v>
      </c>
      <c r="O35" s="375"/>
      <c r="P35" s="297">
        <f>+P33+P34</f>
        <v>470.43173776271186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46313</v>
      </c>
      <c r="O5" s="394"/>
      <c r="P5" s="394"/>
      <c r="R5" s="85"/>
      <c r="S5" s="266"/>
    </row>
    <row r="6" spans="1:22 16383:16384" ht="15" customHeight="1" x14ac:dyDescent="0.4">
      <c r="A6" s="400" t="s">
        <v>530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Salman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</v>
      </c>
      <c r="I19" s="236">
        <f t="shared" si="0"/>
        <v>145.28</v>
      </c>
      <c r="J19" s="272">
        <f t="shared" si="1"/>
        <v>11.622400000000001</v>
      </c>
      <c r="K19" s="128">
        <f t="shared" si="1"/>
        <v>5.0848000000000004</v>
      </c>
      <c r="L19" s="119">
        <f t="shared" si="1"/>
        <v>0</v>
      </c>
      <c r="M19" s="230">
        <f t="shared" si="2"/>
        <v>128.5728</v>
      </c>
      <c r="N19" s="277">
        <f t="shared" si="3"/>
        <v>27.457627118644069</v>
      </c>
      <c r="O19" s="239">
        <f t="shared" si="4"/>
        <v>0.78015213559322039</v>
      </c>
      <c r="P19" s="119">
        <f t="shared" si="5"/>
        <v>156.8105792542373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</v>
      </c>
      <c r="I20" s="236">
        <f t="shared" si="0"/>
        <v>145.28</v>
      </c>
      <c r="J20" s="272">
        <f t="shared" si="1"/>
        <v>11.622400000000001</v>
      </c>
      <c r="K20" s="128">
        <f t="shared" si="1"/>
        <v>5.0848000000000004</v>
      </c>
      <c r="L20" s="119">
        <f t="shared" si="1"/>
        <v>0</v>
      </c>
      <c r="M20" s="230">
        <f t="shared" si="2"/>
        <v>128.5728</v>
      </c>
      <c r="N20" s="277">
        <f t="shared" si="3"/>
        <v>27.457627118644069</v>
      </c>
      <c r="O20" s="239">
        <f t="shared" si="4"/>
        <v>0.78015213559322039</v>
      </c>
      <c r="P20" s="119">
        <f t="shared" si="5"/>
        <v>156.8105792542373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</v>
      </c>
      <c r="I21" s="236">
        <f t="shared" si="0"/>
        <v>145.28</v>
      </c>
      <c r="J21" s="272">
        <f t="shared" si="1"/>
        <v>11.622400000000001</v>
      </c>
      <c r="K21" s="128">
        <f t="shared" si="1"/>
        <v>5.0848000000000004</v>
      </c>
      <c r="L21" s="119">
        <f t="shared" si="1"/>
        <v>0</v>
      </c>
      <c r="M21" s="230">
        <f t="shared" si="2"/>
        <v>128.5728</v>
      </c>
      <c r="N21" s="277">
        <f t="shared" si="3"/>
        <v>27.457627118644069</v>
      </c>
      <c r="O21" s="239">
        <f t="shared" si="4"/>
        <v>0.78015213559322039</v>
      </c>
      <c r="P21" s="119">
        <f t="shared" si="5"/>
        <v>156.8105792542373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6</v>
      </c>
      <c r="I25" s="114">
        <f t="shared" si="7"/>
        <v>435.84000000000003</v>
      </c>
      <c r="J25" s="274">
        <f>SUM(J16:J24)</f>
        <v>34.867200000000004</v>
      </c>
      <c r="K25" s="275">
        <f t="shared" si="7"/>
        <v>15.2544</v>
      </c>
      <c r="L25" s="276">
        <f t="shared" si="7"/>
        <v>0</v>
      </c>
      <c r="M25" s="232">
        <f t="shared" si="7"/>
        <v>385.71839999999997</v>
      </c>
      <c r="N25" s="233">
        <f>SUM(N16:N24)</f>
        <v>82.372881355932208</v>
      </c>
      <c r="O25" s="101">
        <f>SUM(O16:O24)</f>
        <v>2.3404564067796612</v>
      </c>
      <c r="P25" s="234">
        <f>SUM(P16:P24)</f>
        <v>470.43173776271192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435.84000000000003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34.867200000000004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15.2544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385.71840000000003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82.372881355932208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468.09128135593221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2.3404564067796612</v>
      </c>
    </row>
    <row r="35" spans="2:16" ht="15.75" customHeight="1" thickBot="1" x14ac:dyDescent="0.4">
      <c r="N35" s="374" t="s">
        <v>88</v>
      </c>
      <c r="O35" s="375"/>
      <c r="P35" s="297">
        <f>+P33+P34</f>
        <v>470.43173776271186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46313</v>
      </c>
      <c r="O5" s="394"/>
      <c r="P5" s="394"/>
      <c r="R5" s="85"/>
      <c r="S5" s="266"/>
    </row>
    <row r="6" spans="1:22 16383:16384" ht="15" customHeight="1" x14ac:dyDescent="0.4">
      <c r="A6" s="400" t="s">
        <v>531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Salman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</v>
      </c>
      <c r="I19" s="236">
        <f t="shared" si="0"/>
        <v>145.28</v>
      </c>
      <c r="J19" s="272">
        <f t="shared" si="1"/>
        <v>11.622400000000001</v>
      </c>
      <c r="K19" s="128">
        <f t="shared" si="1"/>
        <v>5.0848000000000004</v>
      </c>
      <c r="L19" s="119">
        <f t="shared" si="1"/>
        <v>0</v>
      </c>
      <c r="M19" s="230">
        <f t="shared" si="2"/>
        <v>128.5728</v>
      </c>
      <c r="N19" s="277">
        <f t="shared" si="3"/>
        <v>27.457627118644069</v>
      </c>
      <c r="O19" s="239">
        <f t="shared" si="4"/>
        <v>0.78015213559322039</v>
      </c>
      <c r="P19" s="119">
        <f t="shared" si="5"/>
        <v>156.8105792542373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</v>
      </c>
      <c r="I20" s="236">
        <f t="shared" si="0"/>
        <v>145.28</v>
      </c>
      <c r="J20" s="272">
        <f t="shared" si="1"/>
        <v>11.622400000000001</v>
      </c>
      <c r="K20" s="128">
        <f t="shared" si="1"/>
        <v>5.0848000000000004</v>
      </c>
      <c r="L20" s="119">
        <f t="shared" si="1"/>
        <v>0</v>
      </c>
      <c r="M20" s="230">
        <f t="shared" si="2"/>
        <v>128.5728</v>
      </c>
      <c r="N20" s="277">
        <f t="shared" si="3"/>
        <v>27.457627118644069</v>
      </c>
      <c r="O20" s="239">
        <f t="shared" si="4"/>
        <v>0.78015213559322039</v>
      </c>
      <c r="P20" s="119">
        <f t="shared" si="5"/>
        <v>156.8105792542373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</v>
      </c>
      <c r="I21" s="236">
        <f t="shared" si="0"/>
        <v>145.28</v>
      </c>
      <c r="J21" s="272">
        <f t="shared" si="1"/>
        <v>11.622400000000001</v>
      </c>
      <c r="K21" s="128">
        <f t="shared" si="1"/>
        <v>5.0848000000000004</v>
      </c>
      <c r="L21" s="119">
        <f t="shared" si="1"/>
        <v>0</v>
      </c>
      <c r="M21" s="230">
        <f t="shared" si="2"/>
        <v>128.5728</v>
      </c>
      <c r="N21" s="277">
        <f t="shared" si="3"/>
        <v>27.457627118644069</v>
      </c>
      <c r="O21" s="239">
        <f t="shared" si="4"/>
        <v>0.78015213559322039</v>
      </c>
      <c r="P21" s="119">
        <f t="shared" si="5"/>
        <v>156.8105792542373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6</v>
      </c>
      <c r="I25" s="114">
        <f t="shared" si="7"/>
        <v>435.84000000000003</v>
      </c>
      <c r="J25" s="274">
        <f>SUM(J16:J24)</f>
        <v>34.867200000000004</v>
      </c>
      <c r="K25" s="275">
        <f t="shared" si="7"/>
        <v>15.2544</v>
      </c>
      <c r="L25" s="276">
        <f t="shared" si="7"/>
        <v>0</v>
      </c>
      <c r="M25" s="232">
        <f t="shared" si="7"/>
        <v>385.71839999999997</v>
      </c>
      <c r="N25" s="233">
        <f>SUM(N16:N24)</f>
        <v>82.372881355932208</v>
      </c>
      <c r="O25" s="101">
        <f>SUM(O16:O24)</f>
        <v>2.3404564067796612</v>
      </c>
      <c r="P25" s="234">
        <f>SUM(P16:P24)</f>
        <v>470.43173776271192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435.84000000000003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34.867200000000004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15.2544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385.71840000000003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82.372881355932208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468.09128135593221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2.3404564067796612</v>
      </c>
    </row>
    <row r="35" spans="2:16" ht="15.75" customHeight="1" thickBot="1" x14ac:dyDescent="0.4">
      <c r="N35" s="374" t="s">
        <v>88</v>
      </c>
      <c r="O35" s="375"/>
      <c r="P35" s="297">
        <f>+P33+P34</f>
        <v>470.43173776271186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46313</v>
      </c>
      <c r="O5" s="394"/>
      <c r="P5" s="394"/>
      <c r="R5" s="85"/>
      <c r="S5" s="266"/>
    </row>
    <row r="6" spans="1:22 16383:16384" ht="15" customHeight="1" x14ac:dyDescent="0.4">
      <c r="A6" s="400" t="s">
        <v>532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Salman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</v>
      </c>
      <c r="I19" s="236">
        <f t="shared" si="0"/>
        <v>145.28</v>
      </c>
      <c r="J19" s="272">
        <f t="shared" si="1"/>
        <v>11.622400000000001</v>
      </c>
      <c r="K19" s="128">
        <f t="shared" si="1"/>
        <v>5.0848000000000004</v>
      </c>
      <c r="L19" s="119">
        <f t="shared" si="1"/>
        <v>0</v>
      </c>
      <c r="M19" s="230">
        <f t="shared" si="2"/>
        <v>128.5728</v>
      </c>
      <c r="N19" s="277">
        <f t="shared" si="3"/>
        <v>27.457627118644069</v>
      </c>
      <c r="O19" s="239">
        <f t="shared" si="4"/>
        <v>0.78015213559322039</v>
      </c>
      <c r="P19" s="119">
        <f t="shared" si="5"/>
        <v>156.8105792542373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</v>
      </c>
      <c r="I20" s="236">
        <f t="shared" si="0"/>
        <v>145.28</v>
      </c>
      <c r="J20" s="272">
        <f t="shared" si="1"/>
        <v>11.622400000000001</v>
      </c>
      <c r="K20" s="128">
        <f t="shared" si="1"/>
        <v>5.0848000000000004</v>
      </c>
      <c r="L20" s="119">
        <f t="shared" si="1"/>
        <v>0</v>
      </c>
      <c r="M20" s="230">
        <f t="shared" si="2"/>
        <v>128.5728</v>
      </c>
      <c r="N20" s="277">
        <f t="shared" si="3"/>
        <v>27.457627118644069</v>
      </c>
      <c r="O20" s="239">
        <f t="shared" si="4"/>
        <v>0.78015213559322039</v>
      </c>
      <c r="P20" s="119">
        <f t="shared" si="5"/>
        <v>156.8105792542373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>
        <v>2</v>
      </c>
      <c r="I21" s="236">
        <f t="shared" si="0"/>
        <v>145.28</v>
      </c>
      <c r="J21" s="272">
        <f t="shared" si="1"/>
        <v>11.622400000000001</v>
      </c>
      <c r="K21" s="128">
        <f t="shared" si="1"/>
        <v>5.0848000000000004</v>
      </c>
      <c r="L21" s="119">
        <f t="shared" si="1"/>
        <v>0</v>
      </c>
      <c r="M21" s="230">
        <f t="shared" si="2"/>
        <v>128.5728</v>
      </c>
      <c r="N21" s="277">
        <f t="shared" si="3"/>
        <v>27.457627118644069</v>
      </c>
      <c r="O21" s="239">
        <f t="shared" si="4"/>
        <v>0.78015213559322039</v>
      </c>
      <c r="P21" s="119">
        <f t="shared" si="5"/>
        <v>156.8105792542373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6</v>
      </c>
      <c r="I25" s="114">
        <f t="shared" si="7"/>
        <v>435.84000000000003</v>
      </c>
      <c r="J25" s="274">
        <f>SUM(J16:J24)</f>
        <v>34.867200000000004</v>
      </c>
      <c r="K25" s="275">
        <f t="shared" si="7"/>
        <v>15.2544</v>
      </c>
      <c r="L25" s="276">
        <f t="shared" si="7"/>
        <v>0</v>
      </c>
      <c r="M25" s="232">
        <f t="shared" si="7"/>
        <v>385.71839999999997</v>
      </c>
      <c r="N25" s="233">
        <f>SUM(N16:N24)</f>
        <v>82.372881355932208</v>
      </c>
      <c r="O25" s="101">
        <f>SUM(O16:O24)</f>
        <v>2.3404564067796612</v>
      </c>
      <c r="P25" s="234">
        <f>SUM(P16:P24)</f>
        <v>470.43173776271192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435.84000000000003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34.867200000000004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15.2544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385.71840000000003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82.372881355932208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468.09128135593221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2.3404564067796612</v>
      </c>
    </row>
    <row r="35" spans="2:16" ht="15.75" customHeight="1" thickBot="1" x14ac:dyDescent="0.4">
      <c r="N35" s="374" t="s">
        <v>88</v>
      </c>
      <c r="O35" s="375"/>
      <c r="P35" s="297">
        <f>+P33+P34</f>
        <v>470.43173776271186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46313</v>
      </c>
      <c r="O5" s="394"/>
      <c r="P5" s="394"/>
      <c r="R5" s="85"/>
      <c r="S5" s="266"/>
    </row>
    <row r="6" spans="1:22 16383:16384" ht="15" customHeight="1" x14ac:dyDescent="0.4">
      <c r="A6" s="400" t="s">
        <v>533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Salman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118">
        <f>M16+N16+O16</f>
        <v>566.26289570974575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524.625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41.97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18.361875000000001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464.29312499999997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563.4456673728813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74" t="s">
        <v>88</v>
      </c>
      <c r="O35" s="375"/>
      <c r="P35" s="297">
        <f>+P33+P34</f>
        <v>566.26289570974575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46313</v>
      </c>
      <c r="O5" s="394"/>
      <c r="P5" s="394"/>
      <c r="R5" s="85"/>
      <c r="S5" s="266"/>
    </row>
    <row r="6" spans="1:22 16383:16384" ht="15" customHeight="1" x14ac:dyDescent="0.4">
      <c r="A6" s="400" t="s">
        <v>534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Salman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118">
        <f>M16+N16+O16</f>
        <v>566.26289570974575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524.625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41.97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18.361875000000001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464.29312499999997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563.4456673728813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74" t="s">
        <v>88</v>
      </c>
      <c r="O35" s="375"/>
      <c r="P35" s="297">
        <f>+P33+P34</f>
        <v>566.26289570974575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46313</v>
      </c>
      <c r="O5" s="394"/>
      <c r="P5" s="394"/>
      <c r="R5" s="85"/>
      <c r="S5" s="266"/>
    </row>
    <row r="6" spans="1:22 16383:16384" ht="18.75" customHeight="1" x14ac:dyDescent="0.4">
      <c r="A6" s="400" t="s">
        <v>535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Salman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118">
        <f>M16+N16+O16</f>
        <v>566.26289570974575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524.625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41.97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18.361875000000001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464.29312499999997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563.4456673728813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74" t="s">
        <v>88</v>
      </c>
      <c r="O35" s="375"/>
      <c r="P35" s="297">
        <f>+P33+P34</f>
        <v>566.26289570974575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46313</v>
      </c>
      <c r="O5" s="394"/>
      <c r="P5" s="394"/>
      <c r="R5" s="85"/>
      <c r="S5" s="266"/>
    </row>
    <row r="6" spans="1:22 16383:16384" ht="15" customHeight="1" x14ac:dyDescent="0.4">
      <c r="A6" s="400" t="s">
        <v>536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Salman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118">
        <f>M16+N16+O16</f>
        <v>566.26289570974575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524.625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41.97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18.361875000000001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464.29312499999997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563.4456673728813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74" t="s">
        <v>88</v>
      </c>
      <c r="O35" s="375"/>
      <c r="P35" s="297">
        <f>+P33+P34</f>
        <v>566.26289570974575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46313</v>
      </c>
      <c r="O5" s="394"/>
      <c r="P5" s="394"/>
      <c r="R5" s="85"/>
      <c r="S5" s="266"/>
    </row>
    <row r="6" spans="1:22 16383:16384" ht="15" customHeight="1" x14ac:dyDescent="0.4">
      <c r="A6" s="400" t="s">
        <v>537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Salman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5</v>
      </c>
      <c r="I19" s="236">
        <f t="shared" si="0"/>
        <v>363.2</v>
      </c>
      <c r="J19" s="272">
        <f t="shared" si="1"/>
        <v>29.056000000000001</v>
      </c>
      <c r="K19" s="128">
        <f t="shared" si="1"/>
        <v>12.712000000000002</v>
      </c>
      <c r="L19" s="119">
        <f t="shared" si="1"/>
        <v>0</v>
      </c>
      <c r="M19" s="230">
        <f t="shared" si="2"/>
        <v>321.43200000000002</v>
      </c>
      <c r="N19" s="277">
        <f t="shared" si="3"/>
        <v>68.644067796610173</v>
      </c>
      <c r="O19" s="239">
        <f t="shared" si="4"/>
        <v>1.950380338983051</v>
      </c>
      <c r="P19" s="119">
        <f t="shared" si="5"/>
        <v>392.02644813559323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5</v>
      </c>
      <c r="I20" s="236">
        <f t="shared" si="0"/>
        <v>363.2</v>
      </c>
      <c r="J20" s="272">
        <f t="shared" si="1"/>
        <v>29.056000000000001</v>
      </c>
      <c r="K20" s="128">
        <f t="shared" si="1"/>
        <v>12.712000000000002</v>
      </c>
      <c r="L20" s="119">
        <f t="shared" si="1"/>
        <v>0</v>
      </c>
      <c r="M20" s="230">
        <f t="shared" si="2"/>
        <v>321.43200000000002</v>
      </c>
      <c r="N20" s="277">
        <f t="shared" si="3"/>
        <v>68.644067796610173</v>
      </c>
      <c r="O20" s="239">
        <f t="shared" si="4"/>
        <v>1.950380338983051</v>
      </c>
      <c r="P20" s="119">
        <f t="shared" si="5"/>
        <v>392.02644813559323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46313</v>
      </c>
      <c r="O5" s="394"/>
      <c r="P5" s="394"/>
      <c r="R5" s="85"/>
      <c r="S5" s="266"/>
    </row>
    <row r="6" spans="1:22 16383:16384" ht="15" customHeight="1" x14ac:dyDescent="0.4">
      <c r="A6" s="400" t="s">
        <v>527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Salman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5</v>
      </c>
      <c r="I19" s="236">
        <f t="shared" si="0"/>
        <v>363.2</v>
      </c>
      <c r="J19" s="272">
        <f t="shared" si="1"/>
        <v>29.056000000000001</v>
      </c>
      <c r="K19" s="128">
        <f t="shared" si="1"/>
        <v>12.712000000000002</v>
      </c>
      <c r="L19" s="119">
        <f t="shared" si="1"/>
        <v>0</v>
      </c>
      <c r="M19" s="230">
        <f t="shared" si="2"/>
        <v>321.43200000000002</v>
      </c>
      <c r="N19" s="277">
        <f t="shared" si="3"/>
        <v>68.644067796610173</v>
      </c>
      <c r="O19" s="239">
        <f t="shared" si="4"/>
        <v>1.950380338983051</v>
      </c>
      <c r="P19" s="119">
        <f t="shared" si="5"/>
        <v>392.02644813559323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5</v>
      </c>
      <c r="I20" s="236">
        <f t="shared" si="0"/>
        <v>363.2</v>
      </c>
      <c r="J20" s="272">
        <f t="shared" si="1"/>
        <v>29.056000000000001</v>
      </c>
      <c r="K20" s="128">
        <f t="shared" si="1"/>
        <v>12.712000000000002</v>
      </c>
      <c r="L20" s="119">
        <f t="shared" si="1"/>
        <v>0</v>
      </c>
      <c r="M20" s="230">
        <f t="shared" si="2"/>
        <v>321.43200000000002</v>
      </c>
      <c r="N20" s="277">
        <f t="shared" si="3"/>
        <v>68.644067796610173</v>
      </c>
      <c r="O20" s="239">
        <f t="shared" si="4"/>
        <v>1.950380338983051</v>
      </c>
      <c r="P20" s="119">
        <f t="shared" si="5"/>
        <v>392.02644813559323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topLeftCell="A2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46313</v>
      </c>
      <c r="O5" s="394"/>
      <c r="P5" s="394"/>
      <c r="R5" s="85"/>
      <c r="S5" s="266"/>
    </row>
    <row r="6" spans="1:22 16383:16384" ht="15" customHeight="1" x14ac:dyDescent="0.4">
      <c r="A6" s="400" t="s">
        <v>538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Salman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46313</v>
      </c>
      <c r="O5" s="394"/>
      <c r="P5" s="394"/>
      <c r="R5" s="85"/>
      <c r="S5" s="266"/>
    </row>
    <row r="6" spans="1:22 16383:16384" ht="15" customHeight="1" x14ac:dyDescent="0.4">
      <c r="A6" s="400" t="s">
        <v>539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Salman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Salman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topLeftCell="A6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46313</v>
      </c>
      <c r="O5" s="394"/>
      <c r="P5" s="394"/>
      <c r="R5" s="85"/>
      <c r="S5" s="266"/>
    </row>
    <row r="6" spans="1:22 16383:16384" ht="15" customHeight="1" x14ac:dyDescent="0.4">
      <c r="A6" s="400" t="s">
        <v>540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Salman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Salman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Salman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Salman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46315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46314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2026-10-19T11:12:55Z</dcterms:modified>
</cp:coreProperties>
</file>