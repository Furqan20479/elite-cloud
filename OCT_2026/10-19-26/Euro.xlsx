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4226308-24C1-47C8-B885-079BBE0F7560}" xr6:coauthVersionLast="47" xr6:coauthVersionMax="47" xr10:uidLastSave="{00000000-0000-0000-0000-000000000000}"/>
  <bookViews>
    <workbookView xWindow="-110" yWindow="-110" windowWidth="19420" windowHeight="10420" tabRatio="594" firstSheet="3" activeTab="8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S3" i="62" l="1"/>
  <c r="H3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8" l="1"/>
  <c r="O20" i="48" s="1"/>
  <c r="P20" i="48" s="1"/>
  <c r="R20" i="48" s="1"/>
  <c r="M16" i="48"/>
  <c r="M16" i="43"/>
  <c r="M22" i="43"/>
  <c r="O22" i="43" s="1"/>
  <c r="P22" i="43" s="1"/>
  <c r="M20" i="43"/>
  <c r="O20" i="43" s="1"/>
  <c r="P20" i="43" s="1"/>
  <c r="M21" i="43"/>
  <c r="O21" i="43" s="1"/>
  <c r="P21" i="43" s="1"/>
  <c r="M23" i="44"/>
  <c r="O23" i="44" s="1"/>
  <c r="P23" i="44" s="1"/>
  <c r="M20" i="47"/>
  <c r="O20" i="47" s="1"/>
  <c r="P20" i="47" s="1"/>
  <c r="R20" i="47" s="1"/>
  <c r="M21" i="47"/>
  <c r="O21" i="47" s="1"/>
  <c r="P21" i="47" s="1"/>
  <c r="J7" i="62"/>
  <c r="M21" i="44"/>
  <c r="O21" i="44" s="1"/>
  <c r="P21" i="44" s="1"/>
  <c r="M17" i="44"/>
  <c r="O17" i="44" s="1"/>
  <c r="P17" i="44" s="1"/>
  <c r="M16" i="44"/>
  <c r="O16" i="44" s="1"/>
  <c r="K12" i="62"/>
  <c r="M17" i="60"/>
  <c r="O17" i="60" s="1"/>
  <c r="P17" i="60" s="1"/>
  <c r="M16" i="66"/>
  <c r="M20" i="46"/>
  <c r="O20" i="46" s="1"/>
  <c r="P20" i="46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<sst xmlns="http://schemas.openxmlformats.org/spreadsheetml/2006/main" count="3974" uniqueCount="537">
  <si>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</si>
  <si>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</si>
  <si>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</si>
  <si>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</si>
  <si>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</si>
  <si>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</si>
  <si>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</si>
  <si>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</si>
  <si>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</si>
  <si>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</si>
  <si>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</si>
  <si>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</si>
  <si>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</si>
  <si>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</si>
  <si>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</si>
  <si>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</si>
  <si>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</si>
  <si>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</si>
  <si>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</si>
  <si>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</si>
  <si>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</si>
  <si>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</si>
  <si>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</si>
  <si>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</si>
  <si>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</si>
  <si>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</si>
  <si>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</si>
  <si>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</si>
  <si>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</si>
  <si>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</si>
  <si>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</si>
  <si>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</si>
  <si>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</si>
  <si>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</si>
  <si>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</si>
  <si>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</si>
  <si>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</si>
  <si>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</si>
  <si>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</si>
  <si>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</si>
  <si>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</si>
  <si>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</si>
  <si>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</si>
  <si>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</si>
  <si>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</si>
  <si>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</si>
  <si>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</si>
  <si>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</si>
  <si>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</si>
  <si>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</si>
  <si>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</si>
  <si>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</si>
  <si>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</si>
  <si>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</si>
  <si>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</si>
  <si>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</si>
  <si>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</si>
  <si>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</si>
  <si>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</si>
  <si>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</si>
  <si>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</si>
  <si>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</si>
  <si>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</si>
  <si>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</si>
  <si>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</si>
  <si>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</si>
  <si>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</si>
  <si>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</si>
  <si>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</si>
  <si>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</si>
  <si>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</si>
  <si>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</si>
  <si>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</si>
  <si>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</si>
  <si>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</si>
  <si>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</si>
  <si>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</si>
  <si>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</si>
  <si>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</si>
  <si>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</si>
  <si>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</si>
  <si>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</si>
  <si>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</si>
  <si>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</si>
  <si>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</si>
  <si>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</si>
  <si>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</si>
  <si>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</si>
  <si>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</si>
  <si>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</si>
  <si>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</si>
  <si>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</si>
  <si>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</si>
  <si>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</si>
  <si>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</si>
  <si>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</si>
  <si>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</si>
  <si>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</si>
  <si>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</si>
  <si>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</si>
  <si>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</si>
  <si>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</si>
  <si>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</si>
  <si>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</si>
  <si>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</si>
  <si>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</si>
  <si>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</si>
  <si>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</si>
  <si>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</si>
  <si>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</si>
  <si>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</si>
  <si>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</si>
  <si>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</si>
  <si>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</si>
  <si>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</si>
  <si>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</si>
  <si>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</si>
  <si>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</si>
  <si>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</si>
  <si>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</si>
  <si>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</si>
  <si>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</si>
  <si>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</si>
  <si>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</si>
  <si>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</si>
  <si>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</si>
  <si>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</si>
  <si>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</si>
  <si>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</si>
  <si>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</si>
  <si>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</si>
  <si>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</si>
  <si>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</si>
  <si>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</si>
  <si>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</si>
  <si>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</si>
  <si>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</si>
  <si>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</si>
  <si>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</si>
  <si>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</si>
  <si>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</si>
  <si>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</si>
  <si>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</si>
  <si>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</si>
  <si>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</si>
  <si>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</si>
  <si>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</si>
  <si>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</si>
  <si>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</si>
  <si>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</si>
  <si>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</si>
  <si>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</si>
  <si>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</si>
  <si>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</si>
  <si>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</si>
  <si>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</si>
  <si>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</si>
  <si>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</si>
  <si>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</si>
  <si>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</si>
  <si>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</si>
  <si>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</si>
  <si>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</si>
  <si>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</si>
  <si>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</si>
  <si>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</si>
  <si>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</si>
  <si>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</si>
  <si>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</si>
  <si>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</si>
  <si>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</si>
  <si>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</si>
  <si>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</si>
  <si>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</si>
  <si>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</si>
  <si>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</si>
  <si>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</si>
  <si>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</si>
  <si>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</si>
  <si>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</si>
  <si>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</si>
  <si>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</si>
  <si>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</si>
  <si>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</si>
  <si>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</si>
  <si>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</si>
  <si>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</si>
  <si>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</si>
  <si>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</si>
  <si>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</si>
  <si>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</si>
  <si>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</si>
  <si>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</si>
  <si>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</si>
  <si>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</si>
  <si>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</si>
  <si>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</si>
  <si>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</si>
  <si>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</si>
  <si>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</si>
  <si>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</si>
  <si>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</si>
  <si>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</si>
  <si>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</si>
  <si>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</si>
  <si>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</si>
  <si>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</si>
  <si>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</si>
  <si>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</si>
  <si>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</si>
  <si>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</si>
  <si>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</si>
  <si>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</si>
  <si>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</si>
  <si>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</si>
  <si>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</si>
  <si>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</si>
  <si>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</si>
  <si>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</si>
  <si>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</si>
  <si>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</si>
  <si>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</si>
  <si>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</si>
  <si>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</si>
  <si>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</si>
  <si>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</si>
  <si>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</si>
  <si>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</si>
  <si>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</si>
  <si>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</si>
  <si>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</si>
  <si>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</si>
  <si>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</si>
  <si>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</si>
  <si>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</si>
  <si>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</si>
  <si>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</si>
  <si>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</si>
  <si>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</si>
  <si>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</si>
  <si>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</si>
  <si>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</si>
  <si>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</si>
  <si>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</si>
  <si>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</si>
  <si>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</si>
  <si>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</si>
  <si>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</si>
  <si>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</si>
  <si>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</si>
  <si>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</si>
  <si>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</si>
  <si>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</si>
  <si>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</si>
  <si>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</si>
  <si>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</si>
  <si>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</si>
  <si>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</si>
  <si>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</si>
  <si>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</si>
  <si>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</si>
  <si>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</si>
  <si>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</si>
  <si>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</si>
  <si>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</si>
  <si>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</si>
  <si>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</si>
  <si>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</si>
  <si>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</si>
  <si>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</si>
  <si>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</si>
  <si>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</si>
  <si>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</si>
  <si>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</si>
  <si>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</si>
  <si>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</si>
  <si>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</si>
  <si>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</si>
  <si>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</si>
  <si>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</si>
  <si>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</si>
  <si>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</si>
  <si>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</si>
  <si>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</si>
  <si>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</si>
  <si>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</si>
  <si>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</si>
  <si>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</si>
  <si>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</si>
  <si>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</si>
  <si>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</si>
  <si>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</si>
  <si>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</si>
  <si>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</si>
  <si>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</si>
  <si>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</si>
  <si>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</si>
  <si>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</si>
  <si>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</si>
  <si>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</si>
  <si>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</si>
  <si>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</si>
  <si>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</si>
  <si>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</si>
  <si>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</si>
  <si>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</si>
  <si>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</si>
  <si>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</si>
  <si>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</si>
  <si>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</si>
  <si>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</si>
  <si>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</si>
  <si>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</si>
  <si>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</si>
  <si>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</si>
  <si>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</si>
  <si>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</si>
  <si>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</si>
  <si>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</si>
  <si>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</si>
  <si>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</si>
  <si>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</si>
  <si>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</si>
  <si>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</si>
  <si>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</si>
  <si>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</si>
  <si>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</si>
  <si>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</si>
  <si>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</si>
  <si>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</si>
  <si>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</si>
  <si>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</si>
  <si>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</si>
  <si>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</si>
  <si>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</si>
  <si>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</si>
  <si>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</si>
  <si>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</si>
  <si>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</si>
  <si>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</si>
  <si>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</si>
  <si>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</si>
  <si>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</si>
  <si>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</si>
  <si>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</si>
  <si>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</si>
  <si>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</si>
  <si>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</si>
  <si>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</si>
  <si>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</si>
  <si>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</si>
  <si>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</si>
  <si>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</si>
  <si>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</si>
  <si>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</si>
  <si>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</si>
  <si>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</si>
  <si>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</si>
  <si>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</si>
  <si>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</si>
  <si>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</si>
  <si>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</si>
  <si>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</si>
  <si>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</si>
  <si>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</si>
  <si>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</si>
  <si>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</si>
  <si>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</si>
  <si>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</si>
  <si>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</si>
  <si>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</si>
  <si>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</si>
  <si>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</si>
  <si>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</si>
  <si>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</si>
  <si>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</si>
  <si>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</si>
  <si>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</si>
  <si>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</si>
  <si>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</si>
  <si>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</si>
  <si>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</si>
  <si>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</si>
  <si>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</si>
  <si>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</si>
  <si>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</si>
  <si>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</si>
  <si>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</si>
  <si>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</si>
  <si>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</si>
  <si>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</si>
  <si>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</si>
  <si>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</si>
  <si>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</si>
  <si>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</si>
  <si>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</si>
  <si>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</si>
  <si>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</si>
  <si>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</si>
  <si>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</si>
  <si>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</si>
  <si>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</si>
  <si>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</si>
  <si>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</si>
  <si>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</si>
  <si>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</si>
  <si>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</si>
  <si>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</si>
  <si>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</si>
  <si>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</si>
  <si>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</si>
  <si>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</si>
  <si>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</si>
  <si>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</si>
  <si>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</si>
  <si>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</si>
  <si>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</si>
  <si>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</si>
  <si>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</si>
  <si>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</si>
  <si>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</si>
  <si>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</si>
  <si>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</si>
  <si>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</si>
  <si>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</si>
  <si>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</si>
  <si>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</si>
  <si>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</si>
  <si>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</si>
  <si>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</si>
  <si>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</si>
  <si>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</si>
  <si>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</si>
  <si>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</si>
  <si>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</si>
  <si>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</si>
  <si>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</si>
  <si>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</si>
  <si>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</si>
  <si>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</si>
  <si>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</si>
  <si>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</si>
  <si>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</si>
  <si>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</si>
  <si>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</si>
  <si>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</si>
  <si>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</si>
  <si>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</si>
  <si>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</si>
  <si>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</si>
  <si>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</si>
  <si>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</si>
  <si>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</si>
  <si>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</si>
  <si>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</si>
  <si>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</si>
  <si>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</si>
  <si>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</si>
  <si>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</si>
  <si>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</si>
  <si>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</si>
  <si>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</si>
  <si>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</si>
  <si>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</si>
  <si>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</si>
  <si>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</si>
  <si>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</si>
  <si>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</si>
  <si>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</si>
  <si>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</si>
  <si>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</si>
  <si>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</si>
  <si>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</si>
  <si>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</si>
  <si>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</si>
  <si>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</si>
  <si>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</si>
  <si>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</si>
  <si>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</si>
  <si>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</si>
  <si>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</si>
  <si>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</si>
  <si>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</si>
  <si>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</si>
  <si>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</si>
  <si>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</si>
  <si>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</si>
  <si>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</si>
  <si>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</si>
  <si>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</si>
  <si>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</si>
  <si>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</si>
  <si>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</si>
  <si>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</si>
  <si>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</si>
  <si>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</si>
  <si>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</si>
  <si>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</si>
  <si>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</si>
  <si>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</si>
  <si>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</si>
  <si>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</si>
  <si>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</si>
  <si>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</si>
  <si>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</si>
  <si>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</si>
  <si>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</si>
  <si>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</si>
  <si>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</si>
  <si>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</si>
  <si>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</si>
  <si>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</si>
  <si>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</si>
  <si>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</si>
  <si>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</si>
  <si>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</si>
  <si>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Euro</t>
  </si>
  <si>
    <t>NTN #: E757686-3</t>
  </si>
  <si>
    <t xml:space="preserve">Address: Airport </t>
  </si>
  <si>
    <t>Euro Store</t>
  </si>
  <si>
    <t xml:space="preserve">Address:Rangers </t>
  </si>
  <si>
    <t>Address:GT Road</t>
  </si>
  <si>
    <t>NTN #:1218925-1</t>
  </si>
  <si>
    <t>NTN #: 5420873-2</t>
  </si>
  <si>
    <t>NTN #: 6273197-8</t>
  </si>
  <si>
    <t>NTN #: 2157875-3</t>
  </si>
  <si>
    <t>Invoice No # :00000</t>
  </si>
  <si>
    <t>Address:Fateh Garh</t>
  </si>
  <si>
    <t>EURO Store Hypermarket</t>
  </si>
  <si>
    <t>NTN #: 4890950-8</t>
  </si>
  <si>
    <t>Address: Riwind Road</t>
  </si>
  <si>
    <t>Invoice No # :1231</t>
  </si>
  <si>
    <t xml:space="preserve">Euro Model Town </t>
  </si>
  <si>
    <t xml:space="preserve">Address:Model Town </t>
  </si>
  <si>
    <t>Invoice No # :1515</t>
  </si>
  <si>
    <t xml:space="preserve">Address:NFC Society </t>
  </si>
  <si>
    <t>Invoice No # :15151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</si>
</sst>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S3" sqref="S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7" t="s">
        <v>91</v>
      </c>
      <c r="B2" s="367"/>
      <c r="C2" s="367"/>
      <c r="E2" s="354" t="s">
        <v>499</v>
      </c>
      <c r="F2" s="355"/>
      <c r="G2" s="355"/>
      <c r="H2" s="352" t="s">
        <v>516</v>
      </c>
      <c r="I2" s="352"/>
      <c r="J2" s="353"/>
      <c r="R2" s="349" t="s">
        <v>498</v>
      </c>
      <c r="S2" s="350"/>
      <c r="T2" s="351"/>
    </row>
    <row r="3" spans="1:20 16377:16378" ht="21.75" customHeight="1" thickBot="1" x14ac:dyDescent="0.4">
      <c r="A3" s="368" t="s">
        <v>92</v>
      </c>
      <c r="B3" s="368"/>
      <c r="C3" s="368"/>
      <c r="E3" s="358" t="s">
        <v>512</v>
      </c>
      <c r="F3" s="359"/>
      <c r="G3" s="359"/>
      <c r="H3" s="356">
        <f ca="1">TODAY()</f>
        <v>46314</v>
      </c>
      <c r="I3" s="356"/>
      <c r="J3" s="357"/>
      <c r="K3" s="369" t="s">
        <v>43</v>
      </c>
      <c r="L3" s="369"/>
      <c r="M3" s="369"/>
      <c r="N3" s="368"/>
      <c r="O3" s="368"/>
      <c r="P3" s="368"/>
      <c r="R3" s="299">
        <v>1</v>
      </c>
      <c r="S3" s="300" t="str">
        <f>+'1'!A6:A6</f>
        <v>Euro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Euro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8" t="s">
        <v>51</v>
      </c>
      <c r="B5" s="360"/>
      <c r="C5" s="390" t="s">
        <v>90</v>
      </c>
      <c r="D5" s="115" t="s">
        <v>52</v>
      </c>
      <c r="E5" s="392" t="s">
        <v>58</v>
      </c>
      <c r="F5" s="393"/>
      <c r="G5" s="365" t="s">
        <v>54</v>
      </c>
      <c r="H5" s="366"/>
      <c r="I5" s="394" t="s">
        <v>77</v>
      </c>
      <c r="J5" s="364" t="s">
        <v>55</v>
      </c>
      <c r="K5" s="365"/>
      <c r="L5" s="366"/>
      <c r="M5" s="360" t="s">
        <v>84</v>
      </c>
      <c r="N5" s="362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Euro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9"/>
      <c r="B6" s="361"/>
      <c r="C6" s="39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3"/>
      <c r="J6" s="143" t="s">
        <v>59</v>
      </c>
      <c r="K6" s="144" t="s">
        <v>39</v>
      </c>
      <c r="L6" s="145" t="s">
        <v>493</v>
      </c>
      <c r="M6" s="361"/>
      <c r="N6" s="363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Euro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200</v>
      </c>
      <c r="I7" s="235">
        <f>(G7*D7)*F7+H7*F7</f>
        <v>10492.5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1468.9500000000003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367.23750000000007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8656.3125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1983.0508474576263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53.196816737288131</v>
      </c>
      <c r="P7" s="310">
        <f>M7+N7+O7</f>
        <v>10692.560164194916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EURO Store Hypermarket</v>
      </c>
      <c r="T7" s="301">
        <f>+'5'!P35</f>
        <v>177660.23430508471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200</v>
      </c>
      <c r="I8" s="236">
        <f t="shared" ref="I8:I14" si="0">(G8*D8)*F8+H8*F8</f>
        <v>10492.5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1468.9500000000003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367.23750000000007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8656.3125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1983.0508474576263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53.196816737288131</v>
      </c>
      <c r="P8" s="311">
        <f t="shared" ref="P8:P15" si="2">M8+N8+O8</f>
        <v>10692.560164194916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Euro Model Town </v>
      </c>
      <c r="T8" s="301">
        <f>+'6'!P35</f>
        <v>56094.675317161011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280</v>
      </c>
      <c r="I9" s="236">
        <f t="shared" si="0"/>
        <v>14689.5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2056.5300000000002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514.13250000000005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12118.8375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2776.271186440677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74.475543432203395</v>
      </c>
      <c r="P9" s="311">
        <f t="shared" si="2"/>
        <v>14969.58422987288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Euro Store</v>
      </c>
      <c r="T9" s="301">
        <f>+'7'!P35</f>
        <v>39480.107342796597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1040</v>
      </c>
      <c r="I10" s="236">
        <f t="shared" si="0"/>
        <v>75545.600000000006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10576.384000000002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2644.0960000000005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62325.120000000003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14277.966101694918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383.01543050847459</v>
      </c>
      <c r="P10" s="311">
        <f t="shared" si="2"/>
        <v>76986.101532203393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960</v>
      </c>
      <c r="I11" s="236">
        <f t="shared" si="0"/>
        <v>69734.399999999994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9762.8160000000025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2440.7040000000006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57530.87999999999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13179.661016949154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353.55270508474581</v>
      </c>
      <c r="P11" s="311">
        <f t="shared" si="2"/>
        <v>71064.093722033882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1200</v>
      </c>
      <c r="I12" s="236">
        <f t="shared" si="0"/>
        <v>87168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12203.52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3050.88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71913.600000000006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16474.576271186441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441.94088135593222</v>
      </c>
      <c r="P12" s="311">
        <f t="shared" si="2"/>
        <v>88830.117152542371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70">
        <f>COUNT(A7:A15)</f>
        <v>0</v>
      </c>
      <c r="B16" s="371"/>
      <c r="C16" s="371" t="s">
        <v>40</v>
      </c>
      <c r="D16" s="371"/>
      <c r="E16" s="371"/>
      <c r="F16" s="372"/>
      <c r="G16" s="117">
        <f>H16/40</f>
        <v>97</v>
      </c>
      <c r="H16" s="113">
        <f t="shared" ref="H16:M16" si="3">SUM(H7:H15)</f>
        <v>3880</v>
      </c>
      <c r="I16" s="114">
        <f t="shared" si="3"/>
        <v>268122.5</v>
      </c>
      <c r="J16" s="274">
        <f>SUM(J7:J15)</f>
        <v>37537.150000000009</v>
      </c>
      <c r="K16" s="275">
        <f t="shared" si="3"/>
        <v>9384.2875000000022</v>
      </c>
      <c r="L16" s="276">
        <f t="shared" si="3"/>
        <v>0</v>
      </c>
      <c r="M16" s="232">
        <f t="shared" si="3"/>
        <v>221201.0625</v>
      </c>
      <c r="N16" s="233">
        <f>SUM(N7:N15)</f>
        <v>50674.576271186437</v>
      </c>
      <c r="O16" s="101">
        <f>SUM(O7:O15)</f>
        <v>1359.3781938559323</v>
      </c>
      <c r="P16" s="113">
        <f>SUM(P7:P15)</f>
        <v>273235.01696504233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3" t="s">
        <v>64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5"/>
      <c r="N19" s="382" t="s">
        <v>60</v>
      </c>
      <c r="O19" s="383"/>
      <c r="P19" s="139">
        <f>I16</f>
        <v>268122.5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6"/>
      <c r="C20" s="377"/>
      <c r="D20" s="377"/>
      <c r="E20" s="377"/>
      <c r="F20" s="377"/>
      <c r="G20" s="377"/>
      <c r="H20" s="377"/>
      <c r="I20" s="377"/>
      <c r="J20" s="377"/>
      <c r="K20" s="377"/>
      <c r="L20" s="378"/>
      <c r="N20" s="384" t="s">
        <v>85</v>
      </c>
      <c r="O20" s="385"/>
      <c r="P20" s="140">
        <f>+J16</f>
        <v>37537.150000000009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6"/>
      <c r="C21" s="377"/>
      <c r="D21" s="377"/>
      <c r="E21" s="377"/>
      <c r="F21" s="377"/>
      <c r="G21" s="377"/>
      <c r="H21" s="377"/>
      <c r="I21" s="377"/>
      <c r="J21" s="377"/>
      <c r="K21" s="377"/>
      <c r="L21" s="378"/>
      <c r="N21" s="384" t="s">
        <v>86</v>
      </c>
      <c r="O21" s="385"/>
      <c r="P21" s="140">
        <f>+K16+L16</f>
        <v>9384.2875000000022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6"/>
      <c r="C22" s="377"/>
      <c r="D22" s="377"/>
      <c r="E22" s="377"/>
      <c r="F22" s="377"/>
      <c r="G22" s="377"/>
      <c r="H22" s="377"/>
      <c r="I22" s="377"/>
      <c r="J22" s="377"/>
      <c r="K22" s="377"/>
      <c r="L22" s="378"/>
      <c r="M22" s="131"/>
      <c r="N22" s="384" t="s">
        <v>87</v>
      </c>
      <c r="O22" s="385"/>
      <c r="P22" s="140">
        <f>P19-P20-P21</f>
        <v>221201.06249999997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6"/>
      <c r="C23" s="377"/>
      <c r="D23" s="377"/>
      <c r="E23" s="377"/>
      <c r="F23" s="377"/>
      <c r="G23" s="377"/>
      <c r="H23" s="377"/>
      <c r="I23" s="377"/>
      <c r="J23" s="377"/>
      <c r="K23" s="377"/>
      <c r="L23" s="378"/>
      <c r="M23" s="131"/>
      <c r="N23" s="136" t="s">
        <v>61</v>
      </c>
      <c r="O23" s="133">
        <v>0.18</v>
      </c>
      <c r="P23" s="140">
        <f>+N16</f>
        <v>50674.576271186437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6"/>
      <c r="C24" s="377"/>
      <c r="D24" s="377"/>
      <c r="E24" s="377"/>
      <c r="F24" s="377"/>
      <c r="G24" s="377"/>
      <c r="H24" s="377"/>
      <c r="I24" s="377"/>
      <c r="J24" s="377"/>
      <c r="K24" s="377"/>
      <c r="L24" s="378"/>
      <c r="M24" s="131"/>
      <c r="N24" s="386" t="s">
        <v>76</v>
      </c>
      <c r="O24" s="387"/>
      <c r="P24" s="140">
        <f>P22+P23</f>
        <v>271875.63877118641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9"/>
      <c r="C25" s="380"/>
      <c r="D25" s="380"/>
      <c r="E25" s="380"/>
      <c r="F25" s="380"/>
      <c r="G25" s="380"/>
      <c r="H25" s="380"/>
      <c r="I25" s="380"/>
      <c r="J25" s="380"/>
      <c r="K25" s="380"/>
      <c r="L25" s="381"/>
      <c r="M25" s="99"/>
      <c r="N25" s="138" t="s">
        <v>83</v>
      </c>
      <c r="O25" s="137" t="e">
        <f>IF(#REF!="Filer",0.5%,2.5%)</f>
        <v>#REF!</v>
      </c>
      <c r="P25" s="140">
        <f>+O16</f>
        <v>1359.3781938559323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3" t="s">
        <v>88</v>
      </c>
      <c r="O26" s="344"/>
      <c r="P26" s="297">
        <f>+P24+P25</f>
        <v>273235.01696504233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5"/>
      <c r="D27" s="345"/>
      <c r="E27" s="345"/>
      <c r="F27" s="345"/>
      <c r="G27" s="345"/>
      <c r="H27" s="345"/>
      <c r="I27" s="346"/>
      <c r="J27" s="347"/>
      <c r="K27" s="348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273235.01696504233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Q16" sqref="Q16:Q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46309</v>
      </c>
      <c r="O5" s="368"/>
      <c r="P5" s="368"/>
      <c r="R5" s="85"/>
      <c r="S5" s="266"/>
    </row>
    <row r="6" spans="1:22 16383:16384" ht="17.25" customHeight="1" x14ac:dyDescent="0.4">
      <c r="A6" s="397" t="s">
        <v>516</v>
      </c>
      <c r="B6" s="397"/>
      <c r="C6" s="397"/>
      <c r="F6" s="85"/>
      <c r="G6" s="86"/>
      <c r="K6" s="369" t="s">
        <v>69</v>
      </c>
      <c r="L6" s="369"/>
      <c r="M6" s="369"/>
      <c r="N6" s="398" t="s">
        <v>504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522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518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1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12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12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12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12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12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Q16" sqref="Q16:Q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46309</v>
      </c>
      <c r="O5" s="368"/>
      <c r="P5" s="368"/>
      <c r="R5" s="85"/>
      <c r="S5" s="266"/>
    </row>
    <row r="6" spans="1:22 16383:16384" ht="15" customHeight="1" x14ac:dyDescent="0.4">
      <c r="A6" s="397" t="s">
        <v>519</v>
      </c>
      <c r="B6" s="397"/>
      <c r="C6" s="397"/>
      <c r="F6" s="85"/>
      <c r="G6" s="86"/>
      <c r="K6" s="369" t="s">
        <v>69</v>
      </c>
      <c r="L6" s="369"/>
      <c r="M6" s="369"/>
      <c r="N6" s="398" t="s">
        <v>506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523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520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activeCell="Q16" sqref="Q16:Q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46309</v>
      </c>
      <c r="O5" s="368"/>
      <c r="P5" s="368"/>
      <c r="R5" s="85"/>
      <c r="S5" s="266"/>
    </row>
    <row r="6" spans="1:22 16383:16384" ht="18.75" customHeight="1" x14ac:dyDescent="0.4">
      <c r="A6" s="397" t="s">
        <v>519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524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521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Q16" sqref="Q16:Q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46309</v>
      </c>
      <c r="O5" s="368"/>
      <c r="P5" s="368"/>
      <c r="R5" s="85"/>
      <c r="S5" s="266"/>
    </row>
    <row r="6" spans="1:22 16383:16384" ht="15" customHeight="1" x14ac:dyDescent="0.4">
      <c r="A6" s="397" t="s">
        <v>519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525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527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abSelected="1" topLeftCell="A4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531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46312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46311</v>
      </c>
      <c r="O5" s="368"/>
      <c r="P5" s="368"/>
      <c r="R5" s="85"/>
      <c r="S5" s="266"/>
    </row>
    <row r="6" spans="1:22 16383:16384" ht="15" customHeight="1" x14ac:dyDescent="0.4">
      <c r="A6" s="397" t="s">
        <v>528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529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530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800</v>
      </c>
      <c r="I19" s="236">
        <f t="shared" si="0"/>
        <v>58112</v>
      </c>
      <c r="J19" s="272">
        <f t="shared" si="1"/>
        <v>8135.6800000000012</v>
      </c>
      <c r="K19" s="128">
        <f t="shared" si="1"/>
        <v>2033.9200000000003</v>
      </c>
      <c r="L19" s="119">
        <f t="shared" si="1"/>
        <v>0</v>
      </c>
      <c r="M19" s="230">
        <f t="shared" si="2"/>
        <v>47942.399999999994</v>
      </c>
      <c r="N19" s="277">
        <f t="shared" si="3"/>
        <v>10983.050847457627</v>
      </c>
      <c r="O19" s="239">
        <f t="shared" si="4"/>
        <v>294.62725423728813</v>
      </c>
      <c r="P19" s="311">
        <f t="shared" si="5"/>
        <v>59220.078101694911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720</v>
      </c>
      <c r="I20" s="236">
        <f t="shared" si="0"/>
        <v>52300.800000000003</v>
      </c>
      <c r="J20" s="272">
        <f t="shared" si="1"/>
        <v>7322.112000000001</v>
      </c>
      <c r="K20" s="128">
        <f t="shared" si="1"/>
        <v>1830.5280000000002</v>
      </c>
      <c r="L20" s="119">
        <f t="shared" si="1"/>
        <v>0</v>
      </c>
      <c r="M20" s="230">
        <f t="shared" si="2"/>
        <v>43148.160000000003</v>
      </c>
      <c r="N20" s="277">
        <f t="shared" si="3"/>
        <v>9884.7457627118656</v>
      </c>
      <c r="O20" s="239">
        <f t="shared" si="4"/>
        <v>265.16452881355934</v>
      </c>
      <c r="P20" s="311">
        <f t="shared" si="5"/>
        <v>53298.07029152543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880</v>
      </c>
      <c r="I21" s="236">
        <f t="shared" si="0"/>
        <v>63923.199999999997</v>
      </c>
      <c r="J21" s="272">
        <f t="shared" si="1"/>
        <v>8949.2479999999996</v>
      </c>
      <c r="K21" s="128">
        <f t="shared" si="1"/>
        <v>2237.3119999999999</v>
      </c>
      <c r="L21" s="119">
        <f t="shared" si="1"/>
        <v>0</v>
      </c>
      <c r="M21" s="230">
        <f t="shared" si="2"/>
        <v>52736.639999999999</v>
      </c>
      <c r="N21" s="277">
        <f t="shared" si="3"/>
        <v>12081.355932203391</v>
      </c>
      <c r="O21" s="239">
        <f t="shared" si="4"/>
        <v>324.08997966101697</v>
      </c>
      <c r="P21" s="311">
        <f t="shared" si="5"/>
        <v>65142.085911864408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2400</v>
      </c>
      <c r="I25" s="114">
        <f t="shared" si="7"/>
        <v>174336</v>
      </c>
      <c r="J25" s="274">
        <f>SUM(J16:J24)</f>
        <v>24407.040000000001</v>
      </c>
      <c r="K25" s="275">
        <f t="shared" si="7"/>
        <v>6101.76</v>
      </c>
      <c r="L25" s="276">
        <f t="shared" si="7"/>
        <v>0</v>
      </c>
      <c r="M25" s="232">
        <f t="shared" si="7"/>
        <v>143827.20000000001</v>
      </c>
      <c r="N25" s="233">
        <f>SUM(N16:N24)</f>
        <v>32949.152542372882</v>
      </c>
      <c r="O25" s="101">
        <f>SUM(O16:O24)</f>
        <v>883.88176271186444</v>
      </c>
      <c r="P25" s="113">
        <f>SUM(P16:P24)</f>
        <v>177660.23430508474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174336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24407.040000000001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6101.76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143827.19999999998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32949.152542372882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176776.35254237286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883.88176271186433</v>
      </c>
    </row>
    <row r="35" spans="2:16" ht="15.75" customHeight="1" thickBot="1" x14ac:dyDescent="0.4">
      <c r="N35" s="343" t="s">
        <v>88</v>
      </c>
      <c r="O35" s="344"/>
      <c r="P35" s="297">
        <f>+P33+P34</f>
        <v>177660.23430508471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18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46314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46313</v>
      </c>
      <c r="O5" s="368"/>
      <c r="P5" s="368"/>
      <c r="R5" s="85"/>
      <c r="S5" s="266"/>
    </row>
    <row r="6" spans="1:22 16383:16384" ht="15" customHeight="1" x14ac:dyDescent="0.4">
      <c r="A6" s="397" t="s">
        <v>532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533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120</v>
      </c>
      <c r="I16" s="235">
        <f>(G16*D16)*F16+H16*F16</f>
        <v>6295.5</v>
      </c>
      <c r="J16" s="271">
        <f>$I16*S16</f>
        <v>881.37000000000012</v>
      </c>
      <c r="K16" s="127">
        <f>$I16*T16</f>
        <v>220.34250000000003</v>
      </c>
      <c r="L16" s="118">
        <f>$I16*U16</f>
        <v>0</v>
      </c>
      <c r="M16" s="229">
        <f>I16-SUM(J16:L16)</f>
        <v>5193.7875000000004</v>
      </c>
      <c r="N16" s="248">
        <f>+(G16*D16+H16)*V16</f>
        <v>1189.8305084745757</v>
      </c>
      <c r="O16" s="238">
        <f>(N16+M16)*$O$15</f>
        <v>31.918090042372878</v>
      </c>
      <c r="P16" s="310">
        <f>M16+N16+O16</f>
        <v>6415.5360985169482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120</v>
      </c>
      <c r="I17" s="236">
        <f t="shared" ref="I17:I23" si="0">(G17*D17)*F17+H17*F17</f>
        <v>6295.5</v>
      </c>
      <c r="J17" s="272">
        <f t="shared" ref="J17:L24" si="1">$I17*S17</f>
        <v>881.37000000000012</v>
      </c>
      <c r="K17" s="128">
        <f>$I17*T17</f>
        <v>220.34250000000003</v>
      </c>
      <c r="L17" s="119">
        <f>$I17*U17</f>
        <v>0</v>
      </c>
      <c r="M17" s="230">
        <f t="shared" ref="M17:M24" si="2">I17-SUM(J17:L17)</f>
        <v>5193.7875000000004</v>
      </c>
      <c r="N17" s="277">
        <f t="shared" ref="N17:N24" si="3">+(G17*D17+H17)*V17</f>
        <v>1189.8305084745757</v>
      </c>
      <c r="O17" s="239">
        <f t="shared" ref="O17:O24" si="4">(N17+M17)*$O$15</f>
        <v>31.918090042372878</v>
      </c>
      <c r="P17" s="311">
        <f t="shared" ref="P17:P24" si="5">M17+N17+O17</f>
        <v>6415.5360985169482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200</v>
      </c>
      <c r="I18" s="236">
        <f t="shared" si="0"/>
        <v>10492.5</v>
      </c>
      <c r="J18" s="272">
        <f t="shared" si="1"/>
        <v>1468.95</v>
      </c>
      <c r="K18" s="128">
        <f t="shared" si="1"/>
        <v>367.23750000000001</v>
      </c>
      <c r="L18" s="119">
        <f t="shared" si="1"/>
        <v>0</v>
      </c>
      <c r="M18" s="230">
        <f t="shared" si="2"/>
        <v>8656.3125</v>
      </c>
      <c r="N18" s="277">
        <f t="shared" si="3"/>
        <v>1983.0508474576263</v>
      </c>
      <c r="O18" s="239">
        <f t="shared" si="4"/>
        <v>53.196816737288138</v>
      </c>
      <c r="P18" s="311">
        <f t="shared" si="5"/>
        <v>10692.560164194916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0"/>
        <v>8716.7999999999993</v>
      </c>
      <c r="J19" s="272">
        <f t="shared" si="1"/>
        <v>1220.3520000000001</v>
      </c>
      <c r="K19" s="128">
        <f t="shared" si="1"/>
        <v>305.08800000000002</v>
      </c>
      <c r="L19" s="119">
        <f t="shared" si="1"/>
        <v>0</v>
      </c>
      <c r="M19" s="230">
        <f t="shared" si="2"/>
        <v>7191.3599999999988</v>
      </c>
      <c r="N19" s="277">
        <f t="shared" si="3"/>
        <v>1647.4576271186443</v>
      </c>
      <c r="O19" s="239">
        <f t="shared" si="4"/>
        <v>44.194088135593212</v>
      </c>
      <c r="P19" s="311">
        <f t="shared" si="5"/>
        <v>8883.0117152542352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120</v>
      </c>
      <c r="I20" s="236">
        <f t="shared" si="0"/>
        <v>8716.7999999999993</v>
      </c>
      <c r="J20" s="272">
        <f t="shared" si="1"/>
        <v>1220.3520000000001</v>
      </c>
      <c r="K20" s="128">
        <f t="shared" si="1"/>
        <v>305.08800000000002</v>
      </c>
      <c r="L20" s="119">
        <f t="shared" si="1"/>
        <v>0</v>
      </c>
      <c r="M20" s="230">
        <f t="shared" si="2"/>
        <v>7191.3599999999988</v>
      </c>
      <c r="N20" s="277">
        <f t="shared" si="3"/>
        <v>1647.4576271186443</v>
      </c>
      <c r="O20" s="239">
        <f t="shared" si="4"/>
        <v>44.194088135593212</v>
      </c>
      <c r="P20" s="311">
        <f t="shared" si="5"/>
        <v>8883.0117152542352</v>
      </c>
      <c r="Q20" s="156"/>
      <c r="R20">
        <f>P20/21</f>
        <v>423.00055786924929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</v>
      </c>
      <c r="I21" s="236">
        <f t="shared" si="0"/>
        <v>14528</v>
      </c>
      <c r="J21" s="272">
        <f t="shared" si="1"/>
        <v>2033.9200000000003</v>
      </c>
      <c r="K21" s="128">
        <f t="shared" si="1"/>
        <v>508.48000000000008</v>
      </c>
      <c r="L21" s="119">
        <f t="shared" si="1"/>
        <v>0</v>
      </c>
      <c r="M21" s="230">
        <f t="shared" si="2"/>
        <v>11985.599999999999</v>
      </c>
      <c r="N21" s="277">
        <f t="shared" si="3"/>
        <v>2745.7627118644068</v>
      </c>
      <c r="O21" s="239">
        <f t="shared" si="4"/>
        <v>73.656813559322032</v>
      </c>
      <c r="P21" s="311">
        <f t="shared" si="5"/>
        <v>14805.019525423728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880</v>
      </c>
      <c r="I25" s="114">
        <f t="shared" si="7"/>
        <v>55045.1</v>
      </c>
      <c r="J25" s="274">
        <f>SUM(J16:J24)</f>
        <v>7706.3140000000003</v>
      </c>
      <c r="K25" s="275">
        <f t="shared" si="7"/>
        <v>1926.5785000000001</v>
      </c>
      <c r="L25" s="276">
        <f t="shared" si="7"/>
        <v>0</v>
      </c>
      <c r="M25" s="232">
        <f t="shared" si="7"/>
        <v>45412.207499999997</v>
      </c>
      <c r="N25" s="233">
        <f>SUM(N16:N24)</f>
        <v>10403.389830508473</v>
      </c>
      <c r="O25" s="101">
        <f>SUM(O16:O24)</f>
        <v>279.07798665254234</v>
      </c>
      <c r="P25" s="113">
        <f>SUM(P16:P24)</f>
        <v>56094.675317161011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55045.1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7706.3140000000003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1926.5785000000001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45412.207499999997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10403.389830508473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55815.59733050847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279.07798665254234</v>
      </c>
    </row>
    <row r="35" spans="2:16" ht="15.75" customHeight="1" thickBot="1" x14ac:dyDescent="0.4">
      <c r="N35" s="343" t="s">
        <v>88</v>
      </c>
      <c r="O35" s="344"/>
      <c r="P35" s="297">
        <f>+P33+P34</f>
        <v>56094.675317161011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30" sqref="N30:O3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46314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46313</v>
      </c>
      <c r="O5" s="368"/>
      <c r="P5" s="368"/>
      <c r="R5" s="85"/>
      <c r="S5" s="266"/>
    </row>
    <row r="6" spans="1:22 16383:16384" ht="15" customHeight="1" x14ac:dyDescent="0.4">
      <c r="A6" s="397" t="s">
        <v>519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535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587.58000000000004</v>
      </c>
      <c r="K16" s="127">
        <f>$I16*T16</f>
        <v>146.89500000000001</v>
      </c>
      <c r="L16" s="118">
        <f>$I16*U16</f>
        <v>0</v>
      </c>
      <c r="M16" s="229">
        <f>I16-SUM(J16:L16)</f>
        <v>3462.5250000000001</v>
      </c>
      <c r="N16" s="248">
        <f>+(G16*D16+H16)*V16</f>
        <v>793.22033898305051</v>
      </c>
      <c r="O16" s="238">
        <f>(N16+M16)*$O$15</f>
        <v>21.278726694915253</v>
      </c>
      <c r="P16" s="310">
        <f>M16+N16+O16</f>
        <v>4277.0240656779661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587.58000000000004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3462.5250000000001</v>
      </c>
      <c r="N17" s="277">
        <f t="shared" ref="N17:N24" si="3">+(G17*D17+H17)*V17</f>
        <v>793.22033898305051</v>
      </c>
      <c r="O17" s="239">
        <f t="shared" ref="O17:O24" si="4">(N17+M17)*$O$15</f>
        <v>21.278726694915253</v>
      </c>
      <c r="P17" s="311">
        <f t="shared" ref="P17:P24" si="5">M17+N17+O17</f>
        <v>4277.0240656779661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si="0"/>
        <v>4197</v>
      </c>
      <c r="J18" s="272">
        <f t="shared" si="1"/>
        <v>587.58000000000004</v>
      </c>
      <c r="K18" s="128">
        <f t="shared" si="1"/>
        <v>146.89500000000001</v>
      </c>
      <c r="L18" s="119">
        <f t="shared" si="1"/>
        <v>0</v>
      </c>
      <c r="M18" s="230">
        <f t="shared" si="2"/>
        <v>3462.5250000000001</v>
      </c>
      <c r="N18" s="277">
        <f t="shared" si="3"/>
        <v>793.22033898305051</v>
      </c>
      <c r="O18" s="239">
        <f t="shared" si="4"/>
        <v>21.278726694915253</v>
      </c>
      <c r="P18" s="311">
        <f t="shared" si="5"/>
        <v>4277.0240656779661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0"/>
        <v>8716.7999999999993</v>
      </c>
      <c r="J19" s="272">
        <f t="shared" si="1"/>
        <v>1220.3520000000001</v>
      </c>
      <c r="K19" s="128">
        <f t="shared" si="1"/>
        <v>305.08800000000002</v>
      </c>
      <c r="L19" s="119">
        <f t="shared" si="1"/>
        <v>0</v>
      </c>
      <c r="M19" s="230">
        <f t="shared" si="2"/>
        <v>7191.3599999999988</v>
      </c>
      <c r="N19" s="277">
        <f t="shared" si="3"/>
        <v>1647.4576271186443</v>
      </c>
      <c r="O19" s="239">
        <f t="shared" si="4"/>
        <v>44.194088135593212</v>
      </c>
      <c r="P19" s="311">
        <f t="shared" si="5"/>
        <v>8883.0117152542352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120</v>
      </c>
      <c r="I20" s="236">
        <f t="shared" si="0"/>
        <v>8716.7999999999993</v>
      </c>
      <c r="J20" s="272">
        <f t="shared" si="1"/>
        <v>1220.3520000000001</v>
      </c>
      <c r="K20" s="128">
        <f t="shared" si="1"/>
        <v>305.08800000000002</v>
      </c>
      <c r="L20" s="119">
        <f t="shared" si="1"/>
        <v>0</v>
      </c>
      <c r="M20" s="230">
        <f t="shared" si="2"/>
        <v>7191.3599999999988</v>
      </c>
      <c r="N20" s="277">
        <f t="shared" si="3"/>
        <v>1647.4576271186443</v>
      </c>
      <c r="O20" s="239">
        <f t="shared" si="4"/>
        <v>44.194088135593212</v>
      </c>
      <c r="P20" s="311">
        <f t="shared" si="5"/>
        <v>8883.0117152542352</v>
      </c>
      <c r="Q20" s="156"/>
      <c r="R20">
        <f>P20/21</f>
        <v>423.00055786924929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0"/>
        <v>8716.7999999999993</v>
      </c>
      <c r="J21" s="272">
        <f t="shared" si="1"/>
        <v>1220.3520000000001</v>
      </c>
      <c r="K21" s="128">
        <f t="shared" si="1"/>
        <v>305.08800000000002</v>
      </c>
      <c r="L21" s="119">
        <f t="shared" si="1"/>
        <v>0</v>
      </c>
      <c r="M21" s="230">
        <f t="shared" si="2"/>
        <v>7191.3599999999988</v>
      </c>
      <c r="N21" s="277">
        <f t="shared" si="3"/>
        <v>1647.4576271186443</v>
      </c>
      <c r="O21" s="239">
        <f t="shared" si="4"/>
        <v>44.194088135593212</v>
      </c>
      <c r="P21" s="311">
        <f t="shared" si="5"/>
        <v>8883.0117152542352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600</v>
      </c>
      <c r="I25" s="114">
        <f t="shared" si="7"/>
        <v>38741.399999999994</v>
      </c>
      <c r="J25" s="274">
        <f>SUM(J16:J24)</f>
        <v>5423.7960000000003</v>
      </c>
      <c r="K25" s="275">
        <f t="shared" si="7"/>
        <v>1355.9490000000001</v>
      </c>
      <c r="L25" s="276">
        <f t="shared" si="7"/>
        <v>0</v>
      </c>
      <c r="M25" s="232">
        <f t="shared" si="7"/>
        <v>31961.654999999999</v>
      </c>
      <c r="N25" s="233">
        <f>SUM(N16:N24)</f>
        <v>7322.0338983050842</v>
      </c>
      <c r="O25" s="101">
        <f>SUM(O16:O24)</f>
        <v>196.41844449152538</v>
      </c>
      <c r="P25" s="113">
        <f>SUM(P16:P24)</f>
        <v>39480.107342796604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38741.399999999994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5423.7960000000003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1355.9490000000001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31961.654999999992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7322.0338983050842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39283.688898305074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196.41844449152538</v>
      </c>
    </row>
    <row r="35" spans="2:16" ht="15.75" customHeight="1" thickBot="1" x14ac:dyDescent="0.4">
      <c r="N35" s="343" t="s">
        <v>88</v>
      </c>
      <c r="O35" s="344"/>
      <c r="P35" s="297">
        <f>+P33+P34</f>
        <v>39480.107342796597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500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8.75" customHeight="1" x14ac:dyDescent="0.4">
      <c r="A6" s="397" t="s">
        <v>502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7" t="s">
        <v>91</v>
      </c>
      <c r="B2" s="367"/>
      <c r="C2" s="367"/>
    </row>
    <row r="3" spans="1:18 16382:16383" ht="15" customHeight="1" x14ac:dyDescent="0.35">
      <c r="A3" s="368" t="s">
        <v>92</v>
      </c>
      <c r="B3" s="368"/>
      <c r="C3" s="368"/>
      <c r="F3" s="85"/>
      <c r="G3" s="1"/>
      <c r="J3" s="369" t="s">
        <v>43</v>
      </c>
      <c r="K3" s="369"/>
      <c r="L3" s="369"/>
      <c r="M3" s="368"/>
      <c r="N3" s="368"/>
      <c r="O3" s="36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8" t="s">
        <v>65</v>
      </c>
      <c r="B4" s="368"/>
      <c r="C4" s="368"/>
      <c r="F4" s="85"/>
      <c r="G4" s="1"/>
      <c r="J4" s="369" t="s">
        <v>44</v>
      </c>
      <c r="K4" s="369"/>
      <c r="L4" s="369"/>
      <c r="M4" s="399">
        <f ca="1">TODAY()+1</f>
        <v>46315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69" t="s">
        <v>45</v>
      </c>
      <c r="K5" s="369"/>
      <c r="L5" s="369"/>
      <c r="M5" s="399">
        <f ca="1">M4-1</f>
        <v>46314</v>
      </c>
      <c r="N5" s="368"/>
      <c r="O5" s="368"/>
      <c r="Q5" s="85"/>
      <c r="R5" s="1"/>
    </row>
    <row r="6" spans="1:18 16382:16383" ht="15" customHeight="1" x14ac:dyDescent="0.35">
      <c r="A6" s="369" t="s">
        <v>94</v>
      </c>
      <c r="B6" s="369"/>
      <c r="C6" s="369"/>
      <c r="F6" s="85"/>
      <c r="G6" s="86"/>
      <c r="J6" s="369" t="s">
        <v>69</v>
      </c>
      <c r="K6" s="369"/>
      <c r="L6" s="369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9" t="s">
        <v>73</v>
      </c>
      <c r="B7" s="369"/>
      <c r="C7" s="369"/>
      <c r="F7" s="85"/>
      <c r="G7" s="86"/>
      <c r="J7" s="369" t="s">
        <v>66</v>
      </c>
      <c r="K7" s="369"/>
      <c r="L7" s="369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5" t="s">
        <v>95</v>
      </c>
      <c r="B8" s="395"/>
      <c r="C8" s="395"/>
      <c r="F8" s="85"/>
      <c r="G8" s="86"/>
      <c r="J8" s="369" t="s">
        <v>67</v>
      </c>
      <c r="K8" s="369"/>
      <c r="L8" s="369"/>
      <c r="M8" s="398" t="s">
        <v>71</v>
      </c>
      <c r="N8" s="398"/>
      <c r="O8" s="398"/>
      <c r="Q8" s="85"/>
      <c r="R8" s="86"/>
    </row>
    <row r="9" spans="1:18 16382:16383" x14ac:dyDescent="0.35">
      <c r="A9" s="395" t="s">
        <v>96</v>
      </c>
      <c r="B9" s="395"/>
      <c r="C9" s="395"/>
      <c r="F9" s="85"/>
      <c r="G9" s="86"/>
      <c r="J9" s="369" t="s">
        <v>68</v>
      </c>
      <c r="K9" s="369"/>
      <c r="L9" s="369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395" t="s">
        <v>97</v>
      </c>
      <c r="B10" s="395"/>
      <c r="C10" s="395"/>
      <c r="F10" s="85"/>
      <c r="G10" s="1"/>
      <c r="J10" s="369" t="s">
        <v>46</v>
      </c>
      <c r="K10" s="369"/>
      <c r="L10" s="369"/>
      <c r="M10" s="368" t="s">
        <v>47</v>
      </c>
      <c r="N10" s="368"/>
      <c r="O10" s="36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9" t="s">
        <v>48</v>
      </c>
      <c r="K11" s="369"/>
      <c r="L11" s="369"/>
      <c r="M11" s="368" t="s">
        <v>49</v>
      </c>
      <c r="N11" s="368"/>
      <c r="O11" s="36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9" t="s">
        <v>50</v>
      </c>
      <c r="K12" s="369"/>
      <c r="L12" s="369"/>
      <c r="M12" s="368"/>
      <c r="N12" s="368"/>
      <c r="O12" s="36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8" t="s">
        <v>51</v>
      </c>
      <c r="B14" s="360"/>
      <c r="C14" s="390" t="s">
        <v>90</v>
      </c>
      <c r="D14" s="88" t="s">
        <v>52</v>
      </c>
      <c r="E14" s="95" t="s">
        <v>74</v>
      </c>
      <c r="F14" s="115" t="s">
        <v>53</v>
      </c>
      <c r="G14" s="364" t="s">
        <v>54</v>
      </c>
      <c r="H14" s="366"/>
      <c r="I14" s="394" t="s">
        <v>77</v>
      </c>
      <c r="J14" s="365" t="s">
        <v>55</v>
      </c>
      <c r="K14" s="366"/>
      <c r="L14" s="39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9"/>
      <c r="B15" s="361"/>
      <c r="C15" s="39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3"/>
      <c r="J15" s="144" t="s">
        <v>39</v>
      </c>
      <c r="K15" s="145" t="s">
        <v>59</v>
      </c>
      <c r="L15" s="36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5"/>
      <c r="M28" s="382" t="s">
        <v>60</v>
      </c>
      <c r="N28" s="383"/>
      <c r="O28" s="139">
        <f>I25</f>
        <v>1452.8</v>
      </c>
    </row>
    <row r="29" spans="1:18 16383:16383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8"/>
      <c r="M29" s="384" t="s">
        <v>85</v>
      </c>
      <c r="N29" s="385"/>
      <c r="O29" s="140">
        <f>K25</f>
        <v>0</v>
      </c>
    </row>
    <row r="30" spans="1:18 16383:16383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8"/>
      <c r="M30" s="384" t="s">
        <v>86</v>
      </c>
      <c r="N30" s="385"/>
      <c r="O30" s="140">
        <f>J25</f>
        <v>50.848000000000006</v>
      </c>
    </row>
    <row r="31" spans="1:18 16383:16383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8"/>
      <c r="L31" s="131"/>
      <c r="M31" s="384" t="s">
        <v>87</v>
      </c>
      <c r="N31" s="385"/>
      <c r="O31" s="140">
        <f>O28-O29-O30</f>
        <v>1401.952</v>
      </c>
    </row>
    <row r="32" spans="1:18 16383:16383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8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8"/>
      <c r="L33" s="131"/>
      <c r="M33" s="386" t="s">
        <v>76</v>
      </c>
      <c r="N33" s="387"/>
      <c r="O33" s="140">
        <f>O31+O32</f>
        <v>1710.3814400000001</v>
      </c>
    </row>
    <row r="34" spans="2:15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1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3" t="s">
        <v>88</v>
      </c>
      <c r="N35" s="344"/>
      <c r="O35" s="141">
        <f>O28-O29+O31+O34</f>
        <v>2897.511536</v>
      </c>
    </row>
    <row r="36" spans="2:15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2" t="s">
        <v>439</v>
      </c>
      <c r="E1" s="335" t="s">
        <v>58</v>
      </c>
      <c r="F1" s="335"/>
      <c r="G1" s="336" t="s">
        <v>440</v>
      </c>
      <c r="H1" s="336"/>
      <c r="I1" s="409" t="s">
        <v>441</v>
      </c>
      <c r="J1" s="409"/>
      <c r="K1" s="409" t="s">
        <v>442</v>
      </c>
      <c r="L1" s="409"/>
      <c r="M1" s="404" t="s">
        <v>484</v>
      </c>
      <c r="N1" s="405"/>
      <c r="O1" s="406"/>
    </row>
    <row r="2" spans="3:24" ht="29" x14ac:dyDescent="0.35">
      <c r="C2" s="335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3" t="s">
        <v>58</v>
      </c>
      <c r="F7" s="403"/>
      <c r="G7" s="401" t="s">
        <v>440</v>
      </c>
      <c r="H7" s="336"/>
      <c r="I7" s="337" t="s">
        <v>441</v>
      </c>
      <c r="J7" s="338"/>
      <c r="K7" s="337" t="s">
        <v>442</v>
      </c>
      <c r="L7" s="338"/>
      <c r="M7" s="404" t="s">
        <v>484</v>
      </c>
      <c r="N7" s="405"/>
      <c r="O7" s="406"/>
      <c r="P7" s="256" t="s">
        <v>475</v>
      </c>
      <c r="Q7" s="242" t="s">
        <v>473</v>
      </c>
      <c r="R7" s="402" t="s">
        <v>475</v>
      </c>
      <c r="S7" s="402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1"/>
      <c r="U8" s="40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4" t="s">
        <v>484</v>
      </c>
      <c r="N13" s="405"/>
      <c r="O13" s="406"/>
      <c r="P13" s="256" t="s">
        <v>475</v>
      </c>
      <c r="Q13" s="242" t="s">
        <v>473</v>
      </c>
      <c r="R13" s="402" t="s">
        <v>475</v>
      </c>
      <c r="S13" s="402" t="s">
        <v>485</v>
      </c>
      <c r="T13" s="400" t="s">
        <v>486</v>
      </c>
      <c r="U13" s="400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1"/>
      <c r="U14" s="40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4" t="s">
        <v>484</v>
      </c>
      <c r="N20" s="405"/>
      <c r="O20" s="406"/>
      <c r="P20" s="256" t="s">
        <v>475</v>
      </c>
      <c r="Q20" s="242" t="s">
        <v>473</v>
      </c>
      <c r="R20" s="402" t="s">
        <v>475</v>
      </c>
      <c r="S20" s="402" t="s">
        <v>485</v>
      </c>
      <c r="T20" s="400" t="s">
        <v>486</v>
      </c>
      <c r="U20" s="400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1"/>
      <c r="U21" s="40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4" t="s">
        <v>484</v>
      </c>
      <c r="N27" s="405"/>
      <c r="O27" s="406"/>
      <c r="P27" s="256" t="s">
        <v>475</v>
      </c>
      <c r="Q27" s="242" t="s">
        <v>473</v>
      </c>
      <c r="R27" s="402" t="s">
        <v>475</v>
      </c>
      <c r="S27" s="402" t="s">
        <v>485</v>
      </c>
      <c r="T27" s="400" t="s">
        <v>486</v>
      </c>
      <c r="U27" s="400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1"/>
      <c r="U28" s="40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2" t="s">
        <v>439</v>
      </c>
      <c r="D1" s="335" t="s">
        <v>58</v>
      </c>
      <c r="E1" s="335"/>
      <c r="F1" s="336" t="s">
        <v>440</v>
      </c>
      <c r="G1" s="336"/>
      <c r="H1" s="409" t="s">
        <v>441</v>
      </c>
      <c r="I1" s="409"/>
      <c r="J1" s="409" t="s">
        <v>442</v>
      </c>
      <c r="K1" s="409"/>
      <c r="L1" s="404" t="s">
        <v>484</v>
      </c>
      <c r="M1" s="405"/>
      <c r="N1" s="406"/>
    </row>
    <row r="2" spans="2:17" ht="29" x14ac:dyDescent="0.35">
      <c r="B2" s="335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2026-10-19T05:21:20Z</dcterms:modified>
</cp:coreProperties>
</file>