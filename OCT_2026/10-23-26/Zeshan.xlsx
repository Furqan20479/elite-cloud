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80355A1-DB7E-4F7D-832F-4E8D3AD1BEA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21" i="53"/>
  <c r="O21" i="53" s="1"/>
  <c r="P21" i="53" s="1"/>
  <c r="M21" i="52"/>
  <c r="O21" i="52" s="1"/>
  <c r="P21" i="52" s="1"/>
  <c r="M21" i="51"/>
  <c r="J7" i="62"/>
  <c r="M16" i="48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<sst xmlns="http://schemas.openxmlformats.org/spreadsheetml/2006/main" count="3948" uniqueCount="540">
  <si>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</si>
  <si>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</si>
  <si>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</si>
  <si>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</si>
  <si>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</si>
  <si>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</si>
  <si>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</si>
  <si>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</si>
  <si>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</si>
  <si>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</si>
  <si>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</si>
  <si>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</si>
  <si>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</si>
  <si>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</si>
  <si>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</si>
  <si>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</si>
  <si>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</si>
  <si>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</si>
  <si>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</si>
  <si>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</si>
  <si>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</si>
  <si>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</si>
  <si>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</si>
  <si>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</si>
  <si>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</si>
  <si>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</si>
  <si>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</si>
  <si>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</si>
  <si>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</si>
  <si>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</si>
  <si>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</si>
  <si>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</si>
  <si>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</si>
  <si>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</si>
  <si>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</si>
  <si>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</si>
  <si>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</si>
  <si>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</si>
  <si>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</si>
  <si>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</si>
  <si>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</si>
  <si>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</si>
  <si>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</si>
  <si>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</si>
  <si>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</si>
  <si>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</si>
  <si>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</si>
  <si>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</si>
  <si>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</si>
  <si>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</si>
  <si>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</si>
  <si>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</si>
  <si>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</si>
  <si>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</si>
  <si>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</si>
  <si>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</si>
  <si>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</si>
  <si>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</si>
  <si>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</si>
  <si>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</si>
  <si>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</si>
  <si>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</si>
  <si>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</si>
  <si>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</si>
  <si>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</si>
  <si>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</si>
  <si>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</si>
  <si>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</si>
  <si>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</si>
  <si>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</si>
  <si>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</si>
  <si>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</si>
  <si>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</si>
  <si>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</si>
  <si>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</si>
  <si>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</si>
  <si>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</si>
  <si>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</si>
  <si>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</si>
  <si>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</si>
  <si>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</si>
  <si>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</si>
  <si>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</si>
  <si>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</si>
  <si>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</si>
  <si>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</si>
  <si>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</si>
  <si>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</si>
  <si>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</si>
  <si>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</si>
  <si>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</si>
  <si>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</si>
  <si>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</si>
  <si>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</si>
  <si>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</si>
  <si>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</si>
  <si>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</si>
  <si>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</si>
  <si>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</si>
  <si>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</si>
  <si>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</si>
  <si>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</si>
  <si>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</si>
  <si>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</si>
  <si>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</si>
  <si>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</si>
  <si>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</si>
  <si>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</si>
  <si>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</si>
  <si>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</si>
  <si>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</si>
  <si>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</si>
  <si>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</si>
  <si>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</si>
  <si>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</si>
  <si>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</si>
  <si>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</si>
  <si>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</si>
  <si>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</si>
  <si>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</si>
  <si>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</si>
  <si>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</si>
  <si>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</si>
  <si>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</si>
  <si>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</si>
  <si>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</si>
  <si>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</si>
  <si>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</si>
  <si>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</si>
  <si>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</si>
  <si>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</si>
  <si>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</si>
  <si>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</si>
  <si>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</si>
  <si>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</si>
  <si>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</si>
  <si>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</si>
  <si>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</si>
  <si>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</si>
  <si>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</si>
  <si>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</si>
  <si>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</si>
  <si>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</si>
  <si>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</si>
  <si>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</si>
  <si>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</si>
  <si>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</si>
  <si>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</si>
  <si>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</si>
  <si>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</si>
  <si>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</si>
  <si>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</si>
  <si>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</si>
  <si>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</si>
  <si>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</si>
  <si>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</si>
  <si>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</si>
  <si>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</si>
  <si>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</si>
  <si>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</si>
  <si>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</si>
  <si>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</si>
  <si>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</si>
  <si>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</si>
  <si>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</si>
  <si>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</si>
  <si>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</si>
  <si>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</si>
  <si>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</si>
  <si>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</si>
  <si>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</si>
  <si>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</si>
  <si>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</si>
  <si>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</si>
  <si>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</si>
  <si>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</si>
  <si>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</si>
  <si>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</si>
  <si>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</si>
  <si>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</si>
  <si>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</si>
  <si>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</si>
  <si>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</si>
  <si>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</si>
  <si>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</si>
  <si>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</si>
  <si>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</si>
  <si>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</si>
  <si>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</si>
  <si>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</si>
  <si>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</si>
  <si>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</si>
  <si>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</si>
  <si>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</si>
  <si>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</si>
  <si>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</si>
  <si>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</si>
  <si>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</si>
  <si>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</si>
  <si>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</si>
  <si>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</si>
  <si>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</si>
  <si>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</si>
  <si>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</si>
  <si>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</si>
  <si>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</si>
  <si>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</si>
  <si>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</si>
  <si>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</si>
  <si>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</si>
  <si>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</si>
  <si>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</si>
  <si>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</si>
  <si>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</si>
  <si>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</si>
  <si>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</si>
  <si>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</si>
  <si>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</si>
  <si>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</si>
  <si>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</si>
  <si>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</si>
  <si>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</si>
  <si>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</si>
  <si>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</si>
  <si>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</si>
  <si>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</si>
  <si>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</si>
  <si>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</si>
  <si>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</si>
  <si>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</si>
  <si>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</si>
  <si>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</si>
  <si>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</si>
  <si>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</si>
  <si>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</si>
  <si>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</si>
  <si>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</si>
  <si>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</si>
  <si>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</si>
  <si>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</si>
  <si>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</si>
  <si>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</si>
  <si>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</si>
  <si>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</si>
  <si>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</si>
  <si>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</si>
  <si>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</si>
  <si>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</si>
  <si>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</si>
  <si>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</si>
  <si>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</si>
  <si>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</si>
  <si>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</si>
  <si>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</si>
  <si>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</si>
  <si>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</si>
  <si>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</si>
  <si>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</si>
  <si>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</si>
  <si>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</si>
  <si>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</si>
  <si>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</si>
  <si>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</si>
  <si>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</si>
  <si>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</si>
  <si>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</si>
  <si>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</si>
  <si>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</si>
  <si>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</si>
  <si>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</si>
  <si>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</si>
  <si>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</si>
  <si>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</si>
  <si>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</si>
  <si>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</si>
  <si>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</si>
  <si>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</si>
  <si>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</si>
  <si>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</si>
  <si>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</si>
  <si>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</si>
  <si>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</si>
  <si>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</si>
  <si>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</si>
  <si>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</si>
  <si>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</si>
  <si>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</si>
  <si>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</si>
  <si>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</si>
  <si>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</si>
  <si>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</si>
  <si>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</si>
  <si>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</si>
  <si>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</si>
  <si>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</si>
  <si>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</si>
  <si>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</si>
  <si>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</si>
  <si>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</si>
  <si>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</si>
  <si>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</si>
  <si>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</si>
  <si>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</si>
  <si>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</si>
  <si>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</si>
  <si>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</si>
  <si>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</si>
  <si>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</si>
  <si>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</si>
  <si>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</si>
  <si>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</si>
  <si>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</si>
  <si>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</si>
  <si>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</si>
  <si>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</si>
  <si>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</si>
  <si>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</si>
  <si>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</si>
  <si>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</si>
  <si>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</si>
  <si>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</si>
  <si>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</si>
  <si>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</si>
  <si>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</si>
  <si>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</si>
  <si>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</si>
  <si>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</si>
  <si>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</si>
  <si>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</si>
  <si>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</si>
  <si>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</si>
  <si>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</si>
  <si>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</si>
  <si>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</si>
  <si>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</si>
  <si>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</si>
  <si>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</si>
  <si>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</si>
  <si>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</si>
  <si>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</si>
  <si>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</si>
  <si>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</si>
  <si>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</si>
  <si>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</si>
  <si>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</si>
  <si>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</si>
  <si>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</si>
  <si>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</si>
  <si>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</si>
  <si>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</si>
  <si>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</si>
  <si>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</si>
  <si>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</si>
  <si>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</si>
  <si>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</si>
  <si>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</si>
  <si>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</si>
  <si>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</si>
  <si>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</si>
  <si>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</si>
  <si>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</si>
  <si>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</si>
  <si>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</si>
  <si>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</si>
  <si>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</si>
  <si>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</si>
  <si>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</si>
  <si>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</si>
  <si>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</si>
  <si>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</si>
  <si>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</si>
  <si>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</si>
  <si>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</si>
  <si>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</si>
  <si>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</si>
  <si>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</si>
  <si>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</si>
  <si>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</si>
  <si>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</si>
  <si>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</si>
  <si>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</si>
  <si>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</si>
  <si>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</si>
  <si>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</si>
  <si>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</si>
  <si>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</si>
  <si>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</si>
  <si>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</si>
  <si>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</si>
  <si>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</si>
  <si>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</si>
  <si>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</si>
  <si>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</si>
  <si>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</si>
  <si>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</si>
  <si>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</si>
  <si>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</si>
  <si>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</si>
  <si>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</si>
  <si>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</si>
  <si>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</si>
  <si>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</si>
  <si>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</si>
  <si>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</si>
  <si>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</si>
  <si>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</si>
  <si>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</si>
  <si>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</si>
  <si>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</si>
  <si>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</si>
  <si>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</si>
  <si>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</si>
  <si>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</si>
  <si>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</si>
  <si>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</si>
  <si>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</si>
  <si>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</si>
  <si>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</si>
  <si>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</si>
  <si>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</si>
  <si>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</si>
  <si>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</si>
  <si>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</si>
  <si>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</si>
  <si>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</si>
  <si>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</si>
  <si>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</si>
  <si>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</si>
  <si>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</si>
  <si>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</si>
  <si>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</si>
  <si>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</si>
  <si>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</si>
  <si>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</si>
  <si>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</si>
  <si>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</si>
  <si>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</si>
  <si>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</si>
  <si>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</si>
  <si>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</si>
  <si>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</si>
  <si>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</si>
  <si>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</si>
  <si>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</si>
  <si>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</si>
  <si>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</si>
  <si>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</si>
  <si>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</si>
  <si>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</si>
  <si>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</si>
  <si>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</si>
  <si>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</si>
  <si>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</si>
  <si>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</si>
  <si>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</si>
  <si>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</si>
  <si>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</si>
  <si>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</si>
  <si>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</si>
  <si>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</si>
  <si>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</si>
  <si>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</si>
  <si>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</si>
  <si>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</si>
  <si>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</si>
  <si>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</si>
  <si>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</si>
  <si>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</si>
  <si>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</si>
  <si>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</si>
  <si>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</si>
  <si>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</si>
  <si>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</si>
  <si>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</si>
  <si>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</si>
  <si>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</si>
  <si>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</si>
  <si>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</si>
  <si>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</si>
  <si>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</si>
  <si>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</si>
  <si>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</si>
  <si>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</si>
  <si>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</si>
  <si>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</si>
  <si>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</si>
  <si>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</si>
  <si>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</si>
  <si>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</si>
  <si>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</si>
  <si>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</si>
  <si>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</si>
  <si>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</si>
  <si>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</si>
  <si>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</si>
  <si>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</si>
  <si>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</si>
  <si>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</si>
  <si>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</si>
  <si>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</si>
  <si>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</si>
  <si>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</si>
  <si>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</si>
  <si>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</si>
  <si>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</si>
  <si>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</si>
  <si>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</si>
  <si>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</si>
  <si>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</si>
  <si>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</si>
  <si>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</si>
  <si>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</si>
  <si>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</si>
  <si>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</si>
  <si>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</si>
  <si>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Chohan Store</t>
  </si>
  <si>
    <t xml:space="preserve">Address: Pak Arab </t>
  </si>
  <si>
    <t xml:space="preserve">Al Yousaf </t>
  </si>
  <si>
    <t>Awan Store</t>
  </si>
  <si>
    <t>Tayaba Store</t>
  </si>
  <si>
    <t>Waleed Store</t>
  </si>
  <si>
    <t>AB Store</t>
  </si>
  <si>
    <t>Ms Store</t>
  </si>
  <si>
    <t xml:space="preserve">Itafaq Mart </t>
  </si>
  <si>
    <t xml:space="preserve">Al Fazal </t>
  </si>
  <si>
    <t>KK Store</t>
  </si>
  <si>
    <t>Khubaib Store</t>
  </si>
  <si>
    <t>Al Noor Store</t>
  </si>
  <si>
    <t xml:space="preserve">Awan 2 </t>
  </si>
  <si>
    <t>786 Store</t>
  </si>
  <si>
    <t>Shadab Store</t>
  </si>
  <si>
    <t>Khatak Store</t>
  </si>
  <si>
    <t>Rana Store</t>
  </si>
  <si>
    <t>Khan Store</t>
  </si>
  <si>
    <t>Arshad Store</t>
  </si>
  <si>
    <t>Family Store</t>
  </si>
  <si>
    <t>Ss Store</t>
  </si>
  <si>
    <t>Sher Shah Store</t>
  </si>
  <si>
    <t>Zakir Store</t>
  </si>
  <si>
    <t>A.M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</si>
</sst>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E32" sqref="E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Chohan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Yousaf </v>
      </c>
      <c r="T4" s="301">
        <f>+'2'!P35</f>
        <v>1698.7886871292369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Awan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Tayaba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90</v>
      </c>
      <c r="I7" s="235">
        <f>(G7*D7)*F7+H7*F7</f>
        <v>4721.625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377.72999999999996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165.25687500000004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4178.6381249999995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892.37288135593178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25.35505503177966</v>
      </c>
      <c r="P7" s="310">
        <f>M7+N7+O7</f>
        <v>5096.3660613877109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Waleed Store</v>
      </c>
      <c r="T7" s="301">
        <f>+'5'!P35</f>
        <v>2352.1586888135594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75</v>
      </c>
      <c r="I8" s="236">
        <f t="shared" ref="I8:I14" si="0">(G8*D8)*F8+H8*F8</f>
        <v>3934.6875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137.71406250000001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3482.1984375000002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743.64406779660987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21.129212526483052</v>
      </c>
      <c r="P8" s="311">
        <f t="shared" ref="P8:P15" si="2">M8+N8+O8</f>
        <v>4246.9717178230931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AB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65</v>
      </c>
      <c r="I9" s="236">
        <f t="shared" si="0"/>
        <v>3410.0625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272.80500000000001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119.35218750000001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3017.9053125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644.49152542372849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18.311984189618641</v>
      </c>
      <c r="P9" s="311">
        <f t="shared" si="2"/>
        <v>3680.7088221133472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Ms Store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270</v>
      </c>
      <c r="I10" s="236">
        <f t="shared" si="0"/>
        <v>19612.8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1569.0239999999999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686.44799999999998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17357.328000000001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3706.7796610169498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105.32053830508475</v>
      </c>
      <c r="P10" s="311">
        <f t="shared" si="2"/>
        <v>21169.428199322036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Itafaq Mart </v>
      </c>
      <c r="T10" s="301">
        <f>+'8'!P35</f>
        <v>16203.789503771184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1162.24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12857.28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2745.7627118644073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78.015213559322049</v>
      </c>
      <c r="P11" s="311">
        <f t="shared" si="2"/>
        <v>15681.057925423729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Al Fazal </v>
      </c>
      <c r="T11" s="301">
        <f>+'9'!P35</f>
        <v>9408.6347552542375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711.87199999999996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18000.191999999999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3844.0677966101703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109.22129898305086</v>
      </c>
      <c r="P12" s="311">
        <f t="shared" si="2"/>
        <v>21953.481095593219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KK Store</v>
      </c>
      <c r="T12" s="301">
        <f>+'10'!P35</f>
        <v>6272.4231701694916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Khubaib Store</v>
      </c>
      <c r="T13" s="301">
        <f>+'11'!P35</f>
        <v>6272.4231701694916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Noor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Awan 2 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24.5</v>
      </c>
      <c r="H16" s="113">
        <f t="shared" ref="H16:M16" si="3">SUM(H7:H15)</f>
        <v>980</v>
      </c>
      <c r="I16" s="114">
        <f t="shared" si="3"/>
        <v>66546.375</v>
      </c>
      <c r="J16" s="274">
        <f>SUM(J7:J15)</f>
        <v>5323.71</v>
      </c>
      <c r="K16" s="275">
        <f t="shared" si="3"/>
        <v>2329.1231250000001</v>
      </c>
      <c r="L16" s="276">
        <f t="shared" si="3"/>
        <v>0</v>
      </c>
      <c r="M16" s="232">
        <f t="shared" si="3"/>
        <v>58893.541874999995</v>
      </c>
      <c r="N16" s="233">
        <f>SUM(N7:N15)</f>
        <v>12577.118644067798</v>
      </c>
      <c r="O16" s="101">
        <f>SUM(O7:O15)</f>
        <v>357.35330259533902</v>
      </c>
      <c r="P16" s="113">
        <f>SUM(P7:P15)</f>
        <v>71828.013821663131</v>
      </c>
      <c r="Q16" s="128">
        <f>SUM(Q7:Q15)</f>
        <v>0</v>
      </c>
      <c r="R16" s="313">
        <v>14</v>
      </c>
      <c r="S16" s="315" t="str">
        <f>+'14'!A6:A6</f>
        <v>786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Shadab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Khatak Store</v>
      </c>
      <c r="T18" s="301">
        <f>+'16'!P35</f>
        <v>784.05289627118646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66546.375</v>
      </c>
      <c r="R19" s="299">
        <v>17</v>
      </c>
      <c r="S19" s="300" t="str">
        <f>+'17'!A6:A6</f>
        <v>Rana Store</v>
      </c>
      <c r="T19" s="301">
        <f>+'17'!P35</f>
        <v>784.05289627118646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5323.71</v>
      </c>
      <c r="R20" s="299">
        <v>18</v>
      </c>
      <c r="S20" s="300" t="str">
        <f>+'18'!A6:A6</f>
        <v>Khan Store</v>
      </c>
      <c r="T20" s="301">
        <f>+'18'!P35</f>
        <v>784.05289627118646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2329.1231250000001</v>
      </c>
      <c r="R21" s="299">
        <v>19</v>
      </c>
      <c r="S21" s="300" t="str">
        <f>+'19'!A6:A6</f>
        <v>Arshad Store</v>
      </c>
      <c r="T21" s="301">
        <f>+'19'!P35</f>
        <v>784.05289627118646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58893.541875000003</v>
      </c>
      <c r="R22" s="299">
        <v>20</v>
      </c>
      <c r="S22" s="300" t="str">
        <f>+'20'!A6:A6</f>
        <v>Family Store</v>
      </c>
      <c r="T22" s="301">
        <f>+'20'!P35</f>
        <v>1176.0793444067797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12577.118644067798</v>
      </c>
      <c r="R23" s="299">
        <v>21</v>
      </c>
      <c r="S23" s="300" t="str">
        <f>+'21'!A6:A6</f>
        <v>Ss Store</v>
      </c>
      <c r="T23" s="301">
        <f>+'21'!P35</f>
        <v>1176.0793444067797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71470.660519067795</v>
      </c>
      <c r="R24" s="299">
        <v>22</v>
      </c>
      <c r="S24" s="300" t="str">
        <f>+'22'!A6:A6</f>
        <v>Sher Shah Store</v>
      </c>
      <c r="T24" s="301">
        <f>+'22'!P35</f>
        <v>1176.0793444067797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357.35330259533902</v>
      </c>
      <c r="R25" s="299">
        <v>23</v>
      </c>
      <c r="S25" s="300" t="str">
        <f>+'23'!A6:A6</f>
        <v>Zakir Store</v>
      </c>
      <c r="T25" s="301">
        <f>+'23'!P35</f>
        <v>1176.0793444067797</v>
      </c>
    </row>
    <row r="26" spans="1:20" ht="21.75" customHeight="1" thickBot="1" x14ac:dyDescent="0.4">
      <c r="N26" s="345" t="s">
        <v>88</v>
      </c>
      <c r="O26" s="346"/>
      <c r="P26" s="297">
        <f>+P24+P25</f>
        <v>71828.013821663131</v>
      </c>
      <c r="R26" s="299">
        <v>24</v>
      </c>
      <c r="S26" s="300" t="str">
        <f>+'24'!A6:A6</f>
        <v>A.M Store</v>
      </c>
      <c r="T26" s="301">
        <f>+'24'!P35</f>
        <v>1568.1057925423729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71828.013821663117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1573.875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125.91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55.085625000000007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1392.879375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1690.3370021186438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45" t="s">
        <v>88</v>
      </c>
      <c r="O35" s="346"/>
      <c r="P35" s="297">
        <f>+P33+P34</f>
        <v>1698.7886871292369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174.33599999999998</v>
      </c>
      <c r="K25" s="275">
        <f t="shared" si="7"/>
        <v>76.272000000000006</v>
      </c>
      <c r="L25" s="276">
        <f t="shared" si="7"/>
        <v>0</v>
      </c>
      <c r="M25" s="232">
        <f t="shared" si="7"/>
        <v>1928.5919999999999</v>
      </c>
      <c r="N25" s="233">
        <f>SUM(N16:N24)</f>
        <v>411.86440677966107</v>
      </c>
      <c r="O25" s="101">
        <f>SUM(O16:O24)</f>
        <v>11.702282033898305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1200.9839999999999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13285.8855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16123.173635593219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5" t="s">
        <v>88</v>
      </c>
      <c r="O35" s="346"/>
      <c r="P35" s="297">
        <f>+P33+P34</f>
        <v>16203.789503771184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</v>
      </c>
      <c r="L25" s="276">
        <f t="shared" si="7"/>
        <v>0</v>
      </c>
      <c r="M25" s="232">
        <f t="shared" si="7"/>
        <v>5142.9119999999994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2026-10-23T04:41:29Z</dcterms:modified>
</cp:coreProperties>
</file>