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2735160-CBD5-48C3-A752-8F1A4C12B899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5" l="1"/>
  <c r="N5" i="65" s="1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8" l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5" i="52" l="1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<sst xmlns="http://schemas.openxmlformats.org/spreadsheetml/2006/main" count="3948" uniqueCount="531">
  <si>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</si>
  <si>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</si>
  <si>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</si>
  <si>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</si>
  <si>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</si>
  <si>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</si>
  <si>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</si>
  <si>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</si>
  <si>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</si>
  <si>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</si>
  <si>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</si>
  <si>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</si>
  <si>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</si>
  <si>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</si>
  <si>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</si>
  <si>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</si>
  <si>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</si>
  <si>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</si>
  <si>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</si>
  <si>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</si>
  <si>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</si>
  <si>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</si>
  <si>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</si>
  <si>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</si>
  <si>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</si>
  <si>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</si>
  <si>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</si>
  <si>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</si>
  <si>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</si>
  <si>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</si>
  <si>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</si>
  <si>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</si>
  <si>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</si>
  <si>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</si>
  <si>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</si>
  <si>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</si>
  <si>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</si>
  <si>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</si>
  <si>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</si>
  <si>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</si>
  <si>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</si>
  <si>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</si>
  <si>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</si>
  <si>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</si>
  <si>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</si>
  <si>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</si>
  <si>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</si>
  <si>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</si>
  <si>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</si>
  <si>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</si>
  <si>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</si>
  <si>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</si>
  <si>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</si>
  <si>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</si>
  <si>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</si>
  <si>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</si>
  <si>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</si>
  <si>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</si>
  <si>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</si>
  <si>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</si>
  <si>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</si>
  <si>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</si>
  <si>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</si>
  <si>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</si>
  <si>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</si>
  <si>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</si>
  <si>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</si>
  <si>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</si>
  <si>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</si>
  <si>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</si>
  <si>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</si>
  <si>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</si>
  <si>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</si>
  <si>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</si>
  <si>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</si>
  <si>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</si>
  <si>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</si>
  <si>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</si>
  <si>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</si>
  <si>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</si>
  <si>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</si>
  <si>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</si>
  <si>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</si>
  <si>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</si>
  <si>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</si>
  <si>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</si>
  <si>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</si>
  <si>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</si>
  <si>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</si>
  <si>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</si>
  <si>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</si>
  <si>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</si>
  <si>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</si>
  <si>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</si>
  <si>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</si>
  <si>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</si>
  <si>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</si>
  <si>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</si>
  <si>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</si>
  <si>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</si>
  <si>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</si>
  <si>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</si>
  <si>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</si>
  <si>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</si>
  <si>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</si>
  <si>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</si>
  <si>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</si>
  <si>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</si>
  <si>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</si>
  <si>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</si>
  <si>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</si>
  <si>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</si>
  <si>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</si>
  <si>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</si>
  <si>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</si>
  <si>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</si>
  <si>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</si>
  <si>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</si>
  <si>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</si>
  <si>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</si>
  <si>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</si>
  <si>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</si>
  <si>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</si>
  <si>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</si>
  <si>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</si>
  <si>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</si>
  <si>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</si>
  <si>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</si>
  <si>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</si>
  <si>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</si>
  <si>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</si>
  <si>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</si>
  <si>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</si>
  <si>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</si>
  <si>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</si>
  <si>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</si>
  <si>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</si>
  <si>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</si>
  <si>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</si>
  <si>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</si>
  <si>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</si>
  <si>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</si>
  <si>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</si>
  <si>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</si>
  <si>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</si>
  <si>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</si>
  <si>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</si>
  <si>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</si>
  <si>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</si>
  <si>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</si>
  <si>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</si>
  <si>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</si>
  <si>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</si>
  <si>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</si>
  <si>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</si>
  <si>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</si>
  <si>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</si>
  <si>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</si>
  <si>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</si>
  <si>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</si>
  <si>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</si>
  <si>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</si>
  <si>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</si>
  <si>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</si>
  <si>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</si>
  <si>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</si>
  <si>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</si>
  <si>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</si>
  <si>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</si>
  <si>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</si>
  <si>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</si>
  <si>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</si>
  <si>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</si>
  <si>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</si>
  <si>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</si>
  <si>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</si>
  <si>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</si>
  <si>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</si>
  <si>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</si>
  <si>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</si>
  <si>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</si>
  <si>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</si>
  <si>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</si>
  <si>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</si>
  <si>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</si>
  <si>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</si>
  <si>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</si>
  <si>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</si>
  <si>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</si>
  <si>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</si>
  <si>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</si>
  <si>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</si>
  <si>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</si>
  <si>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</si>
  <si>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</si>
  <si>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</si>
  <si>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</si>
  <si>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</si>
  <si>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</si>
  <si>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</si>
  <si>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</si>
  <si>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</si>
  <si>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</si>
  <si>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</si>
  <si>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</si>
  <si>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</si>
  <si>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</si>
  <si>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</si>
  <si>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</si>
  <si>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</si>
  <si>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</si>
  <si>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</si>
  <si>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</si>
  <si>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</si>
  <si>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</si>
  <si>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</si>
  <si>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</si>
  <si>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</si>
  <si>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</si>
  <si>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</si>
  <si>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</si>
  <si>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</si>
  <si>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</si>
  <si>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</si>
  <si>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</si>
  <si>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</si>
  <si>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</si>
  <si>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</si>
  <si>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</si>
  <si>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</si>
  <si>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</si>
  <si>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</si>
  <si>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</si>
  <si>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</si>
  <si>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</si>
  <si>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</si>
  <si>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</si>
  <si>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</si>
  <si>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</si>
  <si>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</si>
  <si>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</si>
  <si>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</si>
  <si>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</si>
  <si>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</si>
  <si>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</si>
  <si>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</si>
  <si>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</si>
  <si>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</si>
  <si>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</si>
  <si>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</si>
  <si>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</si>
  <si>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</si>
  <si>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</si>
  <si>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</si>
  <si>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</si>
  <si>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</si>
  <si>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</si>
  <si>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</si>
  <si>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</si>
  <si>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</si>
  <si>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</si>
  <si>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</si>
  <si>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</si>
  <si>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</si>
  <si>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</si>
  <si>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</si>
  <si>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</si>
  <si>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</si>
  <si>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</si>
  <si>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</si>
  <si>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</si>
  <si>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</si>
  <si>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</si>
  <si>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</si>
  <si>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</si>
  <si>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</si>
  <si>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</si>
  <si>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</si>
  <si>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</si>
  <si>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</si>
  <si>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</si>
  <si>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</si>
  <si>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</si>
  <si>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</si>
  <si>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</si>
  <si>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</si>
  <si>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</si>
  <si>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</si>
  <si>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</si>
  <si>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</si>
  <si>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</si>
  <si>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</si>
  <si>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</si>
  <si>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</si>
  <si>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</si>
  <si>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</si>
  <si>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</si>
  <si>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</si>
  <si>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</si>
  <si>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</si>
  <si>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</si>
  <si>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</si>
  <si>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</si>
  <si>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</si>
  <si>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</si>
  <si>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</si>
  <si>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</si>
  <si>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</si>
  <si>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</si>
  <si>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</si>
  <si>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</si>
  <si>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</si>
  <si>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</si>
  <si>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</si>
  <si>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</si>
  <si>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</si>
  <si>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</si>
  <si>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</si>
  <si>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</si>
  <si>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</si>
  <si>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</si>
  <si>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</si>
  <si>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</si>
  <si>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</si>
  <si>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</si>
  <si>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</si>
  <si>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</si>
  <si>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</si>
  <si>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</si>
  <si>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</si>
  <si>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</si>
  <si>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</si>
  <si>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</si>
  <si>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</si>
  <si>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</si>
  <si>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</si>
  <si>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</si>
  <si>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</si>
  <si>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</si>
  <si>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</si>
  <si>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</si>
  <si>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</si>
  <si>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</si>
  <si>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</si>
  <si>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</si>
  <si>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</si>
  <si>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</si>
  <si>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</si>
  <si>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</si>
  <si>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</si>
  <si>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</si>
  <si>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</si>
  <si>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</si>
  <si>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</si>
  <si>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</si>
  <si>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</si>
  <si>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</si>
  <si>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</si>
  <si>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</si>
  <si>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</si>
  <si>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</si>
  <si>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</si>
  <si>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</si>
  <si>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</si>
  <si>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</si>
  <si>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</si>
  <si>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</si>
  <si>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</si>
  <si>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</si>
  <si>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</si>
  <si>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</si>
  <si>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</si>
  <si>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</si>
  <si>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</si>
  <si>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</si>
  <si>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</si>
  <si>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</si>
  <si>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</si>
  <si>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</si>
  <si>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</si>
  <si>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</si>
  <si>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</si>
  <si>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</si>
  <si>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</si>
  <si>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</si>
  <si>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</si>
  <si>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</si>
  <si>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</si>
  <si>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</si>
  <si>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</si>
  <si>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</si>
  <si>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</si>
  <si>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</si>
  <si>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</si>
  <si>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</si>
  <si>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</si>
  <si>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</si>
  <si>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</si>
  <si>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</si>
  <si>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</si>
  <si>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</si>
  <si>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</si>
  <si>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</si>
  <si>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</si>
  <si>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</si>
  <si>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</si>
  <si>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</si>
  <si>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</si>
  <si>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</si>
  <si>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</si>
  <si>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</si>
  <si>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</si>
  <si>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</si>
  <si>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</si>
  <si>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</si>
  <si>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</si>
  <si>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</si>
  <si>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</si>
  <si>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</si>
  <si>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</si>
  <si>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</si>
  <si>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</si>
  <si>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</si>
  <si>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</si>
  <si>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</si>
  <si>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</si>
  <si>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</si>
  <si>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</si>
  <si>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</si>
  <si>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</si>
  <si>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</si>
  <si>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</si>
  <si>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</si>
  <si>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</si>
  <si>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</si>
  <si>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</si>
  <si>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</si>
  <si>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</si>
  <si>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</si>
  <si>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</si>
  <si>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</si>
  <si>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</si>
  <si>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</si>
  <si>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</si>
  <si>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</si>
  <si>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</si>
  <si>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</si>
  <si>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</si>
  <si>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</si>
  <si>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</si>
  <si>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</si>
  <si>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</si>
  <si>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</si>
  <si>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</si>
  <si>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</si>
  <si>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</si>
  <si>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</si>
  <si>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</si>
  <si>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</si>
  <si>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</si>
  <si>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</si>
  <si>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</si>
  <si>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</si>
  <si>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</si>
  <si>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</si>
  <si>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</si>
  <si>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</si>
  <si>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</si>
  <si>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</si>
  <si>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</si>
  <si>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</si>
  <si>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</si>
  <si>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</si>
  <si>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</si>
  <si>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</si>
  <si>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</si>
  <si>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</si>
  <si>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</si>
  <si>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</si>
  <si>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</si>
  <si>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</si>
  <si>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</si>
  <si>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</si>
  <si>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</si>
  <si>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</si>
  <si>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</si>
  <si>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</si>
  <si>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</si>
  <si>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</si>
  <si>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</si>
  <si>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</si>
  <si>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</si>
  <si>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</si>
  <si>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</si>
  <si>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</si>
  <si>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</si>
  <si>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</si>
  <si>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</si>
  <si>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</si>
  <si>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</si>
  <si>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</si>
  <si>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</si>
  <si>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</si>
  <si>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</si>
  <si>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</si>
  <si>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</si>
  <si>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</si>
  <si>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</si>
  <si>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</si>
  <si>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</si>
  <si>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</si>
  <si>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</si>
  <si>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</si>
  <si>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</si>
  <si>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Furqan</t>
  </si>
  <si>
    <t xml:space="preserve">Bakhtawer Bakery </t>
  </si>
  <si>
    <t>Address: Makkah Colony</t>
  </si>
  <si>
    <t xml:space="preserve">Ajwa Bakery </t>
  </si>
  <si>
    <t>Khan GS</t>
  </si>
  <si>
    <t>Ghos GS</t>
  </si>
  <si>
    <t>Address: Firdos Market</t>
  </si>
  <si>
    <t>Mughal Store</t>
  </si>
  <si>
    <t>Address: 7Street Bazar</t>
  </si>
  <si>
    <t xml:space="preserve">Geo GS </t>
  </si>
  <si>
    <t>Dogar Store</t>
  </si>
  <si>
    <t xml:space="preserve">Address: 7 Street </t>
  </si>
  <si>
    <t>New Alfalah Bakey</t>
  </si>
  <si>
    <t>Address: LDA Flates</t>
  </si>
  <si>
    <t>Hafiz GS</t>
  </si>
  <si>
    <t>Address: Railway Officer Colony</t>
  </si>
  <si>
    <t xml:space="preserve">Prince Bakery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</si>
</sst>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H7" sqref="H7:H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46318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Bakhtawer Bakery </v>
      </c>
      <c r="T3" s="301">
        <f>+'1'!P35</f>
        <v>4268.7373765042375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Ajwa Bakery </v>
      </c>
      <c r="T4" s="301">
        <f>+'2'!P35</f>
        <v>3136.2115850847458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Khan GS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Ghos GS</v>
      </c>
      <c r="T6" s="301">
        <f>+'4'!P35</f>
        <v>940.86347552542372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47</v>
      </c>
      <c r="I7" s="235">
        <f>(G7*D7)*F7+H7*F7</f>
        <v>2465.7374999999997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197.25899999999999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86.300812500000006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2182.1776874999996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466.01694915254217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13.240973183262712</v>
      </c>
      <c r="P7" s="310">
        <f>M7+N7+O7</f>
        <v>2661.4356098358044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Mughal Store</v>
      </c>
      <c r="T7" s="301">
        <f>+'5'!P35</f>
        <v>2090.8106881398307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26</v>
      </c>
      <c r="I8" s="236">
        <f t="shared" ref="I8:I14" si="0">(G8*D8)*F8+H8*F8</f>
        <v>1364.0249999999999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109.122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47.740875000000003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1207.1621249999998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257.79661016949143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7.3247936758474577</v>
      </c>
      <c r="P8" s="311">
        <f t="shared" ref="P8:P15" si="2">M8+N8+O8</f>
        <v>1472.2835288453389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Geo GS </v>
      </c>
      <c r="T8" s="301">
        <f>+'6'!P35</f>
        <v>2265.051582838983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63</v>
      </c>
      <c r="I9" s="236">
        <f t="shared" si="0"/>
        <v>3305.1374999999998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264.411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115.6798125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2925.0466874999997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624.66101694915233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17.748538522245763</v>
      </c>
      <c r="P9" s="311">
        <f t="shared" si="2"/>
        <v>3567.4562429713978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Dogar Store</v>
      </c>
      <c r="T9" s="301">
        <f>+'7'!P35</f>
        <v>1620.3789503771186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82</v>
      </c>
      <c r="I10" s="236">
        <f t="shared" si="0"/>
        <v>5956.4800000000005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476.5184000000001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208.47680000000003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5271.4848000000002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1125.7627118644068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31.986237559322042</v>
      </c>
      <c r="P10" s="311">
        <f t="shared" si="2"/>
        <v>6429.233749423729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20</v>
      </c>
      <c r="R10" s="313">
        <v>8</v>
      </c>
      <c r="S10" s="300" t="str">
        <f>+'8'!A6:A6</f>
        <v>New Alfalah Bakey</v>
      </c>
      <c r="T10" s="301">
        <f>+'8'!P35</f>
        <v>5401.2631679237284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41</v>
      </c>
      <c r="I11" s="236">
        <f t="shared" si="0"/>
        <v>2978.2400000000002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238.25920000000002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104.23840000000001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2635.7424000000001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562.88135593220341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15.993118779661017</v>
      </c>
      <c r="P11" s="311">
        <f t="shared" si="2"/>
        <v>3214.6168747118645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Hafiz GS</v>
      </c>
      <c r="T11" s="301">
        <f>+'9'!P35</f>
        <v>470.43173776271186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45</v>
      </c>
      <c r="I12" s="236">
        <f t="shared" si="0"/>
        <v>3268.8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261.50400000000002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114.40800000000002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2892.8879999999999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617.7966101694916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17.55342305084746</v>
      </c>
      <c r="P12" s="311">
        <f t="shared" si="2"/>
        <v>3528.2380332203388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 xml:space="preserve">Prince Bakery </v>
      </c>
      <c r="T12" s="301">
        <f>+'10'!P35</f>
        <v>679.51547485169476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7.6</v>
      </c>
      <c r="H16" s="113">
        <f t="shared" ref="H16:M16" si="3">SUM(H7:H15)</f>
        <v>304</v>
      </c>
      <c r="I16" s="114">
        <f t="shared" si="3"/>
        <v>19338.420000000002</v>
      </c>
      <c r="J16" s="274">
        <f>SUM(J7:J15)</f>
        <v>1547.0736000000002</v>
      </c>
      <c r="K16" s="275">
        <f t="shared" si="3"/>
        <v>676.84469999999999</v>
      </c>
      <c r="L16" s="276">
        <f t="shared" si="3"/>
        <v>0</v>
      </c>
      <c r="M16" s="232">
        <f t="shared" si="3"/>
        <v>17114.501699999997</v>
      </c>
      <c r="N16" s="233">
        <f>SUM(N7:N15)</f>
        <v>3654.9152542372876</v>
      </c>
      <c r="O16" s="101">
        <f>SUM(O7:O15)</f>
        <v>103.84708477118646</v>
      </c>
      <c r="P16" s="113">
        <f>SUM(P7:P15)</f>
        <v>20873.264039008474</v>
      </c>
      <c r="Q16" s="128">
        <f>SUM(Q7:Q15)</f>
        <v>20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19338.420000000002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1547.0736000000002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676.84469999999999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17114.501700000001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3654.9152542372876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20769.416954237287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103.84708477118646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20873.264039008474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20873.264039008474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ref="I18:I21" si="7">(G18*D18)*F18+H18*F18</f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13</v>
      </c>
      <c r="I19" s="236">
        <f t="shared" si="7"/>
        <v>944.32</v>
      </c>
      <c r="J19" s="272">
        <f t="shared" si="1"/>
        <v>75.545600000000007</v>
      </c>
      <c r="K19" s="128">
        <f t="shared" si="1"/>
        <v>33.051200000000001</v>
      </c>
      <c r="L19" s="119">
        <f t="shared" si="1"/>
        <v>0</v>
      </c>
      <c r="M19" s="230">
        <f t="shared" si="2"/>
        <v>835.72320000000002</v>
      </c>
      <c r="N19" s="277">
        <f t="shared" si="3"/>
        <v>178.47457627118644</v>
      </c>
      <c r="O19" s="239">
        <f t="shared" si="4"/>
        <v>5.070988881355933</v>
      </c>
      <c r="P19" s="119">
        <f t="shared" si="5"/>
        <v>1019.2687651525424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13</v>
      </c>
      <c r="I20" s="236">
        <f t="shared" si="7"/>
        <v>944.32</v>
      </c>
      <c r="J20" s="272">
        <f t="shared" si="1"/>
        <v>75.545600000000007</v>
      </c>
      <c r="K20" s="128">
        <f t="shared" si="1"/>
        <v>33.051200000000001</v>
      </c>
      <c r="L20" s="119">
        <f t="shared" si="1"/>
        <v>0</v>
      </c>
      <c r="M20" s="230">
        <f t="shared" si="2"/>
        <v>835.72320000000002</v>
      </c>
      <c r="N20" s="277">
        <f t="shared" si="3"/>
        <v>178.47457627118644</v>
      </c>
      <c r="O20" s="239">
        <f t="shared" si="4"/>
        <v>5.070988881355933</v>
      </c>
      <c r="P20" s="119">
        <f t="shared" si="5"/>
        <v>1019.2687651525424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14</v>
      </c>
      <c r="I21" s="236">
        <f t="shared" si="7"/>
        <v>1016.96</v>
      </c>
      <c r="J21" s="272">
        <f t="shared" si="1"/>
        <v>81.356800000000007</v>
      </c>
      <c r="K21" s="128">
        <f t="shared" si="1"/>
        <v>35.593600000000002</v>
      </c>
      <c r="L21" s="119">
        <f t="shared" si="1"/>
        <v>0</v>
      </c>
      <c r="M21" s="230">
        <f t="shared" si="2"/>
        <v>900.00960000000009</v>
      </c>
      <c r="N21" s="277">
        <f t="shared" si="3"/>
        <v>192.20338983050848</v>
      </c>
      <c r="O21" s="239">
        <f t="shared" si="4"/>
        <v>5.4610649491525427</v>
      </c>
      <c r="P21" s="119">
        <f t="shared" si="5"/>
        <v>1097.6740547796612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60</v>
      </c>
      <c r="I25" s="114">
        <f t="shared" ref="I25:M25" si="10">SUM(I16:I24)</f>
        <v>3954.8500000000004</v>
      </c>
      <c r="J25" s="274">
        <f>SUM(J16:J24)</f>
        <v>316.38800000000003</v>
      </c>
      <c r="K25" s="275">
        <f t="shared" si="10"/>
        <v>138.41975000000002</v>
      </c>
      <c r="L25" s="276">
        <f t="shared" si="10"/>
        <v>0</v>
      </c>
      <c r="M25" s="232">
        <f t="shared" si="10"/>
        <v>3500.0422500000004</v>
      </c>
      <c r="N25" s="233">
        <f>SUM(N16:N24)</f>
        <v>747.45762711864404</v>
      </c>
      <c r="O25" s="101">
        <f>SUM(O16:O24)</f>
        <v>21.237499385593225</v>
      </c>
      <c r="P25" s="234">
        <f>SUM(P16:P24)</f>
        <v>4268.7373765042375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3954.8500000000004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316.38800000000003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138.41975000000002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3500.0422500000004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747.45762711864404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4247.4998771186447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21.237499385593225</v>
      </c>
    </row>
    <row r="35" spans="2:16" ht="15.75" customHeight="1" thickBot="1" x14ac:dyDescent="0.4">
      <c r="N35" s="374" t="s">
        <v>88</v>
      </c>
      <c r="O35" s="375"/>
      <c r="P35" s="297">
        <f>+P33+P34</f>
        <v>4268.7373765042375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24</v>
      </c>
      <c r="I19" s="236">
        <f t="shared" si="0"/>
        <v>1743.3600000000001</v>
      </c>
      <c r="J19" s="272">
        <f t="shared" si="1"/>
        <v>139.46880000000002</v>
      </c>
      <c r="K19" s="128">
        <f t="shared" si="1"/>
        <v>61.017600000000009</v>
      </c>
      <c r="L19" s="119">
        <f t="shared" si="1"/>
        <v>0</v>
      </c>
      <c r="M19" s="230">
        <f t="shared" si="2"/>
        <v>1542.8736000000001</v>
      </c>
      <c r="N19" s="277">
        <f t="shared" si="3"/>
        <v>329.49152542372883</v>
      </c>
      <c r="O19" s="239">
        <f t="shared" si="4"/>
        <v>9.3618256271186446</v>
      </c>
      <c r="P19" s="119">
        <f t="shared" si="5"/>
        <v>1881.7269510508474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119">
        <f t="shared" si="5"/>
        <v>940.86347552542372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</v>
      </c>
      <c r="I21" s="236">
        <f t="shared" si="0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119">
        <f t="shared" si="5"/>
        <v>313.62115850847459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232.44800000000004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Q20" sqref="Q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8.7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20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20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520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30.508800000000004</v>
      </c>
      <c r="L25" s="276">
        <f t="shared" si="7"/>
        <v>0</v>
      </c>
      <c r="M25" s="232">
        <f t="shared" si="7"/>
        <v>771.43680000000006</v>
      </c>
      <c r="N25" s="233">
        <f>SUM(N16:N24)</f>
        <v>164.74576271186442</v>
      </c>
      <c r="O25" s="101">
        <f>SUM(O16:O24)</f>
        <v>4.6809128135593223</v>
      </c>
      <c r="P25" s="234">
        <f>SUM(P16:P24)</f>
        <v>940.86347552542372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871.68000000000006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69.734400000000008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30.508800000000004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771.43680000000006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936.18256271186442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74" t="s">
        <v>88</v>
      </c>
      <c r="O35" s="375"/>
      <c r="P35" s="297">
        <f>+P33+P34</f>
        <v>940.86347552542372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522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si="0"/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119">
        <f t="shared" si="5"/>
        <v>339.75773742584744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30</v>
      </c>
      <c r="I25" s="114">
        <f t="shared" si="7"/>
        <v>1937.0700000000002</v>
      </c>
      <c r="J25" s="274">
        <f>SUM(J16:J24)</f>
        <v>154.96559999999999</v>
      </c>
      <c r="K25" s="275">
        <f t="shared" si="7"/>
        <v>67.797450000000012</v>
      </c>
      <c r="L25" s="276">
        <f t="shared" si="7"/>
        <v>0</v>
      </c>
      <c r="M25" s="232">
        <f t="shared" si="7"/>
        <v>1714.3069499999999</v>
      </c>
      <c r="N25" s="233">
        <f>SUM(N16:N24)</f>
        <v>366.10169491525426</v>
      </c>
      <c r="O25" s="101">
        <f>SUM(O16:O24)</f>
        <v>10.402043224576271</v>
      </c>
      <c r="P25" s="234">
        <f>SUM(P16:P24)</f>
        <v>2090.8106881398303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1937.0700000000002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154.96559999999999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67.797450000000012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1714.3069500000001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366.10169491525426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2080.4086449152546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10.402043224576273</v>
      </c>
    </row>
    <row r="35" spans="2:16" ht="15.75" customHeight="1" thickBot="1" x14ac:dyDescent="0.4">
      <c r="N35" s="374" t="s">
        <v>88</v>
      </c>
      <c r="O35" s="375"/>
      <c r="P35" s="297">
        <f>+P33+P34</f>
        <v>2090.8106881398307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si="0"/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119">
        <f t="shared" si="5"/>
        <v>1132.5257914194915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1857.1725000000001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2098.5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167.88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73.447500000000005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1857.1724999999999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2253.7826694915252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4" t="s">
        <v>88</v>
      </c>
      <c r="O35" s="375"/>
      <c r="P35" s="297">
        <f>+P33+P34</f>
        <v>2265.051582838983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si="0"/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119">
        <f t="shared" si="5"/>
        <v>339.75773742584744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24</v>
      </c>
      <c r="I25" s="114">
        <f t="shared" si="7"/>
        <v>1501.23</v>
      </c>
      <c r="J25" s="274">
        <f>SUM(J16:J24)</f>
        <v>120.0984</v>
      </c>
      <c r="K25" s="275">
        <f t="shared" si="7"/>
        <v>52.543050000000008</v>
      </c>
      <c r="L25" s="276">
        <f t="shared" si="7"/>
        <v>0</v>
      </c>
      <c r="M25" s="232">
        <f t="shared" si="7"/>
        <v>1328.5885499999999</v>
      </c>
      <c r="N25" s="233">
        <f>SUM(N16:N24)</f>
        <v>283.72881355932202</v>
      </c>
      <c r="O25" s="101">
        <f>SUM(O16:O24)</f>
        <v>8.0615868177966092</v>
      </c>
      <c r="P25" s="234">
        <f>SUM(P16:P24)</f>
        <v>1620.3789503771186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1501.23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120.0984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52.543050000000008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1328.5885499999999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283.72881355932202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1612.3173635593221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8.061586817796611</v>
      </c>
    </row>
    <row r="35" spans="2:16" ht="15.75" customHeight="1" thickBot="1" x14ac:dyDescent="0.4">
      <c r="N35" s="374" t="s">
        <v>88</v>
      </c>
      <c r="O35" s="375"/>
      <c r="P35" s="297">
        <f>+P33+P34</f>
        <v>1620.3789503771186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526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527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400.32800000000003</v>
      </c>
      <c r="K25" s="275">
        <f t="shared" si="7"/>
        <v>175.14350000000002</v>
      </c>
      <c r="L25" s="276">
        <f t="shared" si="7"/>
        <v>0</v>
      </c>
      <c r="M25" s="232">
        <f t="shared" si="7"/>
        <v>4428.6284999999998</v>
      </c>
      <c r="N25" s="233">
        <f>SUM(N16:N24)</f>
        <v>945.76271186440658</v>
      </c>
      <c r="O25" s="101">
        <f>SUM(O16:O24)</f>
        <v>26.871956059322034</v>
      </c>
      <c r="P25" s="234">
        <f>SUM(P16:P24)</f>
        <v>5401.2631679237284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5004.1000000000004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400.32800000000003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175.14350000000002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4428.6284999999998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5374.3912118644066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26.871956059322034</v>
      </c>
    </row>
    <row r="35" spans="2:16" ht="15.75" customHeight="1" thickBot="1" x14ac:dyDescent="0.4">
      <c r="N35" s="374" t="s">
        <v>88</v>
      </c>
      <c r="O35" s="375"/>
      <c r="P35" s="297">
        <f>+P33+P34</f>
        <v>5401.2631679237284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528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529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435.84000000000003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34.867200000000004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15.254400000000002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385.71840000000003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468.09128135593221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4" t="s">
        <v>88</v>
      </c>
      <c r="O35" s="375"/>
      <c r="P35" s="297">
        <f>+P33+P34</f>
        <v>470.43173776271186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530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527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si="0"/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119">
        <f t="shared" si="5"/>
        <v>339.75773742584744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629.54999999999995</v>
      </c>
      <c r="J25" s="274">
        <f>SUM(J16:J24)</f>
        <v>50.363999999999997</v>
      </c>
      <c r="K25" s="275">
        <f t="shared" si="7"/>
        <v>22.03425</v>
      </c>
      <c r="L25" s="276">
        <f t="shared" si="7"/>
        <v>0</v>
      </c>
      <c r="M25" s="232">
        <f t="shared" si="7"/>
        <v>557.15174999999999</v>
      </c>
      <c r="N25" s="233">
        <f>SUM(N16:N24)</f>
        <v>118.98305084745758</v>
      </c>
      <c r="O25" s="101">
        <f>SUM(O16:O24)</f>
        <v>3.3806740042372878</v>
      </c>
      <c r="P25" s="234">
        <f>SUM(P16:P24)</f>
        <v>679.51547485169488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629.54999999999995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50.363999999999997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22.03425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557.15174999999988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118.98305084745758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676.13480084745743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3.3806740042372874</v>
      </c>
    </row>
    <row r="35" spans="2:16" ht="15.75" customHeight="1" thickBot="1" x14ac:dyDescent="0.4">
      <c r="N35" s="374" t="s">
        <v>88</v>
      </c>
      <c r="O35" s="375"/>
      <c r="P35" s="297">
        <f>+P33+P34</f>
        <v>679.51547485169476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46320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46319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2026-10-24T05:28:59Z</dcterms:modified>
</cp:coreProperties>
</file>