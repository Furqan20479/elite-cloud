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101124-5939-4341-834E-4820C790158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7"/>
  <c r="O20" i="47" s="1"/>
  <c r="P20" i="47" s="1"/>
  <c r="K12" i="62"/>
  <c r="M21" i="44"/>
  <c r="O21" i="44" s="1"/>
  <c r="P21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<sst xmlns="http://schemas.openxmlformats.org/spreadsheetml/2006/main" count="3948" uniqueCount="526">
  <si>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</si>
  <si>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</si>
  <si>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</si>
  <si>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</si>
  <si>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</si>
  <si>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</si>
  <si>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</si>
  <si>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</si>
  <si>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</si>
  <si>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</si>
  <si>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</si>
  <si>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</si>
  <si>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</si>
  <si>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</si>
  <si>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</si>
  <si>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</si>
  <si>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</si>
  <si>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</si>
  <si>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</si>
  <si>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</si>
  <si>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</si>
  <si>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</si>
  <si>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</si>
  <si>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</si>
  <si>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</si>
  <si>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</si>
  <si>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</si>
  <si>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</si>
  <si>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</si>
  <si>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</si>
  <si>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</si>
  <si>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</si>
  <si>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</si>
  <si>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</si>
  <si>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</si>
  <si>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</si>
  <si>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</si>
  <si>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</si>
  <si>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</si>
  <si>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</si>
  <si>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</si>
  <si>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</si>
  <si>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</si>
  <si>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</si>
  <si>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</si>
  <si>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</si>
  <si>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</si>
  <si>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</si>
  <si>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</si>
  <si>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</si>
  <si>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</si>
  <si>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</si>
  <si>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</si>
  <si>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</si>
  <si>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</si>
  <si>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</si>
  <si>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</si>
  <si>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</si>
  <si>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</si>
  <si>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</si>
  <si>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</si>
  <si>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</si>
  <si>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</si>
  <si>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</si>
  <si>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</si>
  <si>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</si>
  <si>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</si>
  <si>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</si>
  <si>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</si>
  <si>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</si>
  <si>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</si>
  <si>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</si>
  <si>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</si>
  <si>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</si>
  <si>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</si>
  <si>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</si>
  <si>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</si>
  <si>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</si>
  <si>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</si>
  <si>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</si>
  <si>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</si>
  <si>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</si>
  <si>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</si>
  <si>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</si>
  <si>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</si>
  <si>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</si>
  <si>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</si>
  <si>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</si>
  <si>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</si>
  <si>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</si>
  <si>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</si>
  <si>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</si>
  <si>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</si>
  <si>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</si>
  <si>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</si>
  <si>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</si>
  <si>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</si>
  <si>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</si>
  <si>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</si>
  <si>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</si>
  <si>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</si>
  <si>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</si>
  <si>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</si>
  <si>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</si>
  <si>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</si>
  <si>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</si>
  <si>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</si>
  <si>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</si>
  <si>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</si>
  <si>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</si>
  <si>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</si>
  <si>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</si>
  <si>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</si>
  <si>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</si>
  <si>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</si>
  <si>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</si>
  <si>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</si>
  <si>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</si>
  <si>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</si>
  <si>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</si>
  <si>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</si>
  <si>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</si>
  <si>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</si>
  <si>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</si>
  <si>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</si>
  <si>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</si>
  <si>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</si>
  <si>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</si>
  <si>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</si>
  <si>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</si>
  <si>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</si>
  <si>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</si>
  <si>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</si>
  <si>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</si>
  <si>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</si>
  <si>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</si>
  <si>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</si>
  <si>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</si>
  <si>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</si>
  <si>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</si>
  <si>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</si>
  <si>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</si>
  <si>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</si>
  <si>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</si>
  <si>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</si>
  <si>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</si>
  <si>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</si>
  <si>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</si>
  <si>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</si>
  <si>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</si>
  <si>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</si>
  <si>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</si>
  <si>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</si>
  <si>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</si>
  <si>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</si>
  <si>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</si>
  <si>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</si>
  <si>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</si>
  <si>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</si>
  <si>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</si>
  <si>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</si>
  <si>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</si>
  <si>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</si>
  <si>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</si>
  <si>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</si>
  <si>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</si>
  <si>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</si>
  <si>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</si>
  <si>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</si>
  <si>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</si>
  <si>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</si>
  <si>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</si>
  <si>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</si>
  <si>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</si>
  <si>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</si>
  <si>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</si>
  <si>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</si>
  <si>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</si>
  <si>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</si>
  <si>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</si>
  <si>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</si>
  <si>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</si>
  <si>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</si>
  <si>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</si>
  <si>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</si>
  <si>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</si>
  <si>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</si>
  <si>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</si>
  <si>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</si>
  <si>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</si>
  <si>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</si>
  <si>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</si>
  <si>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</si>
  <si>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</si>
  <si>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</si>
  <si>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</si>
  <si>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</si>
  <si>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</si>
  <si>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</si>
  <si>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</si>
  <si>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</si>
  <si>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</si>
  <si>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</si>
  <si>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</si>
  <si>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</si>
  <si>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</si>
  <si>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</si>
  <si>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</si>
  <si>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</si>
  <si>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</si>
  <si>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</si>
  <si>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</si>
  <si>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</si>
  <si>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</si>
  <si>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</si>
  <si>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</si>
  <si>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</si>
  <si>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</si>
  <si>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</si>
  <si>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</si>
  <si>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</si>
  <si>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</si>
  <si>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</si>
  <si>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</si>
  <si>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</si>
  <si>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</si>
  <si>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</si>
  <si>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</si>
  <si>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</si>
  <si>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</si>
  <si>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</si>
  <si>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</si>
  <si>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</si>
  <si>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</si>
  <si>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</si>
  <si>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</si>
  <si>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</si>
  <si>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</si>
  <si>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</si>
  <si>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</si>
  <si>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</si>
  <si>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</si>
  <si>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</si>
  <si>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</si>
  <si>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</si>
  <si>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</si>
  <si>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</si>
  <si>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</si>
  <si>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</si>
  <si>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</si>
  <si>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</si>
  <si>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</si>
  <si>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</si>
  <si>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</si>
  <si>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</si>
  <si>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</si>
  <si>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</si>
  <si>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</si>
  <si>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</si>
  <si>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</si>
  <si>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</si>
  <si>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</si>
  <si>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</si>
  <si>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</si>
  <si>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</si>
  <si>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</si>
  <si>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</si>
  <si>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</si>
  <si>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</si>
  <si>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</si>
  <si>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</si>
  <si>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</si>
  <si>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</si>
  <si>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</si>
  <si>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</si>
  <si>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</si>
  <si>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</si>
  <si>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</si>
  <si>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</si>
  <si>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</si>
  <si>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</si>
  <si>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</si>
  <si>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</si>
  <si>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</si>
  <si>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</si>
  <si>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</si>
  <si>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</si>
  <si>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</si>
  <si>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</si>
  <si>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</si>
  <si>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</si>
  <si>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</si>
  <si>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</si>
  <si>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</si>
  <si>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</si>
  <si>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</si>
  <si>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</si>
  <si>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</si>
  <si>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</si>
  <si>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</si>
  <si>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</si>
  <si>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</si>
  <si>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</si>
  <si>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</si>
  <si>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</si>
  <si>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</si>
  <si>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</si>
  <si>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</si>
  <si>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</si>
  <si>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</si>
  <si>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</si>
  <si>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</si>
  <si>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</si>
  <si>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</si>
  <si>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</si>
  <si>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</si>
  <si>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</si>
  <si>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</si>
  <si>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</si>
  <si>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</si>
  <si>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</si>
  <si>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</si>
  <si>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</si>
  <si>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</si>
  <si>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</si>
  <si>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</si>
  <si>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</si>
  <si>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</si>
  <si>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</si>
  <si>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</si>
  <si>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</si>
  <si>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</si>
  <si>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</si>
  <si>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</si>
  <si>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</si>
  <si>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</si>
  <si>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</si>
  <si>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</si>
  <si>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</si>
  <si>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</si>
  <si>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</si>
  <si>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</si>
  <si>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</si>
  <si>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</si>
  <si>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</si>
  <si>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</si>
  <si>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</si>
  <si>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</si>
  <si>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</si>
  <si>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</si>
  <si>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</si>
  <si>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</si>
  <si>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</si>
  <si>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</si>
  <si>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</si>
  <si>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</si>
  <si>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</si>
  <si>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</si>
  <si>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</si>
  <si>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</si>
  <si>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</si>
  <si>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</si>
  <si>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</si>
  <si>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</si>
  <si>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</si>
  <si>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</si>
  <si>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</si>
  <si>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</si>
  <si>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</si>
  <si>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</si>
  <si>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</si>
  <si>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</si>
  <si>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</si>
  <si>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</si>
  <si>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</si>
  <si>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</si>
  <si>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</si>
  <si>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</si>
  <si>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</si>
  <si>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</si>
  <si>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</si>
  <si>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</si>
  <si>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</si>
  <si>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</si>
  <si>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</si>
  <si>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</si>
  <si>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</si>
  <si>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</si>
  <si>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</si>
  <si>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</si>
  <si>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</si>
  <si>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</si>
  <si>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</si>
  <si>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</si>
  <si>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</si>
  <si>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</si>
  <si>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</si>
  <si>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</si>
  <si>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</si>
  <si>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</si>
  <si>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</si>
  <si>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</si>
  <si>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</si>
  <si>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</si>
  <si>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</si>
  <si>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</si>
  <si>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</si>
  <si>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</si>
  <si>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</si>
  <si>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</si>
  <si>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</si>
  <si>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</si>
  <si>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</si>
  <si>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</si>
  <si>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</si>
  <si>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</si>
  <si>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</si>
  <si>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</si>
  <si>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</si>
  <si>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</si>
  <si>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</si>
  <si>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</si>
  <si>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</si>
  <si>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</si>
  <si>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</si>
  <si>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</si>
  <si>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</si>
  <si>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</si>
  <si>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</si>
  <si>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</si>
  <si>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</si>
  <si>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</si>
  <si>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</si>
  <si>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</si>
  <si>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</si>
  <si>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</si>
  <si>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</si>
  <si>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</si>
  <si>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</si>
  <si>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</si>
  <si>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</si>
  <si>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</si>
  <si>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</si>
  <si>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</si>
  <si>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</si>
  <si>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</si>
  <si>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</si>
  <si>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</si>
  <si>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</si>
  <si>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</si>
  <si>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</si>
  <si>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</si>
  <si>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</si>
  <si>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</si>
  <si>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</si>
  <si>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</si>
  <si>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</si>
  <si>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</si>
  <si>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</si>
  <si>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</si>
  <si>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</si>
  <si>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</si>
  <si>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</si>
  <si>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</si>
  <si>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</si>
  <si>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</si>
  <si>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</si>
  <si>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</si>
  <si>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</si>
  <si>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</si>
  <si>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</si>
  <si>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</si>
  <si>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</si>
  <si>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</si>
  <si>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</si>
  <si>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</si>
  <si>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</si>
  <si>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</si>
  <si>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</si>
  <si>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</si>
  <si>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</si>
  <si>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</si>
  <si>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</si>
  <si>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</si>
  <si>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</si>
  <si>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</si>
  <si>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</si>
  <si>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</si>
  <si>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</si>
  <si>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</si>
  <si>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</si>
  <si>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</si>
  <si>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</si>
  <si>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</si>
  <si>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</si>
  <si>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</si>
  <si>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</si>
  <si>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</si>
  <si>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</si>
  <si>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</si>
  <si>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</si>
  <si>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</si>
  <si>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</si>
  <si>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</si>
  <si>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</si>
  <si>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</si>
  <si>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</si>
  <si>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</si>
  <si>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</si>
  <si>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</si>
  <si>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</si>
  <si>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</si>
  <si>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</si>
  <si>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</si>
  <si>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</si>
  <si>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Address: Paragon City </t>
  </si>
  <si>
    <t>Cant Store</t>
  </si>
  <si>
    <t xml:space="preserve">Usman madison Mart </t>
  </si>
  <si>
    <t>Umaima Store</t>
  </si>
  <si>
    <t xml:space="preserve">Pick N Pack </t>
  </si>
  <si>
    <t xml:space="preserve">Zb Mart </t>
  </si>
  <si>
    <t xml:space="preserve">K Mart </t>
  </si>
  <si>
    <t xml:space="preserve">Address: Green City </t>
  </si>
  <si>
    <t>Hikma Store</t>
  </si>
  <si>
    <t xml:space="preserve">Haji Mart </t>
  </si>
  <si>
    <t>Mixup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</si>
</sst>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Cant Store</v>
      </c>
      <c r="T3" s="301">
        <f>+'1'!P35</f>
        <v>3136.2115850847463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Usman madison Mart 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Umaima Store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Pick N Pack </v>
      </c>
      <c r="T6" s="301">
        <f>+'4'!P35</f>
        <v>8537.4747530084751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24</v>
      </c>
      <c r="I7" s="235">
        <f>(G7*D7)*F7+H7*F7</f>
        <v>1259.0999999999999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100.72799999999999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44.0685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1114.3035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237.96610169491515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6.7613480084745756</v>
      </c>
      <c r="P7" s="310">
        <f>M7+N7+O7</f>
        <v>1359.0309497033898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Zb Mart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64</v>
      </c>
      <c r="I8" s="236">
        <f t="shared" ref="I8:I14" si="0">(G8*D8)*F8+H8*F8</f>
        <v>3357.6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268.608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117.51600000000001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2971.4759999999997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634.57627118644041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18.030261355932204</v>
      </c>
      <c r="P8" s="311">
        <f t="shared" ref="P8:P15" si="2">M8+N8+O8</f>
        <v>3624.0825325423721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K Mart </v>
      </c>
      <c r="T8" s="301">
        <f>+'6'!P35</f>
        <v>9408.6347552542375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26</v>
      </c>
      <c r="I9" s="236">
        <f t="shared" si="0"/>
        <v>1364.0249999999999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109.122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47.740875000000003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1207.1621249999998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257.79661016949137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7.3247936758474568</v>
      </c>
      <c r="P9" s="311">
        <f t="shared" si="2"/>
        <v>1472.2835288453389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Hikma Store</v>
      </c>
      <c r="T9" s="301">
        <f>+'7'!P35</f>
        <v>9408.6347552542375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164</v>
      </c>
      <c r="I10" s="236">
        <f t="shared" si="0"/>
        <v>11912.960000000001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953.03680000000008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416.95360000000005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10542.9696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2251.5254237288132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63.97247511864407</v>
      </c>
      <c r="P10" s="311">
        <f t="shared" si="2"/>
        <v>12858.467498847458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Haji Mart </v>
      </c>
      <c r="T10" s="301">
        <f>+'8'!P35</f>
        <v>5401.2631679237284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184</v>
      </c>
      <c r="I11" s="236">
        <f t="shared" si="0"/>
        <v>13365.76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1069.2608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467.80160000000006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11828.6976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2526.101694915254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71.773996474576265</v>
      </c>
      <c r="P11" s="311">
        <f t="shared" si="2"/>
        <v>14426.57329138983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Mixup Mart</v>
      </c>
      <c r="T11" s="301">
        <f>+'9'!P35</f>
        <v>3702.4744807944917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212</v>
      </c>
      <c r="I12" s="236">
        <f t="shared" si="0"/>
        <v>15399.68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1231.9744000000001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538.98880000000008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13628.7168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2910.5084745762715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82.696126372881352</v>
      </c>
      <c r="P12" s="311">
        <f t="shared" si="2"/>
        <v>16621.921400949152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16.850000000000001</v>
      </c>
      <c r="H16" s="113">
        <f t="shared" ref="H16:M16" si="3">SUM(H7:H15)</f>
        <v>674</v>
      </c>
      <c r="I16" s="114">
        <f t="shared" si="3"/>
        <v>46659.125</v>
      </c>
      <c r="J16" s="274">
        <f>SUM(J7:J15)</f>
        <v>3732.7300000000005</v>
      </c>
      <c r="K16" s="275">
        <f t="shared" si="3"/>
        <v>1633.0693750000003</v>
      </c>
      <c r="L16" s="276">
        <f t="shared" si="3"/>
        <v>0</v>
      </c>
      <c r="M16" s="232">
        <f t="shared" si="3"/>
        <v>41293.325624999998</v>
      </c>
      <c r="N16" s="233">
        <f>SUM(N7:N15)</f>
        <v>8818.4745762711864</v>
      </c>
      <c r="O16" s="101">
        <f>SUM(O7:O15)</f>
        <v>250.55900100635591</v>
      </c>
      <c r="P16" s="113">
        <f>SUM(P7:P15)</f>
        <v>50362.359202277541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46659.125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3732.7300000000005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1633.0693750000003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41293.325624999998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8818.4745762711864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50111.80020127118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250.55900100635591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50362.359202277534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50362.359202277541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2905.6000000000004</v>
      </c>
      <c r="J25" s="274">
        <f>SUM(J16:J24)</f>
        <v>232.44800000000004</v>
      </c>
      <c r="K25" s="275">
        <f t="shared" si="10"/>
        <v>101.696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100.72800000000001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464.89599999999996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42.474998771186442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632.77599999999995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276.83950000000004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7000.0845000000008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8494.9997542372894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45" t="s">
        <v>88</v>
      </c>
      <c r="O35" s="346"/>
      <c r="P35" s="297">
        <f>+P33+P34</f>
        <v>8537.4747530084751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26.871956059322038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50</v>
      </c>
      <c r="I25" s="114">
        <f t="shared" si="7"/>
        <v>3430.2250000000004</v>
      </c>
      <c r="J25" s="274">
        <f>SUM(J16:J24)</f>
        <v>274.41800000000001</v>
      </c>
      <c r="K25" s="275">
        <f t="shared" si="7"/>
        <v>120.05787500000002</v>
      </c>
      <c r="L25" s="276">
        <f t="shared" si="7"/>
        <v>0</v>
      </c>
      <c r="M25" s="232">
        <f t="shared" si="7"/>
        <v>3035.7491250000003</v>
      </c>
      <c r="N25" s="233">
        <f>SUM(N16:N24)</f>
        <v>648.30508474576266</v>
      </c>
      <c r="O25" s="101">
        <f>SUM(O16:O24)</f>
        <v>18.420271048728814</v>
      </c>
      <c r="P25" s="234">
        <f>SUM(P16:P24)</f>
        <v>3702.4744807944917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3430.2250000000004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274.41800000000001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120.05787500000002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3035.7491250000003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648.30508474576266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3684.0542097457628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18.420271048728814</v>
      </c>
    </row>
    <row r="35" spans="2:16" ht="15.75" customHeight="1" thickBot="1" x14ac:dyDescent="0.4">
      <c r="N35" s="345" t="s">
        <v>88</v>
      </c>
      <c r="O35" s="346"/>
      <c r="P35" s="297">
        <f>+P33+P34</f>
        <v>3702.4744807944917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2026-10-22T11:51:30Z</dcterms:modified>
</cp:coreProperties>
</file>