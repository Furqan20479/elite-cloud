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CEDD888-5603-4583-89FB-7E121FBBCD48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8" i="53" l="1"/>
  <c r="O18" i="53" s="1"/>
  <c r="P18" i="53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<sst xmlns="http://schemas.openxmlformats.org/spreadsheetml/2006/main" count="3948" uniqueCount="531">
  <si>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</si>
  <si>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</si>
  <si>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</si>
  <si>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</si>
  <si>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</si>
  <si>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</si>
  <si>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</si>
  <si>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</si>
  <si>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</si>
  <si>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</si>
  <si>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</si>
  <si>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</si>
  <si>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</si>
  <si>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</si>
  <si>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</si>
  <si>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</si>
  <si>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</si>
  <si>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</si>
  <si>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</si>
  <si>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</si>
  <si>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</si>
  <si>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</si>
  <si>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</si>
  <si>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</si>
  <si>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</si>
  <si>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</si>
  <si>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</si>
  <si>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</si>
  <si>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</si>
  <si>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</si>
  <si>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</si>
  <si>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</si>
  <si>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</si>
  <si>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</si>
  <si>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</si>
  <si>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</si>
  <si>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</si>
  <si>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</si>
  <si>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</si>
  <si>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</si>
  <si>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</si>
  <si>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</si>
  <si>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</si>
  <si>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</si>
  <si>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</si>
  <si>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</si>
  <si>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</si>
  <si>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</si>
  <si>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</si>
  <si>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</si>
  <si>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</si>
  <si>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</si>
  <si>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</si>
  <si>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</si>
  <si>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</si>
  <si>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</si>
  <si>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</si>
  <si>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</si>
  <si>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</si>
  <si>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</si>
  <si>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</si>
  <si>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</si>
  <si>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</si>
  <si>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</si>
  <si>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</si>
  <si>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</si>
  <si>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</si>
  <si>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</si>
  <si>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</si>
  <si>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</si>
  <si>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</si>
  <si>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</si>
  <si>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</si>
  <si>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</si>
  <si>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</si>
  <si>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</si>
  <si>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</si>
  <si>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</si>
  <si>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</si>
  <si>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</si>
  <si>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</si>
  <si>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</si>
  <si>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</si>
  <si>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</si>
  <si>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</si>
  <si>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</si>
  <si>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</si>
  <si>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</si>
  <si>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</si>
  <si>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</si>
  <si>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</si>
  <si>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</si>
  <si>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</si>
  <si>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</si>
  <si>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</si>
  <si>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</si>
  <si>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</si>
  <si>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</si>
  <si>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</si>
  <si>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</si>
  <si>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</si>
  <si>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</si>
  <si>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</si>
  <si>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</si>
  <si>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</si>
  <si>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</si>
  <si>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</si>
  <si>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</si>
  <si>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</si>
  <si>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</si>
  <si>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</si>
  <si>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</si>
  <si>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</si>
  <si>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</si>
  <si>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</si>
  <si>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</si>
  <si>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</si>
  <si>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</si>
  <si>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</si>
  <si>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</si>
  <si>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</si>
  <si>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</si>
  <si>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</si>
  <si>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</si>
  <si>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</si>
  <si>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</si>
  <si>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</si>
  <si>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</si>
  <si>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</si>
  <si>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</si>
  <si>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</si>
  <si>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</si>
  <si>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</si>
  <si>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</si>
  <si>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</si>
  <si>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</si>
  <si>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</si>
  <si>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</si>
  <si>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</si>
  <si>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</si>
  <si>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</si>
  <si>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</si>
  <si>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</si>
  <si>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</si>
  <si>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</si>
  <si>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</si>
  <si>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</si>
  <si>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</si>
  <si>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</si>
  <si>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</si>
  <si>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</si>
  <si>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</si>
  <si>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</si>
  <si>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</si>
  <si>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</si>
  <si>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</si>
  <si>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</si>
  <si>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</si>
  <si>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</si>
  <si>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</si>
  <si>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</si>
  <si>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</si>
  <si>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</si>
  <si>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</si>
  <si>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</si>
  <si>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</si>
  <si>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</si>
  <si>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</si>
  <si>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</si>
  <si>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</si>
  <si>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</si>
  <si>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</si>
  <si>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</si>
  <si>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</si>
  <si>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</si>
  <si>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</si>
  <si>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</si>
  <si>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</si>
  <si>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</si>
  <si>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</si>
  <si>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</si>
  <si>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</si>
  <si>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</si>
  <si>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</si>
  <si>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</si>
  <si>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</si>
  <si>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</si>
  <si>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</si>
  <si>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</si>
  <si>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</si>
  <si>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</si>
  <si>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</si>
  <si>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</si>
  <si>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</si>
  <si>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</si>
  <si>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</si>
  <si>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</si>
  <si>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</si>
  <si>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</si>
  <si>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</si>
  <si>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</si>
  <si>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</si>
  <si>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</si>
  <si>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</si>
  <si>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</si>
  <si>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</si>
  <si>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</si>
  <si>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</si>
  <si>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</si>
  <si>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</si>
  <si>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</si>
  <si>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</si>
  <si>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</si>
  <si>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</si>
  <si>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</si>
  <si>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</si>
  <si>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</si>
  <si>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</si>
  <si>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</si>
  <si>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</si>
  <si>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</si>
  <si>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</si>
  <si>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</si>
  <si>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</si>
  <si>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</si>
  <si>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</si>
  <si>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</si>
  <si>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</si>
  <si>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</si>
  <si>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</si>
  <si>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</si>
  <si>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</si>
  <si>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</si>
  <si>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</si>
  <si>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</si>
  <si>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</si>
  <si>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</si>
  <si>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</si>
  <si>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</si>
  <si>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</si>
  <si>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</si>
  <si>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</si>
  <si>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</si>
  <si>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</si>
  <si>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</si>
  <si>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</si>
  <si>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</si>
  <si>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</si>
  <si>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</si>
  <si>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</si>
  <si>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</si>
  <si>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</si>
  <si>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</si>
  <si>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</si>
  <si>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</si>
  <si>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</si>
  <si>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</si>
  <si>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</si>
  <si>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</si>
  <si>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</si>
  <si>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</si>
  <si>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</si>
  <si>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</si>
  <si>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</si>
  <si>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</si>
  <si>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</si>
  <si>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</si>
  <si>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</si>
  <si>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</si>
  <si>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</si>
  <si>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</si>
  <si>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</si>
  <si>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</si>
  <si>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</si>
  <si>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</si>
  <si>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</si>
  <si>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</si>
  <si>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</si>
  <si>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</si>
  <si>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</si>
  <si>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</si>
  <si>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</si>
  <si>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</si>
  <si>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</si>
  <si>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</si>
  <si>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</si>
  <si>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</si>
  <si>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</si>
  <si>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</si>
  <si>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</si>
  <si>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</si>
  <si>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</si>
  <si>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</si>
  <si>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</si>
  <si>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</si>
  <si>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</si>
  <si>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</si>
  <si>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</si>
  <si>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</si>
  <si>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</si>
  <si>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</si>
  <si>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</si>
  <si>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</si>
  <si>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</si>
  <si>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</si>
  <si>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</si>
  <si>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</si>
  <si>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</si>
  <si>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</si>
  <si>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</si>
  <si>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</si>
  <si>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</si>
  <si>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</si>
  <si>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</si>
  <si>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</si>
  <si>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</si>
  <si>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</si>
  <si>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</si>
  <si>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</si>
  <si>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</si>
  <si>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</si>
  <si>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</si>
  <si>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</si>
  <si>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</si>
  <si>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</si>
  <si>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</si>
  <si>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</si>
  <si>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</si>
  <si>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</si>
  <si>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</si>
  <si>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</si>
  <si>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</si>
  <si>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</si>
  <si>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</si>
  <si>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</si>
  <si>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</si>
  <si>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</si>
  <si>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</si>
  <si>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</si>
  <si>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</si>
  <si>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</si>
  <si>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</si>
  <si>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</si>
  <si>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</si>
  <si>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</si>
  <si>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</si>
  <si>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</si>
  <si>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</si>
  <si>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</si>
  <si>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</si>
  <si>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</si>
  <si>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</si>
  <si>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</si>
  <si>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</si>
  <si>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</si>
  <si>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</si>
  <si>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</si>
  <si>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</si>
  <si>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</si>
  <si>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</si>
  <si>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</si>
  <si>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</si>
  <si>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</si>
  <si>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</si>
  <si>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</si>
  <si>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</si>
  <si>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</si>
  <si>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</si>
  <si>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</si>
  <si>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</si>
  <si>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</si>
  <si>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</si>
  <si>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</si>
  <si>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</si>
  <si>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</si>
  <si>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</si>
  <si>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</si>
  <si>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</si>
  <si>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</si>
  <si>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</si>
  <si>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</si>
  <si>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</si>
  <si>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</si>
  <si>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</si>
  <si>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</si>
  <si>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</si>
  <si>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</si>
  <si>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</si>
  <si>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</si>
  <si>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</si>
  <si>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</si>
  <si>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</si>
  <si>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</si>
  <si>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</si>
  <si>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</si>
  <si>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</si>
  <si>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</si>
  <si>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</si>
  <si>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</si>
  <si>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</si>
  <si>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</si>
  <si>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</si>
  <si>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</si>
  <si>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</si>
  <si>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</si>
  <si>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</si>
  <si>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</si>
  <si>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</si>
  <si>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</si>
  <si>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</si>
  <si>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</si>
  <si>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</si>
  <si>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</si>
  <si>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</si>
  <si>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</si>
  <si>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</si>
  <si>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</si>
  <si>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</si>
  <si>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</si>
  <si>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</si>
  <si>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</si>
  <si>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</si>
  <si>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</si>
  <si>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</si>
  <si>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</si>
  <si>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</si>
  <si>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</si>
  <si>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</si>
  <si>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</si>
  <si>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</si>
  <si>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</si>
  <si>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</si>
  <si>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</si>
  <si>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</si>
  <si>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</si>
  <si>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</si>
  <si>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</si>
  <si>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</si>
  <si>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</si>
  <si>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</si>
  <si>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</si>
  <si>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</si>
  <si>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</si>
  <si>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</si>
  <si>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</si>
  <si>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</si>
  <si>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</si>
  <si>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</si>
  <si>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</si>
  <si>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</si>
  <si>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</si>
  <si>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</si>
  <si>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</si>
  <si>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</si>
  <si>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</si>
  <si>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</si>
  <si>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</si>
  <si>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</si>
  <si>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</si>
  <si>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</si>
  <si>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</si>
  <si>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</si>
  <si>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</si>
  <si>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</si>
  <si>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</si>
  <si>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</si>
  <si>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</si>
  <si>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</si>
  <si>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</si>
  <si>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</si>
  <si>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</si>
  <si>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</si>
  <si>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</si>
  <si>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</si>
  <si>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</si>
  <si>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</si>
  <si>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</si>
  <si>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</si>
  <si>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</si>
  <si>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</si>
  <si>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</si>
  <si>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</si>
  <si>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</si>
  <si>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</si>
  <si>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</si>
  <si>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</si>
  <si>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</si>
  <si>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</si>
  <si>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</si>
  <si>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</si>
  <si>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</si>
  <si>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</si>
  <si>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</si>
  <si>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</si>
  <si>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</si>
  <si>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</si>
  <si>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</si>
  <si>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</si>
  <si>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</si>
  <si>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</si>
  <si>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</si>
  <si>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</si>
  <si>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</si>
  <si>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</si>
  <si>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</si>
  <si>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</si>
  <si>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</si>
  <si>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</si>
  <si>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</si>
  <si>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</si>
  <si>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</si>
  <si>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</si>
  <si>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</si>
  <si>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</si>
  <si>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Salman</t>
  </si>
  <si>
    <t>Butt Store</t>
  </si>
  <si>
    <t>Farman Store</t>
  </si>
  <si>
    <t>Waseem Store</t>
  </si>
  <si>
    <t>Bhatti Store</t>
  </si>
  <si>
    <t>Qasim Store</t>
  </si>
  <si>
    <t>Haji Store</t>
  </si>
  <si>
    <t>Afaq Store</t>
  </si>
  <si>
    <t>Rajput Store</t>
  </si>
  <si>
    <t>Roshan Store</t>
  </si>
  <si>
    <t>Bilal Store</t>
  </si>
  <si>
    <t>Haidri Store</t>
  </si>
  <si>
    <t>SA super Store</t>
  </si>
  <si>
    <t xml:space="preserve">K Mart </t>
  </si>
  <si>
    <t>Bilal store</t>
  </si>
  <si>
    <t>Azam Store</t>
  </si>
  <si>
    <t>Kashmir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</si>
</sst>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7" workbookViewId="0">
      <selection activeCell="R38" sqref="R3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46318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Butt Store</v>
      </c>
      <c r="T3" s="301">
        <f>+'1'!P35</f>
        <v>2265.051582838983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Farman Store</v>
      </c>
      <c r="T4" s="301">
        <f>+'2'!P35</f>
        <v>566.26289570974575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Waseem Store</v>
      </c>
      <c r="T5" s="301">
        <f>+'3'!P35</f>
        <v>566.26289570974575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Bhatti Store</v>
      </c>
      <c r="T6" s="301">
        <f>+'4'!P35</f>
        <v>1132.5257914194915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Qasim Store</v>
      </c>
      <c r="T7" s="301">
        <f>+'5'!P35</f>
        <v>566.26289570974575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335.76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3714.3450000000003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22.537826694915253</v>
      </c>
      <c r="P8" s="311">
        <f t="shared" ref="P8:P15" si="2">M8+N8+O8</f>
        <v>4530.103165677966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Haji Store</v>
      </c>
      <c r="T8" s="301">
        <f>+'6'!P35</f>
        <v>566.26289570974575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120</v>
      </c>
      <c r="I9" s="236">
        <f t="shared" si="0"/>
        <v>6295.5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503.6400000000001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220.3425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5571.5174999999999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1189.8305084745755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33.80674004237288</v>
      </c>
      <c r="P9" s="311">
        <f t="shared" si="2"/>
        <v>6795.1547485169476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Afaq Store</v>
      </c>
      <c r="T9" s="301">
        <f>+'7'!P35</f>
        <v>566.26289570974575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35</v>
      </c>
      <c r="I10" s="236">
        <f t="shared" si="0"/>
        <v>2542.4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203.392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88.984000000000009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2250.0240000000003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480.50847457627117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13.652662372881355</v>
      </c>
      <c r="P10" s="311">
        <f t="shared" si="2"/>
        <v>2744.1851369491528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Rajput Store</v>
      </c>
      <c r="T10" s="301">
        <f>+'8'!P35</f>
        <v>566.26289570974575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30</v>
      </c>
      <c r="I11" s="236">
        <f t="shared" si="0"/>
        <v>2179.1999999999998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174.33600000000001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76.272000000000006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1928.5919999999999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411.86440677966107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11.702282033898307</v>
      </c>
      <c r="P11" s="311">
        <f t="shared" si="2"/>
        <v>2352.1586888135594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Roshan Store</v>
      </c>
      <c r="T11" s="301">
        <f>+'9'!P35</f>
        <v>1132.5257914194915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55</v>
      </c>
      <c r="I12" s="236">
        <f t="shared" si="0"/>
        <v>3995.2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319.61599999999999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139.83200000000002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3535.752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755.08474576271192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21.454183728813561</v>
      </c>
      <c r="P12" s="311">
        <f t="shared" si="2"/>
        <v>4312.2909294915253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Bilal Store</v>
      </c>
      <c r="T12" s="301">
        <f>+'10'!P35</f>
        <v>566.26289570974575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Haidri Store</v>
      </c>
      <c r="T13" s="301">
        <f>+'11'!P35</f>
        <v>566.26289570974575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SA super Store</v>
      </c>
      <c r="T14" s="301">
        <f>+'12'!P35</f>
        <v>1132.5257914194915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 xml:space="preserve">K Mart </v>
      </c>
      <c r="T15" s="301">
        <f>+'13'!P35</f>
        <v>1132.5257914194915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8</v>
      </c>
      <c r="H16" s="113">
        <f t="shared" ref="H16:M16" si="3">SUM(H7:H15)</f>
        <v>320</v>
      </c>
      <c r="I16" s="114">
        <f t="shared" si="3"/>
        <v>19209.3</v>
      </c>
      <c r="J16" s="274">
        <f>SUM(J7:J15)</f>
        <v>1536.7440000000001</v>
      </c>
      <c r="K16" s="275">
        <f t="shared" si="3"/>
        <v>672.32550000000003</v>
      </c>
      <c r="L16" s="276">
        <f t="shared" si="3"/>
        <v>0</v>
      </c>
      <c r="M16" s="232">
        <f t="shared" si="3"/>
        <v>17000.230500000001</v>
      </c>
      <c r="N16" s="233">
        <f>SUM(N7:N15)</f>
        <v>3630.5084745762701</v>
      </c>
      <c r="O16" s="101">
        <f>SUM(O7:O15)</f>
        <v>103.15369487288136</v>
      </c>
      <c r="P16" s="113">
        <f>SUM(P7:P15)</f>
        <v>20733.892669449153</v>
      </c>
      <c r="Q16" s="128">
        <f>SUM(Q7:Q15)</f>
        <v>0</v>
      </c>
      <c r="R16" s="313">
        <v>14</v>
      </c>
      <c r="S16" s="315" t="str">
        <f>+'14'!A6:A6</f>
        <v>Bilal store</v>
      </c>
      <c r="T16" s="301">
        <f>+'14'!P35</f>
        <v>3136.2115850847458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Azam Store</v>
      </c>
      <c r="T17" s="301">
        <f>+'15'!P35</f>
        <v>3136.2115850847458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Kashmir Store</v>
      </c>
      <c r="T18" s="301">
        <f>+'16'!P35</f>
        <v>3136.2115850847458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19209.3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1536.7440000000001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672.32550000000003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17000.230500000001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3630.5084745762701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20630.73897457627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103.15369487288136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20733.892669449153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20733.892669449153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2098.5</v>
      </c>
      <c r="J25" s="274">
        <f>SUM(J16:J24)</f>
        <v>167.88</v>
      </c>
      <c r="K25" s="275">
        <f t="shared" si="10"/>
        <v>73.447500000000005</v>
      </c>
      <c r="L25" s="276">
        <f t="shared" si="10"/>
        <v>0</v>
      </c>
      <c r="M25" s="232">
        <f t="shared" si="10"/>
        <v>1857.1725000000001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167.88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1857.1724999999999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2253.7826694915252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4" t="s">
        <v>88</v>
      </c>
      <c r="O35" s="375"/>
      <c r="P35" s="297">
        <f>+P33+P34</f>
        <v>2265.051582838983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2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2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1049.25</v>
      </c>
      <c r="J25" s="274">
        <f>SUM(J16:J24)</f>
        <v>83.94</v>
      </c>
      <c r="K25" s="275">
        <f t="shared" si="7"/>
        <v>36.723750000000003</v>
      </c>
      <c r="L25" s="276">
        <f t="shared" si="7"/>
        <v>0</v>
      </c>
      <c r="M25" s="232">
        <f t="shared" si="7"/>
        <v>928.58625000000006</v>
      </c>
      <c r="N25" s="233">
        <f>SUM(N16:N24)</f>
        <v>198.30508474576263</v>
      </c>
      <c r="O25" s="101">
        <f>SUM(O16:O24)</f>
        <v>5.6344566737288133</v>
      </c>
      <c r="P25" s="234">
        <f>SUM(P16:P24)</f>
        <v>1132.5257914194915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1049.25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83.94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36.723750000000003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928.58624999999995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198.30508474576263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1126.8913347457626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5.6344566737288133</v>
      </c>
    </row>
    <row r="35" spans="2:16" ht="15.75" customHeight="1" thickBot="1" x14ac:dyDescent="0.4">
      <c r="N35" s="374" t="s">
        <v>88</v>
      </c>
      <c r="O35" s="375"/>
      <c r="P35" s="297">
        <f>+P33+P34</f>
        <v>1132.5257914194915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2"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2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2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1049.25</v>
      </c>
      <c r="J25" s="274">
        <f>SUM(J16:J24)</f>
        <v>83.94</v>
      </c>
      <c r="K25" s="275">
        <f t="shared" si="7"/>
        <v>36.723750000000003</v>
      </c>
      <c r="L25" s="276">
        <f t="shared" si="7"/>
        <v>0</v>
      </c>
      <c r="M25" s="232">
        <f t="shared" si="7"/>
        <v>928.58625000000006</v>
      </c>
      <c r="N25" s="233">
        <f>SUM(N16:N24)</f>
        <v>198.30508474576263</v>
      </c>
      <c r="O25" s="101">
        <f>SUM(O16:O24)</f>
        <v>5.6344566737288133</v>
      </c>
      <c r="P25" s="234">
        <f>SUM(P16:P24)</f>
        <v>1132.5257914194915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1049.25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83.94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36.723750000000003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928.58624999999995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198.30508474576263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1126.8913347457626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5.6344566737288133</v>
      </c>
    </row>
    <row r="35" spans="2:16" ht="15.75" customHeight="1" thickBot="1" x14ac:dyDescent="0.4">
      <c r="N35" s="374" t="s">
        <v>88</v>
      </c>
      <c r="O35" s="375"/>
      <c r="P35" s="297">
        <f>+P33+P34</f>
        <v>1132.5257914194915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2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2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1049.25</v>
      </c>
      <c r="J25" s="274">
        <f>SUM(J16:J24)</f>
        <v>83.94</v>
      </c>
      <c r="K25" s="275">
        <f t="shared" si="7"/>
        <v>36.723750000000003</v>
      </c>
      <c r="L25" s="276">
        <f t="shared" si="7"/>
        <v>0</v>
      </c>
      <c r="M25" s="232">
        <f t="shared" si="7"/>
        <v>928.58625000000006</v>
      </c>
      <c r="N25" s="233">
        <f>SUM(N16:N24)</f>
        <v>198.30508474576263</v>
      </c>
      <c r="O25" s="101">
        <f>SUM(O16:O24)</f>
        <v>5.6344566737288133</v>
      </c>
      <c r="P25" s="234">
        <f>SUM(P16:P24)</f>
        <v>1132.5257914194915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1049.25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83.94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36.723750000000003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928.58624999999995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198.30508474576263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1126.8913347457626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5.6344566737288133</v>
      </c>
    </row>
    <row r="35" spans="2:16" ht="15.75" customHeight="1" thickBot="1" x14ac:dyDescent="0.4">
      <c r="N35" s="374" t="s">
        <v>88</v>
      </c>
      <c r="O35" s="375"/>
      <c r="P35" s="297">
        <f>+P33+P34</f>
        <v>1132.5257914194915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2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527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1049.25</v>
      </c>
      <c r="J25" s="274">
        <f>SUM(J16:J24)</f>
        <v>83.94</v>
      </c>
      <c r="K25" s="275">
        <f t="shared" si="7"/>
        <v>36.723750000000003</v>
      </c>
      <c r="L25" s="276">
        <f t="shared" si="7"/>
        <v>0</v>
      </c>
      <c r="M25" s="232">
        <f t="shared" si="7"/>
        <v>928.58625000000006</v>
      </c>
      <c r="N25" s="233">
        <f>SUM(N16:N24)</f>
        <v>198.30508474576263</v>
      </c>
      <c r="O25" s="101">
        <f>SUM(O16:O24)</f>
        <v>5.6344566737288133</v>
      </c>
      <c r="P25" s="234">
        <f>SUM(P16:P24)</f>
        <v>1132.5257914194915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1049.25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83.94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36.723750000000003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928.58624999999995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198.30508474576263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1126.8913347457626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5.6344566737288133</v>
      </c>
    </row>
    <row r="35" spans="2:16" ht="15.75" customHeight="1" thickBot="1" x14ac:dyDescent="0.4">
      <c r="N35" s="374" t="s">
        <v>88</v>
      </c>
      <c r="O35" s="375"/>
      <c r="P35" s="297">
        <f>+P33+P34</f>
        <v>1132.5257914194915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528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232.44799999999998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529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530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46318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46317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2026-10-22T11:58:57Z</dcterms:modified>
</cp:coreProperties>
</file>