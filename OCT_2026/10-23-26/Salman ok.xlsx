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7BFB8515-65CC-414B-AFEF-45A0356521EA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5" l="1"/>
  <c r="N5" i="65" s="1"/>
  <c r="N4" i="60"/>
  <c r="N4" i="52"/>
  <c r="N4" i="44"/>
  <c r="N5" i="44" s="1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L20" i="48"/>
  <c r="J20" i="48"/>
  <c r="K20" i="53"/>
  <c r="L20" i="53"/>
  <c r="M20" i="53" s="1"/>
  <c r="O20" i="53" s="1"/>
  <c r="P20" i="53" s="1"/>
  <c r="J20" i="53"/>
  <c r="K20" i="43"/>
  <c r="L20" i="43"/>
  <c r="M20" i="43"/>
  <c r="O20" i="43" s="1"/>
  <c r="P20" i="43" s="1"/>
  <c r="J20" i="43"/>
  <c r="K20" i="57"/>
  <c r="J20" i="57"/>
  <c r="L20" i="57"/>
  <c r="M20" i="57" s="1"/>
  <c r="O20" i="57" s="1"/>
  <c r="P20" i="57" s="1"/>
  <c r="K20" i="61"/>
  <c r="J20" i="61"/>
  <c r="L20" i="61"/>
  <c r="M20" i="61"/>
  <c r="O20" i="61" s="1"/>
  <c r="P20" i="61" s="1"/>
  <c r="K20" i="71"/>
  <c r="J20" i="71"/>
  <c r="M20" i="71" s="1"/>
  <c r="O20" i="71" s="1"/>
  <c r="P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8" i="53" l="1"/>
  <c r="O18" i="53" s="1"/>
  <c r="P18" i="53" s="1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O18" i="50" s="1"/>
  <c r="P18" i="50" s="1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O19" i="55" s="1"/>
  <c r="P19" i="55" s="1"/>
  <c r="M19" i="67"/>
  <c r="O19" i="67" s="1"/>
  <c r="P19" i="67" s="1"/>
  <c r="M20" i="49"/>
  <c r="O20" i="49" s="1"/>
  <c r="P20" i="49" s="1"/>
  <c r="M20" i="65"/>
  <c r="O20" i="65" s="1"/>
  <c r="P20" i="65" s="1"/>
  <c r="M20" i="64"/>
  <c r="O20" i="64" s="1"/>
  <c r="P20" i="64" s="1"/>
  <c r="M20" i="52"/>
  <c r="M20" i="66"/>
  <c r="O20" i="66" s="1"/>
  <c r="P20" i="66" s="1"/>
  <c r="M20" i="59"/>
  <c r="O20" i="59" s="1"/>
  <c r="P20" i="59" s="1"/>
  <c r="M20" i="54"/>
  <c r="O20" i="54" s="1"/>
  <c r="P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M20" i="58"/>
  <c r="O20" i="58" s="1"/>
  <c r="P20" i="58" s="1"/>
  <c r="J25" i="47"/>
  <c r="P29" i="47" s="1"/>
  <c r="M20" i="55"/>
  <c r="O20" i="55" s="1"/>
  <c r="P20" i="55" s="1"/>
  <c r="M20" i="56"/>
  <c r="O20" i="56" s="1"/>
  <c r="P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P31" i="50" s="1"/>
  <c r="P33" i="50" s="1"/>
  <c r="P34" i="50" s="1"/>
  <c r="P35" i="50" s="1"/>
  <c r="T11" i="62" s="1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P25" i="52" l="1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<sst xmlns="http://schemas.openxmlformats.org/spreadsheetml/2006/main" count="3948" uniqueCount="531">
  <si>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</si>
  <si>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</si>
  <si>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</si>
  <si>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</si>
  <si>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</si>
  <si>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</si>
  <si>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</si>
  <si>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</si>
  <si>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</si>
  <si>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</si>
  <si>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</si>
  <si>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</si>
  <si>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</si>
  <si>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</si>
  <si>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</si>
  <si>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</si>
  <si>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</si>
  <si>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</si>
  <si>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</si>
  <si>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</si>
  <si>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</si>
  <si>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</si>
  <si>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</si>
  <si>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</si>
  <si>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</si>
  <si>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</si>
  <si>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</si>
  <si>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</si>
  <si>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</si>
  <si>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</si>
  <si>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</si>
  <si>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</si>
  <si>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</si>
  <si>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</si>
  <si>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</si>
  <si>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</si>
  <si>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</si>
  <si>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</si>
  <si>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</si>
  <si>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</si>
  <si>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</si>
  <si>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</si>
  <si>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</si>
  <si>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</si>
  <si>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</si>
  <si>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</si>
  <si>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</si>
  <si>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</si>
  <si>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</si>
  <si>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</si>
  <si>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</si>
  <si>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</si>
  <si>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</si>
  <si>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</si>
  <si>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</si>
  <si>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</si>
  <si>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</si>
  <si>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</si>
  <si>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</si>
  <si>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</si>
  <si>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</si>
  <si>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</si>
  <si>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</si>
  <si>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</si>
  <si>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</si>
  <si>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</si>
  <si>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</si>
  <si>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</si>
  <si>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</si>
  <si>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</si>
  <si>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</si>
  <si>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</si>
  <si>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</si>
  <si>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</si>
  <si>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</si>
  <si>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</si>
  <si>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</si>
  <si>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</si>
  <si>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</si>
  <si>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</si>
  <si>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</si>
  <si>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</si>
  <si>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</si>
  <si>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</si>
  <si>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</si>
  <si>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</si>
  <si>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</si>
  <si>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</si>
  <si>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</si>
  <si>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</si>
  <si>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</si>
  <si>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</si>
  <si>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</si>
  <si>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</si>
  <si>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</si>
  <si>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</si>
  <si>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</si>
  <si>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</si>
  <si>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</si>
  <si>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</si>
  <si>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</si>
  <si>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</si>
  <si>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</si>
  <si>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</si>
  <si>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</si>
  <si>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</si>
  <si>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</si>
  <si>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</si>
  <si>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</si>
  <si>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</si>
  <si>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</si>
  <si>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</si>
  <si>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</si>
  <si>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</si>
  <si>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</si>
  <si>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</si>
  <si>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</si>
  <si>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</si>
  <si>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</si>
  <si>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</si>
  <si>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</si>
  <si>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</si>
  <si>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</si>
  <si>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</si>
  <si>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</si>
  <si>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</si>
  <si>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</si>
  <si>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</si>
  <si>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</si>
  <si>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</si>
  <si>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</si>
  <si>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</si>
  <si>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</si>
  <si>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</si>
  <si>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</si>
  <si>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</si>
  <si>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</si>
  <si>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</si>
  <si>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</si>
  <si>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</si>
  <si>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</si>
  <si>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</si>
  <si>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</si>
  <si>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</si>
  <si>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</si>
  <si>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</si>
  <si>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</si>
  <si>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</si>
  <si>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</si>
  <si>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</si>
  <si>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</si>
  <si>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</si>
  <si>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</si>
  <si>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</si>
  <si>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</si>
  <si>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</si>
  <si>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</si>
  <si>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</si>
  <si>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</si>
  <si>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</si>
  <si>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</si>
  <si>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</si>
  <si>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</si>
  <si>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</si>
  <si>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</si>
  <si>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</si>
  <si>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</si>
  <si>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</si>
  <si>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</si>
  <si>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</si>
  <si>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</si>
  <si>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</si>
  <si>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</si>
  <si>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</si>
  <si>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</si>
  <si>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</si>
  <si>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</si>
  <si>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</si>
  <si>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</si>
  <si>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</si>
  <si>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</si>
  <si>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</si>
  <si>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</si>
  <si>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</si>
  <si>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</si>
  <si>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</si>
  <si>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</si>
  <si>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</si>
  <si>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</si>
  <si>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</si>
  <si>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</si>
  <si>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</si>
  <si>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</si>
  <si>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</si>
  <si>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</si>
  <si>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</si>
  <si>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</si>
  <si>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</si>
  <si>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</si>
  <si>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</si>
  <si>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</si>
  <si>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</si>
  <si>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</si>
  <si>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</si>
  <si>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</si>
  <si>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</si>
  <si>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</si>
  <si>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</si>
  <si>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</si>
  <si>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</si>
  <si>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</si>
  <si>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</si>
  <si>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</si>
  <si>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</si>
  <si>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</si>
  <si>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</si>
  <si>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</si>
  <si>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</si>
  <si>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</si>
  <si>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</si>
  <si>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</si>
  <si>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</si>
  <si>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</si>
  <si>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</si>
  <si>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</si>
  <si>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</si>
  <si>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</si>
  <si>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</si>
  <si>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</si>
  <si>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</si>
  <si>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</si>
  <si>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</si>
  <si>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</si>
  <si>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</si>
  <si>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</si>
  <si>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</si>
  <si>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</si>
  <si>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</si>
  <si>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</si>
  <si>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</si>
  <si>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</si>
  <si>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</si>
  <si>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</si>
  <si>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</si>
  <si>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</si>
  <si>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</si>
  <si>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</si>
  <si>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</si>
  <si>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</si>
  <si>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</si>
  <si>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</si>
  <si>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</si>
  <si>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</si>
  <si>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</si>
  <si>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</si>
  <si>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</si>
  <si>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</si>
  <si>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</si>
  <si>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</si>
  <si>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</si>
  <si>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</si>
  <si>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</si>
  <si>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</si>
  <si>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</si>
  <si>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</si>
  <si>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</si>
  <si>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</si>
  <si>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</si>
  <si>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</si>
  <si>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</si>
  <si>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</si>
  <si>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</si>
  <si>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</si>
  <si>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</si>
  <si>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</si>
  <si>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</si>
  <si>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</si>
  <si>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</si>
  <si>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</si>
  <si>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</si>
  <si>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</si>
  <si>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</si>
  <si>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</si>
  <si>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</si>
  <si>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</si>
  <si>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</si>
  <si>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</si>
  <si>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</si>
  <si>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</si>
  <si>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</si>
  <si>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</si>
  <si>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</si>
  <si>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</si>
  <si>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</si>
  <si>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</si>
  <si>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</si>
  <si>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</si>
  <si>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</si>
  <si>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</si>
  <si>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</si>
  <si>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</si>
  <si>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</si>
  <si>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</si>
  <si>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</si>
  <si>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</si>
  <si>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</si>
  <si>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</si>
  <si>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</si>
  <si>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</si>
  <si>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</si>
  <si>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</si>
  <si>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</si>
  <si>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</si>
  <si>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</si>
  <si>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</si>
  <si>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</si>
  <si>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</si>
  <si>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</si>
  <si>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</si>
  <si>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</si>
  <si>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</si>
  <si>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</si>
  <si>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</si>
  <si>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</si>
  <si>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</si>
  <si>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</si>
  <si>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</si>
  <si>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</si>
  <si>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</si>
  <si>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</si>
  <si>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</si>
  <si>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</si>
  <si>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</si>
  <si>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</si>
  <si>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</si>
  <si>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</si>
  <si>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</si>
  <si>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</si>
  <si>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</si>
  <si>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</si>
  <si>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</si>
  <si>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</si>
  <si>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</si>
  <si>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</si>
  <si>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</si>
  <si>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</si>
  <si>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</si>
  <si>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</si>
  <si>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</si>
  <si>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</si>
  <si>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</si>
  <si>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</si>
  <si>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</si>
  <si>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</si>
  <si>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</si>
  <si>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</si>
  <si>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</si>
  <si>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</si>
  <si>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</si>
  <si>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</si>
  <si>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</si>
  <si>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</si>
  <si>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</si>
  <si>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</si>
  <si>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</si>
  <si>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</si>
  <si>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</si>
  <si>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</si>
  <si>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</si>
  <si>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</si>
  <si>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</si>
  <si>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</si>
  <si>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</si>
  <si>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</si>
  <si>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</si>
  <si>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</si>
  <si>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</si>
  <si>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</si>
  <si>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</si>
  <si>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</si>
  <si>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</si>
  <si>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</si>
  <si>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</si>
  <si>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</si>
  <si>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</si>
  <si>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</si>
  <si>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</si>
  <si>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</si>
  <si>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</si>
  <si>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</si>
  <si>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</si>
  <si>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</si>
  <si>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</si>
  <si>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</si>
  <si>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</si>
  <si>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</si>
  <si>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</si>
  <si>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</si>
  <si>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</si>
  <si>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</si>
  <si>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</si>
  <si>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</si>
  <si>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</si>
  <si>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</si>
  <si>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</si>
  <si>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</si>
  <si>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</si>
  <si>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</si>
  <si>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</si>
  <si>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</si>
  <si>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</si>
  <si>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</si>
  <si>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</si>
  <si>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</si>
  <si>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</si>
  <si>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</si>
  <si>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</si>
  <si>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</si>
  <si>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</si>
  <si>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</si>
  <si>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</si>
  <si>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</si>
  <si>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</si>
  <si>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</si>
  <si>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</si>
  <si>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</si>
  <si>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</si>
  <si>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</si>
  <si>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</si>
  <si>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</si>
  <si>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</si>
  <si>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</si>
  <si>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</si>
  <si>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</si>
  <si>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</si>
  <si>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</si>
  <si>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</si>
  <si>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</si>
  <si>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</si>
  <si>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</si>
  <si>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</si>
  <si>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</si>
  <si>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</si>
  <si>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</si>
  <si>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</si>
  <si>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</si>
  <si>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</si>
  <si>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</si>
  <si>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</si>
  <si>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</si>
  <si>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</si>
  <si>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</si>
  <si>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</si>
  <si>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</si>
  <si>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</si>
  <si>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</si>
  <si>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</si>
  <si>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</si>
  <si>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</si>
  <si>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</si>
  <si>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</si>
  <si>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</si>
  <si>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</si>
  <si>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</si>
  <si>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</si>
  <si>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</si>
  <si>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</si>
  <si>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</si>
  <si>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</si>
  <si>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</si>
  <si>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</si>
  <si>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</si>
  <si>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</si>
  <si>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</si>
  <si>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</si>
  <si>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</si>
  <si>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</si>
  <si>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</si>
  <si>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</si>
  <si>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</si>
  <si>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</si>
  <si>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</si>
  <si>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</si>
  <si>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</si>
  <si>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</si>
  <si>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</si>
  <si>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</si>
  <si>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</si>
  <si>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</si>
  <si>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</si>
  <si>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</si>
  <si>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</si>
  <si>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</si>
  <si>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</si>
  <si>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</si>
  <si>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</si>
  <si>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</si>
  <si>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</si>
  <si>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</si>
  <si>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</si>
  <si>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</si>
  <si>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</si>
  <si>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</si>
  <si>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</si>
  <si>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</si>
  <si>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</si>
  <si>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</si>
  <si>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</si>
  <si>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</si>
  <si>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</si>
  <si>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</si>
  <si>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</si>
  <si>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</si>
  <si>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Address: Adress </t>
  </si>
  <si>
    <t>Salman</t>
  </si>
  <si>
    <t>Butt Store</t>
  </si>
  <si>
    <t>Farman Store</t>
  </si>
  <si>
    <t>Waseem Store</t>
  </si>
  <si>
    <t>Bhatti Store</t>
  </si>
  <si>
    <t>Qasim Store</t>
  </si>
  <si>
    <t>Haji Store</t>
  </si>
  <si>
    <t>Afaq Store</t>
  </si>
  <si>
    <t>Rajput Store</t>
  </si>
  <si>
    <t>Roshan Store</t>
  </si>
  <si>
    <t>Bilal Store</t>
  </si>
  <si>
    <t>Haidri Store</t>
  </si>
  <si>
    <t>SA super Store</t>
  </si>
  <si>
    <t xml:space="preserve">K Mart </t>
  </si>
  <si>
    <t>Bilal store</t>
  </si>
  <si>
    <t>Azam Store</t>
  </si>
  <si>
    <t>Kashmir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</si>
</sst>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topLeftCell="A26" workbookViewId="0">
      <selection activeCell="I32" sqref="I3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3" t="s">
        <v>91</v>
      </c>
      <c r="B2" s="393"/>
      <c r="C2" s="393"/>
      <c r="E2" s="385" t="s">
        <v>498</v>
      </c>
      <c r="F2" s="386"/>
      <c r="G2" s="386"/>
      <c r="H2" s="383" t="s">
        <v>514</v>
      </c>
      <c r="I2" s="383"/>
      <c r="J2" s="384"/>
      <c r="R2" s="380" t="s">
        <v>497</v>
      </c>
      <c r="S2" s="381"/>
      <c r="T2" s="382"/>
    </row>
    <row r="3" spans="1:20 16377:16378" ht="21.75" customHeight="1" thickBot="1" x14ac:dyDescent="0.4">
      <c r="A3" s="394" t="s">
        <v>92</v>
      </c>
      <c r="B3" s="394"/>
      <c r="C3" s="394"/>
      <c r="E3" s="389" t="s">
        <v>508</v>
      </c>
      <c r="F3" s="390"/>
      <c r="G3" s="390"/>
      <c r="H3" s="387">
        <v>46318</v>
      </c>
      <c r="I3" s="387"/>
      <c r="J3" s="388"/>
      <c r="K3" s="395" t="s">
        <v>43</v>
      </c>
      <c r="L3" s="395"/>
      <c r="M3" s="395"/>
      <c r="N3" s="394"/>
      <c r="O3" s="394"/>
      <c r="P3" s="394"/>
      <c r="R3" s="299">
        <v>1</v>
      </c>
      <c r="S3" s="300" t="str">
        <f>+'1'!A6:A6</f>
        <v>Butt Store</v>
      </c>
      <c r="T3" s="301">
        <f>+'1'!P35</f>
        <v>2265.051582838983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Farman Store</v>
      </c>
      <c r="T4" s="301">
        <f>+'2'!P35</f>
        <v>566.26289570974575</v>
      </c>
      <c r="XEX4" t="s">
        <v>105</v>
      </c>
    </row>
    <row r="5" spans="1:20 16377:16378" ht="21.75" customHeight="1" thickBot="1" x14ac:dyDescent="0.4">
      <c r="A5" s="345" t="s">
        <v>51</v>
      </c>
      <c r="B5" s="346"/>
      <c r="C5" s="349" t="s">
        <v>90</v>
      </c>
      <c r="D5" s="115" t="s">
        <v>52</v>
      </c>
      <c r="E5" s="351" t="s">
        <v>58</v>
      </c>
      <c r="F5" s="352"/>
      <c r="G5" s="353" t="s">
        <v>54</v>
      </c>
      <c r="H5" s="354"/>
      <c r="I5" s="355" t="s">
        <v>77</v>
      </c>
      <c r="J5" s="392" t="s">
        <v>55</v>
      </c>
      <c r="K5" s="353"/>
      <c r="L5" s="354"/>
      <c r="M5" s="346" t="s">
        <v>84</v>
      </c>
      <c r="N5" s="391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Waseem Store</v>
      </c>
      <c r="T5" s="301">
        <f>+'3'!P35</f>
        <v>566.26289570974575</v>
      </c>
      <c r="XEX5" t="s">
        <v>106</v>
      </c>
    </row>
    <row r="6" spans="1:20 16377:16378" ht="21.75" customHeight="1" thickBot="1" x14ac:dyDescent="0.4">
      <c r="A6" s="347"/>
      <c r="B6" s="348"/>
      <c r="C6" s="35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6"/>
      <c r="J6" s="143" t="s">
        <v>59</v>
      </c>
      <c r="K6" s="144" t="s">
        <v>39</v>
      </c>
      <c r="L6" s="145" t="s">
        <v>493</v>
      </c>
      <c r="M6" s="348"/>
      <c r="N6" s="356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Bhatti Store</v>
      </c>
      <c r="T6" s="301">
        <f>+'4'!P35</f>
        <v>1132.5257914194915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10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Qasim Store</v>
      </c>
      <c r="T7" s="301">
        <f>+'5'!P35</f>
        <v>453.01031656779651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78</v>
      </c>
      <c r="I8" s="236">
        <f t="shared" ref="I8:I14" si="0">(G8*D8)*F8+H8*F8</f>
        <v>4092.0749999999998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327.36599999999999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143.22262499999999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3621.486375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773.38983050847412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21.974381027542371</v>
      </c>
      <c r="P8" s="311">
        <f t="shared" ref="P8:P15" si="2">M8+N8+O8</f>
        <v>4416.8505865360166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2</v>
      </c>
      <c r="R8" s="313">
        <v>6</v>
      </c>
      <c r="S8" s="300" t="str">
        <f>+'6'!A6:A6</f>
        <v>Haji Store</v>
      </c>
      <c r="T8" s="301">
        <f>+'6'!P35</f>
        <v>566.26289570974575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120</v>
      </c>
      <c r="I9" s="236">
        <f t="shared" si="0"/>
        <v>6295.5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503.6400000000001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220.3425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5571.5174999999999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1189.8305084745755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33.80674004237288</v>
      </c>
      <c r="P9" s="311">
        <f t="shared" si="2"/>
        <v>6795.1547485169476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Afaq Store</v>
      </c>
      <c r="T9" s="301">
        <f>+'7'!P35</f>
        <v>566.26289570974575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1</v>
      </c>
      <c r="I10" s="236">
        <f t="shared" si="0"/>
        <v>72.64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5.8112000000000004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2.5424000000000002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64.2864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13.728813559322035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0.39007606779661019</v>
      </c>
      <c r="P10" s="311">
        <f t="shared" si="2"/>
        <v>78.405289627118648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34</v>
      </c>
      <c r="R10" s="313">
        <v>8</v>
      </c>
      <c r="S10" s="300" t="str">
        <f>+'8'!A6:A6</f>
        <v>Rajput Store</v>
      </c>
      <c r="T10" s="301">
        <f>+'8'!P35</f>
        <v>566.26289570974575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1</v>
      </c>
      <c r="I11" s="236">
        <f t="shared" si="0"/>
        <v>72.64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5.8112000000000004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2.5424000000000002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64.2864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13.728813559322035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0.39007606779661019</v>
      </c>
      <c r="P11" s="311">
        <f t="shared" si="2"/>
        <v>78.405289627118648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29</v>
      </c>
      <c r="R11" s="313">
        <v>9</v>
      </c>
      <c r="S11" s="300" t="str">
        <f>+'9'!A6:A6</f>
        <v>Roshan Store</v>
      </c>
      <c r="T11" s="301">
        <f>+'9'!P35</f>
        <v>1132.5257914194915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</v>
      </c>
      <c r="I12" s="236">
        <f t="shared" si="0"/>
        <v>72.64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5.8112000000000004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2.5424000000000002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64.2864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13.728813559322035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0.39007606779661019</v>
      </c>
      <c r="P12" s="311">
        <f t="shared" si="2"/>
        <v>78.405289627118648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54</v>
      </c>
      <c r="R12" s="313">
        <v>10</v>
      </c>
      <c r="S12" s="300" t="str">
        <f>+'10'!A6:A6</f>
        <v>Bilal Store</v>
      </c>
      <c r="T12" s="301">
        <f>+'10'!P35</f>
        <v>566.26289570974575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Haidri Store</v>
      </c>
      <c r="T13" s="301">
        <f>+'11'!P35</f>
        <v>566.26289570974575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SA super Store</v>
      </c>
      <c r="T14" s="301">
        <f>+'12'!P35</f>
        <v>1132.5257914194915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 xml:space="preserve">K Mart </v>
      </c>
      <c r="T15" s="301">
        <f>+'13'!P35</f>
        <v>1132.5257914194915</v>
      </c>
    </row>
    <row r="16" spans="1:20 16377:16378" ht="21.75" customHeight="1" thickBot="1" x14ac:dyDescent="0.4">
      <c r="A16" s="396">
        <f>COUNT(A7:A15)</f>
        <v>0</v>
      </c>
      <c r="B16" s="357"/>
      <c r="C16" s="357" t="s">
        <v>40</v>
      </c>
      <c r="D16" s="357"/>
      <c r="E16" s="357"/>
      <c r="F16" s="358"/>
      <c r="G16" s="117">
        <f>H16/40</f>
        <v>5.0250000000000004</v>
      </c>
      <c r="H16" s="113">
        <f t="shared" ref="H16:M16" si="3">SUM(H7:H15)</f>
        <v>201</v>
      </c>
      <c r="I16" s="114">
        <f t="shared" si="3"/>
        <v>10605.494999999999</v>
      </c>
      <c r="J16" s="274">
        <f>SUM(J7:J15)</f>
        <v>848.43960000000004</v>
      </c>
      <c r="K16" s="275">
        <f t="shared" si="3"/>
        <v>371.19232499999993</v>
      </c>
      <c r="L16" s="276">
        <f t="shared" si="3"/>
        <v>0</v>
      </c>
      <c r="M16" s="232">
        <f t="shared" si="3"/>
        <v>9385.8630750000029</v>
      </c>
      <c r="N16" s="233">
        <f>SUM(N7:N15)</f>
        <v>2004.4067796610161</v>
      </c>
      <c r="O16" s="101">
        <f>SUM(O7:O15)</f>
        <v>56.951349273305091</v>
      </c>
      <c r="P16" s="113">
        <f>SUM(P7:P15)</f>
        <v>11447.221203934319</v>
      </c>
      <c r="Q16" s="128">
        <f>SUM(Q7:Q15)</f>
        <v>119</v>
      </c>
      <c r="R16" s="313">
        <v>14</v>
      </c>
      <c r="S16" s="315" t="str">
        <f>+'14'!A6:A6</f>
        <v>Bilal store</v>
      </c>
      <c r="T16" s="301">
        <f>+'14'!P35</f>
        <v>235.21586888135593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Azam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Kashmir Store</v>
      </c>
      <c r="T18" s="301">
        <f>+'16'!P35</f>
        <v>0</v>
      </c>
    </row>
    <row r="19" spans="1:20" ht="21.75" customHeight="1" x14ac:dyDescent="0.35">
      <c r="B19" s="359" t="s">
        <v>64</v>
      </c>
      <c r="C19" s="360"/>
      <c r="D19" s="360"/>
      <c r="E19" s="360"/>
      <c r="F19" s="360"/>
      <c r="G19" s="360"/>
      <c r="H19" s="360"/>
      <c r="I19" s="360"/>
      <c r="J19" s="360"/>
      <c r="K19" s="360"/>
      <c r="L19" s="361"/>
      <c r="N19" s="368" t="s">
        <v>60</v>
      </c>
      <c r="O19" s="369"/>
      <c r="P19" s="139">
        <f>I16</f>
        <v>10605.494999999999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62"/>
      <c r="C20" s="363"/>
      <c r="D20" s="363"/>
      <c r="E20" s="363"/>
      <c r="F20" s="363"/>
      <c r="G20" s="363"/>
      <c r="H20" s="363"/>
      <c r="I20" s="363"/>
      <c r="J20" s="363"/>
      <c r="K20" s="363"/>
      <c r="L20" s="364"/>
      <c r="N20" s="370" t="s">
        <v>85</v>
      </c>
      <c r="O20" s="371"/>
      <c r="P20" s="140">
        <f>+J16</f>
        <v>848.43960000000004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62"/>
      <c r="C21" s="363"/>
      <c r="D21" s="363"/>
      <c r="E21" s="363"/>
      <c r="F21" s="363"/>
      <c r="G21" s="363"/>
      <c r="H21" s="363"/>
      <c r="I21" s="363"/>
      <c r="J21" s="363"/>
      <c r="K21" s="363"/>
      <c r="L21" s="364"/>
      <c r="N21" s="370" t="s">
        <v>86</v>
      </c>
      <c r="O21" s="371"/>
      <c r="P21" s="140">
        <f>+K16+L16</f>
        <v>371.19232499999993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62"/>
      <c r="C22" s="363"/>
      <c r="D22" s="363"/>
      <c r="E22" s="363"/>
      <c r="F22" s="363"/>
      <c r="G22" s="363"/>
      <c r="H22" s="363"/>
      <c r="I22" s="363"/>
      <c r="J22" s="363"/>
      <c r="K22" s="363"/>
      <c r="L22" s="364"/>
      <c r="M22" s="131"/>
      <c r="N22" s="370" t="s">
        <v>87</v>
      </c>
      <c r="O22" s="371"/>
      <c r="P22" s="140">
        <f>P19-P20-P21</f>
        <v>9385.8630749999993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62"/>
      <c r="C23" s="363"/>
      <c r="D23" s="363"/>
      <c r="E23" s="363"/>
      <c r="F23" s="363"/>
      <c r="G23" s="363"/>
      <c r="H23" s="363"/>
      <c r="I23" s="363"/>
      <c r="J23" s="363"/>
      <c r="K23" s="363"/>
      <c r="L23" s="364"/>
      <c r="M23" s="131"/>
      <c r="N23" s="136" t="s">
        <v>61</v>
      </c>
      <c r="O23" s="133">
        <v>0.18</v>
      </c>
      <c r="P23" s="140">
        <f>+N16</f>
        <v>2004.4067796610161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62"/>
      <c r="C24" s="363"/>
      <c r="D24" s="363"/>
      <c r="E24" s="363"/>
      <c r="F24" s="363"/>
      <c r="G24" s="363"/>
      <c r="H24" s="363"/>
      <c r="I24" s="363"/>
      <c r="J24" s="363"/>
      <c r="K24" s="363"/>
      <c r="L24" s="364"/>
      <c r="M24" s="131"/>
      <c r="N24" s="372" t="s">
        <v>76</v>
      </c>
      <c r="O24" s="373"/>
      <c r="P24" s="140">
        <f>P22+P23</f>
        <v>11390.269854661015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65"/>
      <c r="C25" s="366"/>
      <c r="D25" s="366"/>
      <c r="E25" s="366"/>
      <c r="F25" s="366"/>
      <c r="G25" s="366"/>
      <c r="H25" s="366"/>
      <c r="I25" s="366"/>
      <c r="J25" s="366"/>
      <c r="K25" s="366"/>
      <c r="L25" s="367"/>
      <c r="M25" s="99"/>
      <c r="N25" s="138" t="s">
        <v>83</v>
      </c>
      <c r="O25" s="137" t="e">
        <f>IF(#REF!="Filer",0.5%,2.5%)</f>
        <v>#REF!</v>
      </c>
      <c r="P25" s="140">
        <f>+O16</f>
        <v>56.951349273305091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74" t="s">
        <v>88</v>
      </c>
      <c r="O26" s="375"/>
      <c r="P26" s="297">
        <f>+P24+P25</f>
        <v>11447.221203934321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6"/>
      <c r="D27" s="376"/>
      <c r="E27" s="376"/>
      <c r="F27" s="376"/>
      <c r="G27" s="376"/>
      <c r="H27" s="376"/>
      <c r="I27" s="377"/>
      <c r="J27" s="378"/>
      <c r="K27" s="379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11447.221203934323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21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Summary!H3</f>
        <v>46318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46317</v>
      </c>
      <c r="O5" s="394"/>
      <c r="P5" s="394"/>
      <c r="R5" s="85"/>
      <c r="S5" s="266"/>
    </row>
    <row r="6" spans="1:22 16383:16384" ht="17.25" customHeight="1" x14ac:dyDescent="0.4">
      <c r="A6" s="400" t="s">
        <v>515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ref="I18:I21" si="7">(G18*D18)*F18+H18*F18</f>
        <v>2098.5</v>
      </c>
      <c r="J18" s="272">
        <f t="shared" si="1"/>
        <v>167.88</v>
      </c>
      <c r="K18" s="128">
        <f t="shared" si="1"/>
        <v>73.447500000000005</v>
      </c>
      <c r="L18" s="119">
        <f t="shared" si="1"/>
        <v>0</v>
      </c>
      <c r="M18" s="230">
        <f t="shared" si="2"/>
        <v>1857.1725000000001</v>
      </c>
      <c r="N18" s="277">
        <f t="shared" si="3"/>
        <v>396.61016949152526</v>
      </c>
      <c r="O18" s="239">
        <f t="shared" si="4"/>
        <v>11.268913347457627</v>
      </c>
      <c r="P18" s="119">
        <f t="shared" si="5"/>
        <v>2265.051582838983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" si="8">SUM(G16:G24)</f>
        <v>0</v>
      </c>
      <c r="H25" s="113">
        <f t="shared" ref="H25" si="9">SUM(H16:H24)</f>
        <v>40</v>
      </c>
      <c r="I25" s="114">
        <f t="shared" ref="I25:M25" si="10">SUM(I16:I24)</f>
        <v>2098.5</v>
      </c>
      <c r="J25" s="274">
        <f>SUM(J16:J24)</f>
        <v>167.88</v>
      </c>
      <c r="K25" s="275">
        <f t="shared" si="10"/>
        <v>73.447500000000005</v>
      </c>
      <c r="L25" s="276">
        <f t="shared" si="10"/>
        <v>0</v>
      </c>
      <c r="M25" s="232">
        <f t="shared" si="10"/>
        <v>1857.1725000000001</v>
      </c>
      <c r="N25" s="233">
        <f>SUM(N16:N24)</f>
        <v>396.61016949152526</v>
      </c>
      <c r="O25" s="101">
        <f>SUM(O16:O24)</f>
        <v>11.268913347457627</v>
      </c>
      <c r="P25" s="234">
        <f>SUM(P16:P24)</f>
        <v>2265.051582838983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2098.5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167.88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73.447500000000005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1857.1724999999999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396.61016949152526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2253.7826694915252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11.268913347457627</v>
      </c>
    </row>
    <row r="35" spans="2:16" ht="15.75" customHeight="1" thickBot="1" x14ac:dyDescent="0.4">
      <c r="N35" s="374" t="s">
        <v>88</v>
      </c>
      <c r="O35" s="375"/>
      <c r="P35" s="297">
        <f>+P33+P34</f>
        <v>2265.051582838983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2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46317</v>
      </c>
      <c r="O5" s="394"/>
      <c r="P5" s="394"/>
      <c r="R5" s="85"/>
      <c r="S5" s="266"/>
    </row>
    <row r="6" spans="1:22 16383:16384" ht="15" customHeight="1" x14ac:dyDescent="0.4">
      <c r="A6" s="400" t="s">
        <v>516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10</v>
      </c>
      <c r="I18" s="236">
        <f t="shared" si="0"/>
        <v>524.625</v>
      </c>
      <c r="J18" s="272">
        <f t="shared" si="1"/>
        <v>41.97</v>
      </c>
      <c r="K18" s="128">
        <f t="shared" si="1"/>
        <v>18.361875000000001</v>
      </c>
      <c r="L18" s="119">
        <f t="shared" si="1"/>
        <v>0</v>
      </c>
      <c r="M18" s="230">
        <f t="shared" si="2"/>
        <v>464.29312500000003</v>
      </c>
      <c r="N18" s="277">
        <f t="shared" si="3"/>
        <v>99.152542372881314</v>
      </c>
      <c r="O18" s="239">
        <f t="shared" si="4"/>
        <v>2.8172283368644067</v>
      </c>
      <c r="P18" s="119">
        <f t="shared" si="5"/>
        <v>566.26289570974575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524.625</v>
      </c>
      <c r="J25" s="274">
        <f>SUM(J16:J24)</f>
        <v>41.97</v>
      </c>
      <c r="K25" s="275">
        <f t="shared" si="7"/>
        <v>18.361875000000001</v>
      </c>
      <c r="L25" s="276">
        <f t="shared" si="7"/>
        <v>0</v>
      </c>
      <c r="M25" s="232">
        <f t="shared" si="7"/>
        <v>464.29312500000003</v>
      </c>
      <c r="N25" s="233">
        <f>SUM(N16:N24)</f>
        <v>99.152542372881314</v>
      </c>
      <c r="O25" s="101">
        <f>SUM(O16:O24)</f>
        <v>2.8172283368644067</v>
      </c>
      <c r="P25" s="234">
        <f>SUM(P16:P24)</f>
        <v>566.26289570974575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524.625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41.97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18.361875000000001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464.29312499999997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99.152542372881314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563.4456673728813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2.8172283368644067</v>
      </c>
    </row>
    <row r="35" spans="2:16" ht="15.75" customHeight="1" thickBot="1" x14ac:dyDescent="0.4">
      <c r="N35" s="374" t="s">
        <v>88</v>
      </c>
      <c r="O35" s="375"/>
      <c r="P35" s="297">
        <f>+P33+P34</f>
        <v>566.26289570974575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46317</v>
      </c>
      <c r="O5" s="394"/>
      <c r="P5" s="394"/>
      <c r="R5" s="85"/>
      <c r="S5" s="266"/>
    </row>
    <row r="6" spans="1:22 16383:16384" ht="18.75" customHeight="1" x14ac:dyDescent="0.4">
      <c r="A6" s="400" t="s">
        <v>517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119">
        <f t="shared" ref="P17:P24" si="5">M17+N17+O17</f>
        <v>566.26289570974575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524.625</v>
      </c>
      <c r="J25" s="274">
        <f>SUM(J16:J24)</f>
        <v>41.97</v>
      </c>
      <c r="K25" s="275">
        <f t="shared" si="7"/>
        <v>18.361875000000001</v>
      </c>
      <c r="L25" s="276">
        <f t="shared" si="7"/>
        <v>0</v>
      </c>
      <c r="M25" s="232">
        <f t="shared" si="7"/>
        <v>464.29312500000003</v>
      </c>
      <c r="N25" s="233">
        <f>SUM(N16:N24)</f>
        <v>99.152542372881314</v>
      </c>
      <c r="O25" s="101">
        <f>SUM(O16:O24)</f>
        <v>2.8172283368644067</v>
      </c>
      <c r="P25" s="234">
        <f>SUM(P16:P24)</f>
        <v>566.26289570974575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524.625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41.97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18.361875000000001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464.29312499999997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99.152542372881314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563.4456673728813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2.8172283368644067</v>
      </c>
    </row>
    <row r="35" spans="2:16" ht="15.75" customHeight="1" thickBot="1" x14ac:dyDescent="0.4">
      <c r="N35" s="374" t="s">
        <v>88</v>
      </c>
      <c r="O35" s="375"/>
      <c r="P35" s="297">
        <f>+P33+P34</f>
        <v>566.26289570974575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2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46317</v>
      </c>
      <c r="O5" s="394"/>
      <c r="P5" s="394"/>
      <c r="R5" s="85"/>
      <c r="S5" s="266"/>
    </row>
    <row r="6" spans="1:22 16383:16384" ht="15" customHeight="1" x14ac:dyDescent="0.4">
      <c r="A6" s="400" t="s">
        <v>518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119">
        <f t="shared" ref="P17:P24" si="5">M17+N17+O17</f>
        <v>566.26289570974575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10</v>
      </c>
      <c r="I18" s="236">
        <f t="shared" si="0"/>
        <v>524.625</v>
      </c>
      <c r="J18" s="272">
        <f t="shared" si="1"/>
        <v>41.97</v>
      </c>
      <c r="K18" s="128">
        <f t="shared" si="1"/>
        <v>18.361875000000001</v>
      </c>
      <c r="L18" s="119">
        <f t="shared" si="1"/>
        <v>0</v>
      </c>
      <c r="M18" s="230">
        <f t="shared" si="2"/>
        <v>464.29312500000003</v>
      </c>
      <c r="N18" s="277">
        <f t="shared" si="3"/>
        <v>99.152542372881314</v>
      </c>
      <c r="O18" s="239">
        <f t="shared" si="4"/>
        <v>2.8172283368644067</v>
      </c>
      <c r="P18" s="119">
        <f t="shared" si="5"/>
        <v>566.26289570974575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20</v>
      </c>
      <c r="I25" s="114">
        <f t="shared" si="7"/>
        <v>1049.25</v>
      </c>
      <c r="J25" s="274">
        <f>SUM(J16:J24)</f>
        <v>83.94</v>
      </c>
      <c r="K25" s="275">
        <f t="shared" si="7"/>
        <v>36.723750000000003</v>
      </c>
      <c r="L25" s="276">
        <f t="shared" si="7"/>
        <v>0</v>
      </c>
      <c r="M25" s="232">
        <f t="shared" si="7"/>
        <v>928.58625000000006</v>
      </c>
      <c r="N25" s="233">
        <f>SUM(N16:N24)</f>
        <v>198.30508474576263</v>
      </c>
      <c r="O25" s="101">
        <f>SUM(O16:O24)</f>
        <v>5.6344566737288133</v>
      </c>
      <c r="P25" s="234">
        <f>SUM(P16:P24)</f>
        <v>1132.5257914194915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1049.25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83.94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36.723750000000003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928.58624999999995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198.30508474576263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1126.8913347457626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5.6344566737288133</v>
      </c>
    </row>
    <row r="35" spans="2:16" ht="15.75" customHeight="1" thickBot="1" x14ac:dyDescent="0.4">
      <c r="N35" s="374" t="s">
        <v>88</v>
      </c>
      <c r="O35" s="375"/>
      <c r="P35" s="297">
        <f>+P33+P34</f>
        <v>1132.5257914194915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2" workbookViewId="0">
      <selection activeCell="H18" sqref="H1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46317</v>
      </c>
      <c r="O5" s="394"/>
      <c r="P5" s="394"/>
      <c r="R5" s="85"/>
      <c r="S5" s="266"/>
    </row>
    <row r="6" spans="1:22 16383:16384" ht="15" customHeight="1" x14ac:dyDescent="0.4">
      <c r="A6" s="400" t="s">
        <v>519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8</v>
      </c>
      <c r="I17" s="236">
        <f t="shared" ref="I17:I23" si="0">(G17*D17)*F17+H17*F17</f>
        <v>419.7</v>
      </c>
      <c r="J17" s="272">
        <f t="shared" ref="J17:L24" si="1">$I17*S17</f>
        <v>33.576000000000001</v>
      </c>
      <c r="K17" s="128">
        <f>$I17*T17</f>
        <v>14.689500000000001</v>
      </c>
      <c r="L17" s="119">
        <f>$I17*U17</f>
        <v>0</v>
      </c>
      <c r="M17" s="230">
        <f t="shared" ref="M17:M24" si="2">I17-SUM(J17:L17)</f>
        <v>371.43449999999996</v>
      </c>
      <c r="N17" s="277">
        <f t="shared" ref="N17:N24" si="3">+(G17*D17+H17)*V17</f>
        <v>79.322033898305051</v>
      </c>
      <c r="O17" s="239">
        <f t="shared" ref="O17:O24" si="4">(N17+M17)*$O$15</f>
        <v>2.2537826694915251</v>
      </c>
      <c r="P17" s="119">
        <f t="shared" ref="P17:P24" si="5">M17+N17+O17</f>
        <v>453.01031656779651</v>
      </c>
      <c r="Q17" s="319">
        <v>2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8</v>
      </c>
      <c r="I25" s="114">
        <f t="shared" si="7"/>
        <v>419.7</v>
      </c>
      <c r="J25" s="274">
        <f>SUM(J16:J24)</f>
        <v>33.576000000000001</v>
      </c>
      <c r="K25" s="275">
        <f t="shared" si="7"/>
        <v>14.689500000000001</v>
      </c>
      <c r="L25" s="276">
        <f t="shared" si="7"/>
        <v>0</v>
      </c>
      <c r="M25" s="232">
        <f t="shared" si="7"/>
        <v>371.43449999999996</v>
      </c>
      <c r="N25" s="233">
        <f>SUM(N16:N24)</f>
        <v>79.322033898305051</v>
      </c>
      <c r="O25" s="101">
        <f>SUM(O16:O24)</f>
        <v>2.2537826694915251</v>
      </c>
      <c r="P25" s="234">
        <f>SUM(P16:P24)</f>
        <v>453.01031656779651</v>
      </c>
      <c r="Q25" s="239">
        <f>SUM(Q16:Q24)</f>
        <v>2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419.7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33.576000000000001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14.689500000000001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371.43449999999996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79.322033898305051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450.75653389830501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2.2537826694915251</v>
      </c>
    </row>
    <row r="35" spans="2:16" ht="15.75" customHeight="1" thickBot="1" x14ac:dyDescent="0.4">
      <c r="N35" s="374" t="s">
        <v>88</v>
      </c>
      <c r="O35" s="375"/>
      <c r="P35" s="297">
        <f>+P33+P34</f>
        <v>453.01031656779651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8" workbookViewId="0">
      <selection activeCell="I12" sqref="I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'1'!N4:P5</f>
        <v>46318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46317</v>
      </c>
      <c r="O5" s="394"/>
      <c r="P5" s="394"/>
      <c r="R5" s="85"/>
      <c r="S5" s="266"/>
    </row>
    <row r="6" spans="1:22 16383:16384" ht="15" customHeight="1" x14ac:dyDescent="0.4">
      <c r="A6" s="400" t="s">
        <v>520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10</v>
      </c>
      <c r="I18" s="236">
        <f t="shared" si="0"/>
        <v>524.625</v>
      </c>
      <c r="J18" s="272">
        <f t="shared" si="1"/>
        <v>41.97</v>
      </c>
      <c r="K18" s="128">
        <f t="shared" si="1"/>
        <v>18.361875000000001</v>
      </c>
      <c r="L18" s="119">
        <f t="shared" si="1"/>
        <v>0</v>
      </c>
      <c r="M18" s="230">
        <f t="shared" si="2"/>
        <v>464.29312500000003</v>
      </c>
      <c r="N18" s="277">
        <f t="shared" si="3"/>
        <v>99.152542372881314</v>
      </c>
      <c r="O18" s="239">
        <f t="shared" si="4"/>
        <v>2.8172283368644067</v>
      </c>
      <c r="P18" s="119">
        <f t="shared" si="5"/>
        <v>566.26289570974575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524.625</v>
      </c>
      <c r="J25" s="274">
        <f>SUM(J16:J24)</f>
        <v>41.97</v>
      </c>
      <c r="K25" s="275">
        <f t="shared" si="7"/>
        <v>18.361875000000001</v>
      </c>
      <c r="L25" s="276">
        <f t="shared" si="7"/>
        <v>0</v>
      </c>
      <c r="M25" s="232">
        <f t="shared" si="7"/>
        <v>464.29312500000003</v>
      </c>
      <c r="N25" s="233">
        <f>SUM(N16:N24)</f>
        <v>99.152542372881314</v>
      </c>
      <c r="O25" s="101">
        <f>SUM(O16:O24)</f>
        <v>2.8172283368644067</v>
      </c>
      <c r="P25" s="234">
        <f>SUM(P16:P24)</f>
        <v>566.26289570974575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524.625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41.97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18.361875000000001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464.29312499999997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99.152542372881314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563.4456673728813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2.8172283368644067</v>
      </c>
    </row>
    <row r="35" spans="2:16" ht="15.75" customHeight="1" thickBot="1" x14ac:dyDescent="0.4">
      <c r="N35" s="374" t="s">
        <v>88</v>
      </c>
      <c r="O35" s="375"/>
      <c r="P35" s="297">
        <f>+P33+P34</f>
        <v>566.26289570974575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2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46317</v>
      </c>
      <c r="O5" s="394"/>
      <c r="P5" s="394"/>
      <c r="R5" s="85"/>
      <c r="S5" s="266"/>
    </row>
    <row r="6" spans="1:22 16383:16384" ht="15" customHeight="1" x14ac:dyDescent="0.4">
      <c r="A6" s="400" t="s">
        <v>521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10</v>
      </c>
      <c r="I18" s="236">
        <f t="shared" si="0"/>
        <v>524.625</v>
      </c>
      <c r="J18" s="272">
        <f t="shared" si="1"/>
        <v>41.97</v>
      </c>
      <c r="K18" s="128">
        <f t="shared" si="1"/>
        <v>18.361875000000001</v>
      </c>
      <c r="L18" s="119">
        <f t="shared" si="1"/>
        <v>0</v>
      </c>
      <c r="M18" s="230">
        <f t="shared" si="2"/>
        <v>464.29312500000003</v>
      </c>
      <c r="N18" s="277">
        <f t="shared" si="3"/>
        <v>99.152542372881314</v>
      </c>
      <c r="O18" s="239">
        <f t="shared" si="4"/>
        <v>2.8172283368644067</v>
      </c>
      <c r="P18" s="119">
        <f t="shared" si="5"/>
        <v>566.26289570974575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524.625</v>
      </c>
      <c r="J25" s="274">
        <f>SUM(J16:J24)</f>
        <v>41.97</v>
      </c>
      <c r="K25" s="275">
        <f t="shared" si="7"/>
        <v>18.361875000000001</v>
      </c>
      <c r="L25" s="276">
        <f t="shared" si="7"/>
        <v>0</v>
      </c>
      <c r="M25" s="232">
        <f t="shared" si="7"/>
        <v>464.29312500000003</v>
      </c>
      <c r="N25" s="233">
        <f>SUM(N16:N24)</f>
        <v>99.152542372881314</v>
      </c>
      <c r="O25" s="101">
        <f>SUM(O16:O24)</f>
        <v>2.8172283368644067</v>
      </c>
      <c r="P25" s="234">
        <f>SUM(P16:P24)</f>
        <v>566.26289570974575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524.625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41.97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18.361875000000001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464.29312499999997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99.152542372881314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563.4456673728813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2.8172283368644067</v>
      </c>
    </row>
    <row r="35" spans="2:16" ht="15.75" customHeight="1" thickBot="1" x14ac:dyDescent="0.4">
      <c r="N35" s="374" t="s">
        <v>88</v>
      </c>
      <c r="O35" s="375"/>
      <c r="P35" s="297">
        <f>+P33+P34</f>
        <v>566.26289570974575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46317</v>
      </c>
      <c r="O5" s="394"/>
      <c r="P5" s="394"/>
      <c r="R5" s="85"/>
      <c r="S5" s="266"/>
    </row>
    <row r="6" spans="1:22 16383:16384" ht="15" customHeight="1" x14ac:dyDescent="0.4">
      <c r="A6" s="400" t="s">
        <v>522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119">
        <f t="shared" ref="P17:P24" si="5">M17+N17+O17</f>
        <v>566.26289570974575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524.625</v>
      </c>
      <c r="J25" s="274">
        <f>SUM(J16:J24)</f>
        <v>41.97</v>
      </c>
      <c r="K25" s="275">
        <f t="shared" si="7"/>
        <v>18.361875000000001</v>
      </c>
      <c r="L25" s="276">
        <f t="shared" si="7"/>
        <v>0</v>
      </c>
      <c r="M25" s="232">
        <f t="shared" si="7"/>
        <v>464.29312500000003</v>
      </c>
      <c r="N25" s="233">
        <f>SUM(N16:N24)</f>
        <v>99.152542372881314</v>
      </c>
      <c r="O25" s="101">
        <f>SUM(O16:O24)</f>
        <v>2.8172283368644067</v>
      </c>
      <c r="P25" s="234">
        <f>SUM(P16:P24)</f>
        <v>566.26289570974575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524.625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41.97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18.361875000000001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464.29312499999997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99.152542372881314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563.4456673728813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2.8172283368644067</v>
      </c>
    </row>
    <row r="35" spans="2:16" ht="15.75" customHeight="1" thickBot="1" x14ac:dyDescent="0.4">
      <c r="N35" s="374" t="s">
        <v>88</v>
      </c>
      <c r="O35" s="375"/>
      <c r="P35" s="297">
        <f>+P33+P34</f>
        <v>566.26289570974575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2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46317</v>
      </c>
      <c r="O5" s="394"/>
      <c r="P5" s="394"/>
      <c r="R5" s="85"/>
      <c r="S5" s="266"/>
    </row>
    <row r="6" spans="1:22 16383:16384" ht="15" customHeight="1" x14ac:dyDescent="0.4">
      <c r="A6" s="400" t="s">
        <v>523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119">
        <f t="shared" ref="P17:P24" si="5">M17+N17+O17</f>
        <v>566.26289570974575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10</v>
      </c>
      <c r="I18" s="236">
        <f t="shared" si="0"/>
        <v>524.625</v>
      </c>
      <c r="J18" s="272">
        <f t="shared" si="1"/>
        <v>41.97</v>
      </c>
      <c r="K18" s="128">
        <f t="shared" si="1"/>
        <v>18.361875000000001</v>
      </c>
      <c r="L18" s="119">
        <f t="shared" si="1"/>
        <v>0</v>
      </c>
      <c r="M18" s="230">
        <f t="shared" si="2"/>
        <v>464.29312500000003</v>
      </c>
      <c r="N18" s="277">
        <f t="shared" si="3"/>
        <v>99.152542372881314</v>
      </c>
      <c r="O18" s="239">
        <f t="shared" si="4"/>
        <v>2.8172283368644067</v>
      </c>
      <c r="P18" s="119">
        <f t="shared" si="5"/>
        <v>566.26289570974575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20</v>
      </c>
      <c r="I25" s="114">
        <f t="shared" si="7"/>
        <v>1049.25</v>
      </c>
      <c r="J25" s="274">
        <f>SUM(J16:J24)</f>
        <v>83.94</v>
      </c>
      <c r="K25" s="275">
        <f t="shared" si="7"/>
        <v>36.723750000000003</v>
      </c>
      <c r="L25" s="276">
        <f t="shared" si="7"/>
        <v>0</v>
      </c>
      <c r="M25" s="232">
        <f t="shared" si="7"/>
        <v>928.58625000000006</v>
      </c>
      <c r="N25" s="233">
        <f>SUM(N16:N24)</f>
        <v>198.30508474576263</v>
      </c>
      <c r="O25" s="101">
        <f>SUM(O16:O24)</f>
        <v>5.6344566737288133</v>
      </c>
      <c r="P25" s="234">
        <f>SUM(P16:P24)</f>
        <v>1132.5257914194915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1049.25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83.94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36.723750000000003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928.58624999999995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198.30508474576263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1126.8913347457626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5.6344566737288133</v>
      </c>
    </row>
    <row r="35" spans="2:16" ht="15.75" customHeight="1" thickBot="1" x14ac:dyDescent="0.4">
      <c r="N35" s="374" t="s">
        <v>88</v>
      </c>
      <c r="O35" s="375"/>
      <c r="P35" s="297">
        <f>+P33+P34</f>
        <v>1132.5257914194915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topLeftCell="A2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46317</v>
      </c>
      <c r="O5" s="394"/>
      <c r="P5" s="394"/>
      <c r="R5" s="85"/>
      <c r="S5" s="266"/>
    </row>
    <row r="6" spans="1:22 16383:16384" ht="15" customHeight="1" x14ac:dyDescent="0.4">
      <c r="A6" s="400" t="s">
        <v>524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10</v>
      </c>
      <c r="I18" s="236">
        <f t="shared" si="0"/>
        <v>524.625</v>
      </c>
      <c r="J18" s="272">
        <f t="shared" si="1"/>
        <v>41.97</v>
      </c>
      <c r="K18" s="128">
        <f t="shared" si="1"/>
        <v>18.361875000000001</v>
      </c>
      <c r="L18" s="119">
        <f t="shared" si="1"/>
        <v>0</v>
      </c>
      <c r="M18" s="230">
        <f t="shared" si="2"/>
        <v>464.29312500000003</v>
      </c>
      <c r="N18" s="277">
        <f t="shared" si="3"/>
        <v>99.152542372881314</v>
      </c>
      <c r="O18" s="239">
        <f t="shared" si="4"/>
        <v>2.8172283368644067</v>
      </c>
      <c r="P18" s="119">
        <f t="shared" si="5"/>
        <v>566.26289570974575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524.625</v>
      </c>
      <c r="J25" s="274">
        <f>SUM(J16:J24)</f>
        <v>41.97</v>
      </c>
      <c r="K25" s="275">
        <f t="shared" si="7"/>
        <v>18.361875000000001</v>
      </c>
      <c r="L25" s="276">
        <f t="shared" si="7"/>
        <v>0</v>
      </c>
      <c r="M25" s="232">
        <f t="shared" si="7"/>
        <v>464.29312500000003</v>
      </c>
      <c r="N25" s="233">
        <f>SUM(N16:N24)</f>
        <v>99.152542372881314</v>
      </c>
      <c r="O25" s="101">
        <f>SUM(O16:O24)</f>
        <v>2.8172283368644067</v>
      </c>
      <c r="P25" s="234">
        <f>SUM(P16:P24)</f>
        <v>566.26289570974575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524.625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41.97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18.361875000000001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464.29312499999997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99.152542372881314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563.4456673728813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2.8172283368644067</v>
      </c>
    </row>
    <row r="35" spans="2:16" ht="15.75" customHeight="1" thickBot="1" x14ac:dyDescent="0.4">
      <c r="N35" s="374" t="s">
        <v>88</v>
      </c>
      <c r="O35" s="375"/>
      <c r="P35" s="297">
        <f>+P33+P34</f>
        <v>566.26289570974575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46317</v>
      </c>
      <c r="O5" s="394"/>
      <c r="P5" s="394"/>
      <c r="R5" s="85"/>
      <c r="S5" s="266"/>
    </row>
    <row r="6" spans="1:22 16383:16384" ht="15" customHeight="1" x14ac:dyDescent="0.4">
      <c r="A6" s="400" t="s">
        <v>525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119">
        <f t="shared" ref="P17:P24" si="5">M17+N17+O17</f>
        <v>566.26289570974575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524.625</v>
      </c>
      <c r="J25" s="274">
        <f>SUM(J16:J24)</f>
        <v>41.97</v>
      </c>
      <c r="K25" s="275">
        <f t="shared" si="7"/>
        <v>18.361875000000001</v>
      </c>
      <c r="L25" s="276">
        <f t="shared" si="7"/>
        <v>0</v>
      </c>
      <c r="M25" s="232">
        <f t="shared" si="7"/>
        <v>464.29312500000003</v>
      </c>
      <c r="N25" s="233">
        <f>SUM(N16:N24)</f>
        <v>99.152542372881314</v>
      </c>
      <c r="O25" s="101">
        <f>SUM(O16:O24)</f>
        <v>2.8172283368644067</v>
      </c>
      <c r="P25" s="234">
        <f>SUM(P16:P24)</f>
        <v>566.26289570974575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524.625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41.97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18.361875000000001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464.29312499999997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99.152542372881314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563.4456673728813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2.8172283368644067</v>
      </c>
    </row>
    <row r="35" spans="2:16" ht="15.75" customHeight="1" thickBot="1" x14ac:dyDescent="0.4">
      <c r="N35" s="374" t="s">
        <v>88</v>
      </c>
      <c r="O35" s="375"/>
      <c r="P35" s="297">
        <f>+P33+P34</f>
        <v>566.26289570974575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topLeftCell="A2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46317</v>
      </c>
      <c r="O5" s="394"/>
      <c r="P5" s="394"/>
      <c r="R5" s="85"/>
      <c r="S5" s="266"/>
    </row>
    <row r="6" spans="1:22 16383:16384" ht="15" customHeight="1" x14ac:dyDescent="0.4">
      <c r="A6" s="400" t="s">
        <v>526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119">
        <f t="shared" ref="P17:P24" si="5">M17+N17+O17</f>
        <v>566.26289570974575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10</v>
      </c>
      <c r="I18" s="236">
        <f t="shared" si="0"/>
        <v>524.625</v>
      </c>
      <c r="J18" s="272">
        <f t="shared" si="1"/>
        <v>41.97</v>
      </c>
      <c r="K18" s="128">
        <f t="shared" si="1"/>
        <v>18.361875000000001</v>
      </c>
      <c r="L18" s="119">
        <f t="shared" si="1"/>
        <v>0</v>
      </c>
      <c r="M18" s="230">
        <f t="shared" si="2"/>
        <v>464.29312500000003</v>
      </c>
      <c r="N18" s="277">
        <f t="shared" si="3"/>
        <v>99.152542372881314</v>
      </c>
      <c r="O18" s="239">
        <f t="shared" si="4"/>
        <v>2.8172283368644067</v>
      </c>
      <c r="P18" s="119">
        <f t="shared" si="5"/>
        <v>566.26289570974575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20</v>
      </c>
      <c r="I25" s="114">
        <f t="shared" si="7"/>
        <v>1049.25</v>
      </c>
      <c r="J25" s="274">
        <f>SUM(J16:J24)</f>
        <v>83.94</v>
      </c>
      <c r="K25" s="275">
        <f t="shared" si="7"/>
        <v>36.723750000000003</v>
      </c>
      <c r="L25" s="276">
        <f t="shared" si="7"/>
        <v>0</v>
      </c>
      <c r="M25" s="232">
        <f t="shared" si="7"/>
        <v>928.58625000000006</v>
      </c>
      <c r="N25" s="233">
        <f>SUM(N16:N24)</f>
        <v>198.30508474576263</v>
      </c>
      <c r="O25" s="101">
        <f>SUM(O16:O24)</f>
        <v>5.6344566737288133</v>
      </c>
      <c r="P25" s="234">
        <f>SUM(P16:P24)</f>
        <v>1132.5257914194915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1049.25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83.94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36.723750000000003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928.58624999999995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198.30508474576263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1126.8913347457626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5.6344566737288133</v>
      </c>
    </row>
    <row r="35" spans="2:16" ht="15.75" customHeight="1" thickBot="1" x14ac:dyDescent="0.4">
      <c r="N35" s="374" t="s">
        <v>88</v>
      </c>
      <c r="O35" s="375"/>
      <c r="P35" s="297">
        <f>+P33+P34</f>
        <v>1132.5257914194915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topLeftCell="A2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46317</v>
      </c>
      <c r="O5" s="394"/>
      <c r="P5" s="394"/>
      <c r="R5" s="85"/>
      <c r="S5" s="266"/>
    </row>
    <row r="6" spans="1:22 16383:16384" ht="15" customHeight="1" x14ac:dyDescent="0.4">
      <c r="A6" s="400" t="s">
        <v>527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119">
        <f t="shared" ref="P17:P24" si="5">M17+N17+O17</f>
        <v>566.26289570974575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10</v>
      </c>
      <c r="I18" s="236">
        <f t="shared" si="0"/>
        <v>524.625</v>
      </c>
      <c r="J18" s="272">
        <f t="shared" si="1"/>
        <v>41.97</v>
      </c>
      <c r="K18" s="128">
        <f t="shared" si="1"/>
        <v>18.361875000000001</v>
      </c>
      <c r="L18" s="119">
        <f t="shared" si="1"/>
        <v>0</v>
      </c>
      <c r="M18" s="230">
        <f t="shared" si="2"/>
        <v>464.29312500000003</v>
      </c>
      <c r="N18" s="277">
        <f t="shared" si="3"/>
        <v>99.152542372881314</v>
      </c>
      <c r="O18" s="239">
        <f t="shared" si="4"/>
        <v>2.8172283368644067</v>
      </c>
      <c r="P18" s="119">
        <f t="shared" si="5"/>
        <v>566.26289570974575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20</v>
      </c>
      <c r="I25" s="114">
        <f t="shared" si="7"/>
        <v>1049.25</v>
      </c>
      <c r="J25" s="274">
        <f>SUM(J16:J24)</f>
        <v>83.94</v>
      </c>
      <c r="K25" s="275">
        <f t="shared" si="7"/>
        <v>36.723750000000003</v>
      </c>
      <c r="L25" s="276">
        <f t="shared" si="7"/>
        <v>0</v>
      </c>
      <c r="M25" s="232">
        <f t="shared" si="7"/>
        <v>928.58625000000006</v>
      </c>
      <c r="N25" s="233">
        <f>SUM(N16:N24)</f>
        <v>198.30508474576263</v>
      </c>
      <c r="O25" s="101">
        <f>SUM(O16:O24)</f>
        <v>5.6344566737288133</v>
      </c>
      <c r="P25" s="234">
        <f>SUM(P16:P24)</f>
        <v>1132.5257914194915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1049.25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83.94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36.723750000000003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928.58624999999995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198.30508474576263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1126.8913347457626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5.6344566737288133</v>
      </c>
    </row>
    <row r="35" spans="2:16" ht="15.75" customHeight="1" thickBot="1" x14ac:dyDescent="0.4">
      <c r="N35" s="374" t="s">
        <v>88</v>
      </c>
      <c r="O35" s="375"/>
      <c r="P35" s="297">
        <f>+P33+P34</f>
        <v>1132.5257914194915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topLeftCell="A11" workbookViewId="0">
      <selection activeCell="H20" sqref="H2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46317</v>
      </c>
      <c r="O5" s="394"/>
      <c r="P5" s="394"/>
      <c r="R5" s="85"/>
      <c r="S5" s="266"/>
    </row>
    <row r="6" spans="1:22 16383:16384" ht="15" customHeight="1" x14ac:dyDescent="0.4">
      <c r="A6" s="400" t="s">
        <v>528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</v>
      </c>
      <c r="I19" s="236">
        <f t="shared" si="0"/>
        <v>72.64</v>
      </c>
      <c r="J19" s="272">
        <f t="shared" si="1"/>
        <v>5.8112000000000004</v>
      </c>
      <c r="K19" s="128">
        <f t="shared" si="1"/>
        <v>2.5424000000000002</v>
      </c>
      <c r="L19" s="119">
        <f t="shared" si="1"/>
        <v>0</v>
      </c>
      <c r="M19" s="230">
        <f t="shared" si="2"/>
        <v>64.2864</v>
      </c>
      <c r="N19" s="277">
        <f t="shared" si="3"/>
        <v>13.728813559322035</v>
      </c>
      <c r="O19" s="239">
        <f t="shared" si="4"/>
        <v>0.39007606779661019</v>
      </c>
      <c r="P19" s="119">
        <f t="shared" si="5"/>
        <v>78.405289627118648</v>
      </c>
      <c r="Q19" s="319">
        <v>14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</v>
      </c>
      <c r="I20" s="236">
        <f t="shared" si="0"/>
        <v>72.64</v>
      </c>
      <c r="J20" s="272">
        <f t="shared" si="1"/>
        <v>5.8112000000000004</v>
      </c>
      <c r="K20" s="128">
        <f t="shared" si="1"/>
        <v>2.5424000000000002</v>
      </c>
      <c r="L20" s="119">
        <f t="shared" si="1"/>
        <v>0</v>
      </c>
      <c r="M20" s="230">
        <f t="shared" si="2"/>
        <v>64.2864</v>
      </c>
      <c r="N20" s="277">
        <f t="shared" si="3"/>
        <v>13.728813559322035</v>
      </c>
      <c r="O20" s="239">
        <f t="shared" si="4"/>
        <v>0.39007606779661019</v>
      </c>
      <c r="P20" s="119">
        <f t="shared" si="5"/>
        <v>78.405289627118648</v>
      </c>
      <c r="Q20" s="319">
        <v>9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</v>
      </c>
      <c r="I21" s="236">
        <f t="shared" si="0"/>
        <v>72.64</v>
      </c>
      <c r="J21" s="272">
        <f t="shared" si="1"/>
        <v>5.8112000000000004</v>
      </c>
      <c r="K21" s="128">
        <f t="shared" si="1"/>
        <v>2.5424000000000002</v>
      </c>
      <c r="L21" s="119">
        <f t="shared" si="1"/>
        <v>0</v>
      </c>
      <c r="M21" s="230">
        <f t="shared" si="2"/>
        <v>64.2864</v>
      </c>
      <c r="N21" s="277">
        <f t="shared" si="3"/>
        <v>13.728813559322035</v>
      </c>
      <c r="O21" s="239">
        <f t="shared" si="4"/>
        <v>0.39007606779661019</v>
      </c>
      <c r="P21" s="119">
        <f t="shared" si="5"/>
        <v>78.405289627118648</v>
      </c>
      <c r="Q21" s="319">
        <v>14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3</v>
      </c>
      <c r="I25" s="114">
        <f t="shared" si="7"/>
        <v>217.92000000000002</v>
      </c>
      <c r="J25" s="274">
        <f>SUM(J16:J24)</f>
        <v>17.433600000000002</v>
      </c>
      <c r="K25" s="275">
        <f t="shared" si="7"/>
        <v>7.6272000000000002</v>
      </c>
      <c r="L25" s="276">
        <f t="shared" si="7"/>
        <v>0</v>
      </c>
      <c r="M25" s="232">
        <f t="shared" si="7"/>
        <v>192.85919999999999</v>
      </c>
      <c r="N25" s="233">
        <f>SUM(N16:N24)</f>
        <v>41.186440677966104</v>
      </c>
      <c r="O25" s="101">
        <f>SUM(O16:O24)</f>
        <v>1.1702282033898306</v>
      </c>
      <c r="P25" s="234">
        <f>SUM(P16:P24)</f>
        <v>235.21586888135596</v>
      </c>
      <c r="Q25" s="239">
        <f>SUM(Q16:Q24)</f>
        <v>37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217.92000000000002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17.433600000000002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7.6272000000000002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192.85920000000002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41.186440677966104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234.04564067796611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1.1702282033898306</v>
      </c>
    </row>
    <row r="35" spans="2:16" ht="15.75" customHeight="1" thickBot="1" x14ac:dyDescent="0.4">
      <c r="N35" s="374" t="s">
        <v>88</v>
      </c>
      <c r="O35" s="375"/>
      <c r="P35" s="297">
        <f>+P33+P34</f>
        <v>235.21586888135593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topLeftCell="A5" workbookViewId="0">
      <selection activeCell="H21" sqref="H19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46317</v>
      </c>
      <c r="O5" s="394"/>
      <c r="P5" s="394"/>
      <c r="R5" s="85"/>
      <c r="S5" s="266"/>
    </row>
    <row r="6" spans="1:22 16383:16384" ht="15" customHeight="1" x14ac:dyDescent="0.4">
      <c r="A6" s="400" t="s">
        <v>529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>
        <v>10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>
        <v>10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>
        <v>20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40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topLeftCell="A11" workbookViewId="0">
      <selection activeCell="H21" sqref="H19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46317</v>
      </c>
      <c r="O5" s="394"/>
      <c r="P5" s="394"/>
      <c r="R5" s="85"/>
      <c r="S5" s="266"/>
    </row>
    <row r="6" spans="1:22 16383:16384" ht="15" customHeight="1" x14ac:dyDescent="0.4">
      <c r="A6" s="400" t="s">
        <v>530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>
        <v>10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>
        <v>10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>
        <v>20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40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46317</v>
      </c>
      <c r="O5" s="394"/>
      <c r="P5" s="394"/>
      <c r="R5" s="85"/>
      <c r="S5" s="266"/>
    </row>
    <row r="6" spans="1:22 16383:16384" ht="18.7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3" t="s">
        <v>91</v>
      </c>
      <c r="B2" s="393"/>
      <c r="C2" s="393"/>
    </row>
    <row r="3" spans="1:18 16382:16383" ht="15" customHeight="1" x14ac:dyDescent="0.35">
      <c r="A3" s="394" t="s">
        <v>92</v>
      </c>
      <c r="B3" s="394"/>
      <c r="C3" s="394"/>
      <c r="F3" s="85"/>
      <c r="G3" s="1"/>
      <c r="J3" s="395" t="s">
        <v>43</v>
      </c>
      <c r="K3" s="395"/>
      <c r="L3" s="395"/>
      <c r="M3" s="394"/>
      <c r="N3" s="394"/>
      <c r="O3" s="394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4" t="s">
        <v>65</v>
      </c>
      <c r="B4" s="394"/>
      <c r="C4" s="394"/>
      <c r="F4" s="85"/>
      <c r="G4" s="1"/>
      <c r="J4" s="395" t="s">
        <v>44</v>
      </c>
      <c r="K4" s="395"/>
      <c r="L4" s="395"/>
      <c r="M4" s="398">
        <f ca="1">TODAY()+1</f>
        <v>46319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9" t="s">
        <v>93</v>
      </c>
      <c r="B5" s="399"/>
      <c r="C5" s="399"/>
      <c r="F5" s="85"/>
      <c r="G5" s="1"/>
      <c r="J5" s="395" t="s">
        <v>45</v>
      </c>
      <c r="K5" s="395"/>
      <c r="L5" s="395"/>
      <c r="M5" s="398">
        <f ca="1">M4-1</f>
        <v>46318</v>
      </c>
      <c r="N5" s="394"/>
      <c r="O5" s="394"/>
      <c r="Q5" s="85"/>
      <c r="R5" s="1"/>
    </row>
    <row r="6" spans="1:18 16382:16383" ht="15" customHeight="1" x14ac:dyDescent="0.35">
      <c r="A6" s="395" t="s">
        <v>94</v>
      </c>
      <c r="B6" s="395"/>
      <c r="C6" s="395"/>
      <c r="F6" s="85"/>
      <c r="G6" s="86"/>
      <c r="J6" s="395" t="s">
        <v>69</v>
      </c>
      <c r="K6" s="395"/>
      <c r="L6" s="395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5" t="s">
        <v>73</v>
      </c>
      <c r="B7" s="395"/>
      <c r="C7" s="395"/>
      <c r="F7" s="85"/>
      <c r="G7" s="86"/>
      <c r="J7" s="395" t="s">
        <v>66</v>
      </c>
      <c r="K7" s="395"/>
      <c r="L7" s="395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1" t="s">
        <v>95</v>
      </c>
      <c r="B8" s="401"/>
      <c r="C8" s="401"/>
      <c r="F8" s="85"/>
      <c r="G8" s="86"/>
      <c r="J8" s="395" t="s">
        <v>67</v>
      </c>
      <c r="K8" s="395"/>
      <c r="L8" s="395"/>
      <c r="M8" s="397" t="s">
        <v>71</v>
      </c>
      <c r="N8" s="397"/>
      <c r="O8" s="397"/>
      <c r="Q8" s="85"/>
      <c r="R8" s="86"/>
    </row>
    <row r="9" spans="1:18 16382:16383" x14ac:dyDescent="0.35">
      <c r="A9" s="401" t="s">
        <v>96</v>
      </c>
      <c r="B9" s="401"/>
      <c r="C9" s="401"/>
      <c r="F9" s="85"/>
      <c r="G9" s="86"/>
      <c r="J9" s="395" t="s">
        <v>68</v>
      </c>
      <c r="K9" s="395"/>
      <c r="L9" s="395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401" t="s">
        <v>97</v>
      </c>
      <c r="B10" s="401"/>
      <c r="C10" s="401"/>
      <c r="F10" s="85"/>
      <c r="G10" s="1"/>
      <c r="J10" s="395" t="s">
        <v>46</v>
      </c>
      <c r="K10" s="395"/>
      <c r="L10" s="395"/>
      <c r="M10" s="394" t="s">
        <v>47</v>
      </c>
      <c r="N10" s="394"/>
      <c r="O10" s="394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5" t="s">
        <v>48</v>
      </c>
      <c r="K11" s="395"/>
      <c r="L11" s="395"/>
      <c r="M11" s="394" t="s">
        <v>49</v>
      </c>
      <c r="N11" s="394"/>
      <c r="O11" s="394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5" t="s">
        <v>50</v>
      </c>
      <c r="K12" s="395"/>
      <c r="L12" s="395"/>
      <c r="M12" s="394"/>
      <c r="N12" s="394"/>
      <c r="O12" s="394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5" t="s">
        <v>51</v>
      </c>
      <c r="B14" s="346"/>
      <c r="C14" s="349" t="s">
        <v>90</v>
      </c>
      <c r="D14" s="88" t="s">
        <v>52</v>
      </c>
      <c r="E14" s="95" t="s">
        <v>74</v>
      </c>
      <c r="F14" s="115" t="s">
        <v>53</v>
      </c>
      <c r="G14" s="392" t="s">
        <v>54</v>
      </c>
      <c r="H14" s="354"/>
      <c r="I14" s="355" t="s">
        <v>77</v>
      </c>
      <c r="J14" s="353" t="s">
        <v>55</v>
      </c>
      <c r="K14" s="354"/>
      <c r="L14" s="35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7"/>
      <c r="B15" s="348"/>
      <c r="C15" s="35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6"/>
      <c r="J15" s="144" t="s">
        <v>39</v>
      </c>
      <c r="K15" s="145" t="s">
        <v>59</v>
      </c>
      <c r="L15" s="356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1"/>
      <c r="M28" s="368" t="s">
        <v>60</v>
      </c>
      <c r="N28" s="369"/>
      <c r="O28" s="139">
        <f>I25</f>
        <v>1452.8</v>
      </c>
    </row>
    <row r="29" spans="1:18 16383:16383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4"/>
      <c r="M29" s="370" t="s">
        <v>85</v>
      </c>
      <c r="N29" s="371"/>
      <c r="O29" s="140">
        <f>K25</f>
        <v>0</v>
      </c>
    </row>
    <row r="30" spans="1:18 16383:16383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4"/>
      <c r="M30" s="370" t="s">
        <v>86</v>
      </c>
      <c r="N30" s="371"/>
      <c r="O30" s="140">
        <f>J25</f>
        <v>50.848000000000006</v>
      </c>
    </row>
    <row r="31" spans="1:18 16383:16383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4"/>
      <c r="L31" s="131"/>
      <c r="M31" s="370" t="s">
        <v>87</v>
      </c>
      <c r="N31" s="371"/>
      <c r="O31" s="140">
        <f>O28-O29-O30</f>
        <v>1401.952</v>
      </c>
    </row>
    <row r="32" spans="1:18 16383:16383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4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4"/>
      <c r="L33" s="131"/>
      <c r="M33" s="372" t="s">
        <v>76</v>
      </c>
      <c r="N33" s="373"/>
      <c r="O33" s="140">
        <f>O31+O32</f>
        <v>1710.3814400000001</v>
      </c>
    </row>
    <row r="34" spans="2:15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7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4" t="s">
        <v>88</v>
      </c>
      <c r="N35" s="375"/>
      <c r="O35" s="141">
        <f>O28-O29+O31+O34</f>
        <v>2897.511536</v>
      </c>
    </row>
    <row r="36" spans="2:15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5" t="s">
        <v>439</v>
      </c>
      <c r="E1" s="337" t="s">
        <v>58</v>
      </c>
      <c r="F1" s="337"/>
      <c r="G1" s="338" t="s">
        <v>440</v>
      </c>
      <c r="H1" s="338"/>
      <c r="I1" s="406" t="s">
        <v>441</v>
      </c>
      <c r="J1" s="406"/>
      <c r="K1" s="406" t="s">
        <v>442</v>
      </c>
      <c r="L1" s="406"/>
      <c r="M1" s="402" t="s">
        <v>484</v>
      </c>
      <c r="N1" s="403"/>
      <c r="O1" s="404"/>
    </row>
    <row r="2" spans="3:24" ht="29" x14ac:dyDescent="0.35">
      <c r="C2" s="337"/>
      <c r="D2" s="405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7" t="s">
        <v>476</v>
      </c>
      <c r="D6" s="407"/>
      <c r="E6" s="407"/>
      <c r="F6" s="407"/>
      <c r="G6" s="407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9" t="s">
        <v>58</v>
      </c>
      <c r="F7" s="409"/>
      <c r="G7" s="410" t="s">
        <v>440</v>
      </c>
      <c r="H7" s="338"/>
      <c r="I7" s="339" t="s">
        <v>441</v>
      </c>
      <c r="J7" s="340"/>
      <c r="K7" s="339" t="s">
        <v>442</v>
      </c>
      <c r="L7" s="340"/>
      <c r="M7" s="402" t="s">
        <v>484</v>
      </c>
      <c r="N7" s="403"/>
      <c r="O7" s="404"/>
      <c r="P7" s="256" t="s">
        <v>475</v>
      </c>
      <c r="Q7" s="242" t="s">
        <v>473</v>
      </c>
      <c r="R7" s="405" t="s">
        <v>475</v>
      </c>
      <c r="S7" s="405" t="s">
        <v>485</v>
      </c>
      <c r="T7" s="411" t="s">
        <v>486</v>
      </c>
      <c r="U7" s="411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5"/>
      <c r="S8" s="405"/>
      <c r="T8" s="410"/>
      <c r="U8" s="41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8" t="s">
        <v>477</v>
      </c>
      <c r="D12" s="408"/>
      <c r="E12" s="408"/>
      <c r="F12" s="408"/>
      <c r="G12" s="408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2" t="s">
        <v>484</v>
      </c>
      <c r="N13" s="403"/>
      <c r="O13" s="404"/>
      <c r="P13" s="256" t="s">
        <v>475</v>
      </c>
      <c r="Q13" s="242" t="s">
        <v>473</v>
      </c>
      <c r="R13" s="405" t="s">
        <v>475</v>
      </c>
      <c r="S13" s="405" t="s">
        <v>485</v>
      </c>
      <c r="T13" s="411" t="s">
        <v>486</v>
      </c>
      <c r="U13" s="411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5"/>
      <c r="S14" s="405"/>
      <c r="T14" s="410"/>
      <c r="U14" s="41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7" t="s">
        <v>478</v>
      </c>
      <c r="D19" s="407"/>
      <c r="E19" s="407"/>
      <c r="F19" s="407"/>
      <c r="G19" s="407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2" t="s">
        <v>484</v>
      </c>
      <c r="N20" s="403"/>
      <c r="O20" s="404"/>
      <c r="P20" s="256" t="s">
        <v>475</v>
      </c>
      <c r="Q20" s="242" t="s">
        <v>473</v>
      </c>
      <c r="R20" s="405" t="s">
        <v>475</v>
      </c>
      <c r="S20" s="405" t="s">
        <v>485</v>
      </c>
      <c r="T20" s="411" t="s">
        <v>486</v>
      </c>
      <c r="U20" s="411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5"/>
      <c r="S21" s="405"/>
      <c r="T21" s="410"/>
      <c r="U21" s="41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7" t="s">
        <v>479</v>
      </c>
      <c r="D26" s="407"/>
      <c r="E26" s="407"/>
      <c r="F26" s="407"/>
      <c r="G26" s="407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2" t="s">
        <v>484</v>
      </c>
      <c r="N27" s="403"/>
      <c r="O27" s="404"/>
      <c r="P27" s="256" t="s">
        <v>475</v>
      </c>
      <c r="Q27" s="242" t="s">
        <v>473</v>
      </c>
      <c r="R27" s="405" t="s">
        <v>475</v>
      </c>
      <c r="S27" s="405" t="s">
        <v>485</v>
      </c>
      <c r="T27" s="411" t="s">
        <v>486</v>
      </c>
      <c r="U27" s="411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5"/>
      <c r="S28" s="405"/>
      <c r="T28" s="410"/>
      <c r="U28" s="41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5" t="s">
        <v>439</v>
      </c>
      <c r="D1" s="337" t="s">
        <v>58</v>
      </c>
      <c r="E1" s="337"/>
      <c r="F1" s="338" t="s">
        <v>440</v>
      </c>
      <c r="G1" s="338"/>
      <c r="H1" s="406" t="s">
        <v>441</v>
      </c>
      <c r="I1" s="406"/>
      <c r="J1" s="406" t="s">
        <v>442</v>
      </c>
      <c r="K1" s="406"/>
      <c r="L1" s="402" t="s">
        <v>484</v>
      </c>
      <c r="M1" s="403"/>
      <c r="N1" s="404"/>
    </row>
    <row r="2" spans="2:17" ht="29" x14ac:dyDescent="0.35">
      <c r="B2" s="337"/>
      <c r="C2" s="405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4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4"/>
      <c r="G60" s="160" t="s">
        <v>195</v>
      </c>
      <c r="H60" s="161" t="s">
        <v>100</v>
      </c>
    </row>
    <row r="61" spans="5:8" x14ac:dyDescent="0.35">
      <c r="E61" s="159" t="s">
        <v>192</v>
      </c>
      <c r="F61" s="414"/>
      <c r="G61" s="160" t="s">
        <v>196</v>
      </c>
      <c r="H61" s="161" t="s">
        <v>98</v>
      </c>
    </row>
    <row r="62" spans="5:8" x14ac:dyDescent="0.35">
      <c r="E62" s="159" t="s">
        <v>192</v>
      </c>
      <c r="F62" s="414"/>
      <c r="G62" s="160" t="s">
        <v>197</v>
      </c>
      <c r="H62" s="161" t="s">
        <v>101</v>
      </c>
    </row>
    <row r="63" spans="5:8" x14ac:dyDescent="0.35">
      <c r="E63" s="159" t="s">
        <v>192</v>
      </c>
      <c r="F63" s="414"/>
      <c r="G63" s="160" t="s">
        <v>198</v>
      </c>
      <c r="H63" s="161" t="s">
        <v>102</v>
      </c>
    </row>
    <row r="64" spans="5:8" x14ac:dyDescent="0.35">
      <c r="E64" s="159" t="s">
        <v>192</v>
      </c>
      <c r="F64" s="414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4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4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4"/>
      <c r="G121" s="160" t="s">
        <v>273</v>
      </c>
      <c r="H121" s="161" t="s">
        <v>98</v>
      </c>
    </row>
    <row r="122" spans="5:8" x14ac:dyDescent="0.35">
      <c r="E122" s="159" t="s">
        <v>269</v>
      </c>
      <c r="F122" s="414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4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4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4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4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4"/>
      <c r="G241" s="160" t="s">
        <v>432</v>
      </c>
      <c r="H241" s="161" t="s">
        <v>98</v>
      </c>
    </row>
    <row r="242" spans="5:8" x14ac:dyDescent="0.35">
      <c r="E242" s="159" t="s">
        <v>428</v>
      </c>
      <c r="F242" s="414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4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4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2026-10-23T11:34:18Z</dcterms:modified>
</cp:coreProperties>
</file>