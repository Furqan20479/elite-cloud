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6B2D2E8-366D-41D4-A053-327FDB1DE94A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53" l="1"/>
  <c r="O18" i="53" s="1"/>
  <c r="P18" i="53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<sst xmlns="http://schemas.openxmlformats.org/spreadsheetml/2006/main" count="3948" uniqueCount="531">
  <si>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</si>
  <si>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</si>
  <si>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</si>
  <si>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</si>
  <si>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</si>
  <si>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</si>
  <si>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</si>
  <si>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</si>
  <si>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</si>
  <si>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</si>
  <si>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</si>
  <si>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</si>
  <si>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</si>
  <si>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</si>
  <si>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</si>
  <si>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</si>
  <si>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</si>
  <si>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</si>
  <si>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</si>
  <si>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</si>
  <si>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</si>
  <si>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</si>
  <si>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</si>
  <si>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</si>
  <si>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</si>
  <si>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</si>
  <si>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</si>
  <si>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</si>
  <si>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</si>
  <si>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</si>
  <si>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</si>
  <si>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</si>
  <si>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</si>
  <si>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</si>
  <si>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</si>
  <si>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</si>
  <si>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</si>
  <si>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</si>
  <si>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</si>
  <si>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</si>
  <si>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</si>
  <si>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</si>
  <si>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</si>
  <si>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</si>
  <si>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</si>
  <si>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</si>
  <si>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</si>
  <si>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</si>
  <si>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</si>
  <si>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</si>
  <si>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</si>
  <si>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</si>
  <si>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</si>
  <si>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</si>
  <si>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</si>
  <si>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</si>
  <si>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</si>
  <si>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</si>
  <si>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</si>
  <si>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</si>
  <si>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</si>
  <si>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</si>
  <si>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</si>
  <si>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</si>
  <si>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</si>
  <si>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</si>
  <si>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</si>
  <si>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</si>
  <si>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</si>
  <si>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</si>
  <si>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</si>
  <si>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</si>
  <si>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</si>
  <si>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</si>
  <si>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</si>
  <si>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</si>
  <si>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</si>
  <si>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</si>
  <si>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</si>
  <si>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</si>
  <si>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</si>
  <si>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</si>
  <si>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</si>
  <si>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</si>
  <si>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</si>
  <si>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</si>
  <si>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</si>
  <si>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</si>
  <si>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</si>
  <si>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</si>
  <si>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</si>
  <si>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</si>
  <si>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</si>
  <si>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</si>
  <si>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</si>
  <si>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</si>
  <si>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</si>
  <si>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</si>
  <si>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</si>
  <si>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</si>
  <si>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</si>
  <si>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</si>
  <si>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</si>
  <si>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</si>
  <si>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</si>
  <si>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</si>
  <si>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</si>
  <si>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</si>
  <si>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</si>
  <si>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</si>
  <si>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</si>
  <si>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</si>
  <si>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</si>
  <si>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</si>
  <si>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</si>
  <si>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</si>
  <si>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</si>
  <si>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</si>
  <si>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</si>
  <si>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</si>
  <si>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</si>
  <si>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</si>
  <si>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</si>
  <si>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</si>
  <si>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</si>
  <si>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</si>
  <si>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</si>
  <si>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</si>
  <si>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</si>
  <si>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</si>
  <si>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</si>
  <si>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</si>
  <si>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</si>
  <si>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</si>
  <si>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</si>
  <si>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</si>
  <si>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</si>
  <si>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</si>
  <si>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</si>
  <si>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</si>
  <si>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</si>
  <si>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</si>
  <si>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</si>
  <si>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</si>
  <si>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</si>
  <si>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</si>
  <si>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</si>
  <si>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</si>
  <si>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</si>
  <si>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</si>
  <si>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</si>
  <si>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</si>
  <si>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</si>
  <si>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</si>
  <si>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</si>
  <si>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</si>
  <si>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</si>
  <si>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</si>
  <si>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</si>
  <si>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</si>
  <si>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</si>
  <si>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</si>
  <si>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</si>
  <si>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</si>
  <si>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</si>
  <si>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</si>
  <si>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</si>
  <si>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</si>
  <si>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</si>
  <si>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</si>
  <si>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</si>
  <si>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</si>
  <si>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</si>
  <si>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</si>
  <si>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</si>
  <si>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</si>
  <si>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</si>
  <si>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</si>
  <si>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</si>
  <si>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</si>
  <si>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</si>
  <si>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</si>
  <si>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</si>
  <si>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</si>
  <si>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</si>
  <si>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</si>
  <si>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</si>
  <si>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</si>
  <si>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</si>
  <si>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</si>
  <si>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</si>
  <si>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</si>
  <si>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</si>
  <si>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</si>
  <si>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</si>
  <si>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</si>
  <si>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</si>
  <si>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</si>
  <si>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</si>
  <si>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</si>
  <si>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</si>
  <si>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</si>
  <si>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</si>
  <si>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</si>
  <si>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</si>
  <si>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</si>
  <si>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</si>
  <si>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</si>
  <si>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</si>
  <si>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</si>
  <si>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</si>
  <si>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</si>
  <si>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</si>
  <si>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</si>
  <si>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</si>
  <si>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</si>
  <si>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</si>
  <si>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</si>
  <si>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</si>
  <si>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</si>
  <si>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</si>
  <si>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</si>
  <si>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</si>
  <si>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</si>
  <si>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</si>
  <si>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</si>
  <si>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</si>
  <si>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</si>
  <si>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</si>
  <si>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</si>
  <si>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</si>
  <si>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</si>
  <si>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</si>
  <si>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</si>
  <si>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</si>
  <si>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</si>
  <si>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</si>
  <si>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</si>
  <si>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</si>
  <si>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</si>
  <si>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</si>
  <si>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</si>
  <si>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</si>
  <si>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</si>
  <si>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</si>
  <si>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</si>
  <si>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</si>
  <si>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</si>
  <si>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</si>
  <si>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</si>
  <si>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</si>
  <si>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</si>
  <si>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</si>
  <si>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</si>
  <si>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</si>
  <si>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</si>
  <si>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</si>
  <si>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</si>
  <si>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</si>
  <si>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</si>
  <si>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</si>
  <si>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</si>
  <si>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</si>
  <si>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</si>
  <si>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</si>
  <si>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</si>
  <si>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</si>
  <si>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</si>
  <si>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</si>
  <si>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</si>
  <si>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</si>
  <si>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</si>
  <si>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</si>
  <si>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</si>
  <si>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</si>
  <si>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</si>
  <si>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</si>
  <si>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</si>
  <si>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</si>
  <si>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</si>
  <si>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</si>
  <si>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</si>
  <si>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</si>
  <si>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</si>
  <si>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</si>
  <si>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</si>
  <si>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</si>
  <si>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</si>
  <si>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</si>
  <si>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</si>
  <si>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</si>
  <si>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</si>
  <si>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</si>
  <si>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</si>
  <si>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</si>
  <si>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</si>
  <si>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</si>
  <si>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</si>
  <si>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</si>
  <si>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</si>
  <si>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</si>
  <si>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</si>
  <si>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</si>
  <si>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</si>
  <si>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</si>
  <si>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</si>
  <si>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</si>
  <si>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</si>
  <si>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</si>
  <si>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</si>
  <si>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</si>
  <si>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</si>
  <si>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</si>
  <si>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</si>
  <si>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</si>
  <si>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</si>
  <si>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</si>
  <si>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</si>
  <si>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</si>
  <si>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</si>
  <si>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</si>
  <si>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</si>
  <si>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</si>
  <si>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</si>
  <si>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</si>
  <si>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</si>
  <si>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</si>
  <si>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</si>
  <si>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</si>
  <si>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</si>
  <si>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</si>
  <si>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</si>
  <si>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</si>
  <si>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</si>
  <si>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</si>
  <si>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</si>
  <si>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</si>
  <si>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</si>
  <si>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</si>
  <si>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</si>
  <si>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</si>
  <si>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</si>
  <si>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</si>
  <si>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</si>
  <si>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</si>
  <si>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</si>
  <si>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</si>
  <si>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</si>
  <si>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</si>
  <si>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</si>
  <si>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</si>
  <si>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</si>
  <si>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</si>
  <si>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</si>
  <si>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</si>
  <si>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</si>
  <si>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</si>
  <si>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</si>
  <si>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</si>
  <si>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</si>
  <si>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</si>
  <si>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</si>
  <si>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</si>
  <si>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</si>
  <si>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</si>
  <si>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</si>
  <si>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</si>
  <si>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</si>
  <si>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</si>
  <si>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</si>
  <si>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</si>
  <si>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</si>
  <si>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</si>
  <si>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</si>
  <si>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</si>
  <si>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</si>
  <si>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</si>
  <si>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</si>
  <si>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</si>
  <si>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</si>
  <si>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</si>
  <si>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</si>
  <si>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</si>
  <si>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</si>
  <si>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</si>
  <si>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</si>
  <si>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</si>
  <si>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</si>
  <si>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</si>
  <si>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</si>
  <si>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</si>
  <si>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</si>
  <si>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</si>
  <si>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</si>
  <si>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</si>
  <si>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</si>
  <si>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</si>
  <si>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</si>
  <si>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</si>
  <si>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</si>
  <si>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</si>
  <si>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</si>
  <si>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</si>
  <si>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</si>
  <si>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</si>
  <si>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</si>
  <si>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</si>
  <si>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</si>
  <si>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</si>
  <si>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</si>
  <si>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</si>
  <si>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</si>
  <si>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</si>
  <si>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</si>
  <si>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</si>
  <si>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</si>
  <si>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</si>
  <si>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</si>
  <si>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</si>
  <si>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</si>
  <si>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</si>
  <si>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</si>
  <si>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</si>
  <si>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</si>
  <si>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</si>
  <si>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</si>
  <si>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</si>
  <si>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</si>
  <si>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</si>
  <si>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</si>
  <si>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</si>
  <si>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</si>
  <si>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</si>
  <si>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</si>
  <si>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</si>
  <si>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</si>
  <si>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</si>
  <si>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</si>
  <si>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</si>
  <si>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</si>
  <si>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</si>
  <si>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</si>
  <si>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</si>
  <si>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</si>
  <si>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</si>
  <si>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</si>
  <si>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</si>
  <si>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</si>
  <si>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</si>
  <si>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</si>
  <si>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</si>
  <si>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</si>
  <si>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</si>
  <si>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</si>
  <si>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</si>
  <si>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</si>
  <si>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</si>
  <si>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</si>
  <si>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</si>
  <si>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</si>
  <si>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</si>
  <si>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</si>
  <si>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</si>
  <si>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</si>
  <si>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</si>
  <si>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</si>
  <si>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</si>
  <si>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</si>
  <si>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</si>
  <si>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</si>
  <si>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</si>
  <si>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</si>
  <si>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</si>
  <si>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</si>
  <si>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</si>
  <si>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</si>
  <si>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</si>
  <si>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</si>
  <si>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</si>
  <si>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</si>
  <si>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</si>
  <si>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</si>
  <si>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</si>
  <si>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</si>
  <si>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</si>
  <si>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</si>
  <si>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</si>
  <si>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</si>
  <si>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</si>
  <si>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</si>
  <si>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</si>
  <si>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</si>
  <si>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</si>
  <si>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</si>
  <si>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</si>
  <si>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</si>
  <si>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</si>
  <si>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</si>
  <si>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</si>
  <si>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</si>
  <si>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</si>
  <si>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</si>
  <si>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</si>
  <si>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</si>
  <si>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</si>
  <si>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</si>
  <si>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</si>
  <si>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</si>
  <si>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</si>
  <si>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</si>
  <si>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</si>
  <si>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</si>
  <si>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</si>
  <si>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</si>
  <si>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Salman</t>
  </si>
  <si>
    <t>Butt Store</t>
  </si>
  <si>
    <t>Farman Store</t>
  </si>
  <si>
    <t>Waseem Store</t>
  </si>
  <si>
    <t>Bhatti Store</t>
  </si>
  <si>
    <t>Qasim Store</t>
  </si>
  <si>
    <t>Haji Store</t>
  </si>
  <si>
    <t>Afaq Store</t>
  </si>
  <si>
    <t>Rajput Store</t>
  </si>
  <si>
    <t>Roshan Store</t>
  </si>
  <si>
    <t>Bilal Store</t>
  </si>
  <si>
    <t>Haidri Store</t>
  </si>
  <si>
    <t>SA super Store</t>
  </si>
  <si>
    <t xml:space="preserve">K Mart </t>
  </si>
  <si>
    <t>Bilal store</t>
  </si>
  <si>
    <t>Azam Store</t>
  </si>
  <si>
    <t>Kashmir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</si>
</sst>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C16" workbookViewId="0">
      <selection activeCell="P26" sqref="P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customWidth="1"/>
    <col min="12" max="12" width="9" customWidth="1"/>
    <col min="13" max="13" width="8" customWidth="1"/>
    <col min="14" max="14" width="9.1796875" style="61" customWidth="1"/>
    <col min="15" max="15" width="7.81640625" customWidth="1"/>
    <col min="16" max="16" width="7.6328125" bestFit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46318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Butt Store</v>
      </c>
      <c r="T3" s="301">
        <f>+'1'!P35</f>
        <v>2265.051582838983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Farman Store</v>
      </c>
      <c r="T4" s="301">
        <f>+'2'!P35</f>
        <v>566.26289570974575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Waseem Store</v>
      </c>
      <c r="T5" s="301">
        <f>+'3'!P35</f>
        <v>566.26289570974575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Bhatti Store</v>
      </c>
      <c r="T6" s="301">
        <f>+'4'!P35</f>
        <v>1132.5257914194915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Qasim Store</v>
      </c>
      <c r="T7" s="301">
        <f>+'5'!P35</f>
        <v>566.26289570974575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335.76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3714.3450000000003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22.537826694915253</v>
      </c>
      <c r="P8" s="311">
        <f t="shared" ref="P8:P15" si="2">M8+N8+O8</f>
        <v>4530.103165677966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Haji Store</v>
      </c>
      <c r="T8" s="301">
        <f>+'6'!P35</f>
        <v>566.26289570974575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503.6400000000001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5571.5174999999999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33.80674004237288</v>
      </c>
      <c r="P9" s="311">
        <f t="shared" si="2"/>
        <v>6795.1547485169476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Afaq Store</v>
      </c>
      <c r="T9" s="301">
        <f>+'7'!P35</f>
        <v>566.26289570974575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</v>
      </c>
      <c r="I10" s="236">
        <f t="shared" si="0"/>
        <v>72.64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5.8112000000000004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2.5424000000000002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64.2864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13.728813559322035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0.39007606779661019</v>
      </c>
      <c r="P10" s="311">
        <f t="shared" si="2"/>
        <v>78.405289627118648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34</v>
      </c>
      <c r="R10" s="313">
        <v>8</v>
      </c>
      <c r="S10" s="300" t="str">
        <f>+'8'!A6:A6</f>
        <v>Rajput Store</v>
      </c>
      <c r="T10" s="301">
        <f>+'8'!P35</f>
        <v>566.26289570974575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</v>
      </c>
      <c r="I11" s="236">
        <f t="shared" si="0"/>
        <v>72.64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5.8112000000000004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2.5424000000000002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64.2864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13.728813559322035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0.39007606779661019</v>
      </c>
      <c r="P11" s="311">
        <f t="shared" si="2"/>
        <v>78.405289627118648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29</v>
      </c>
      <c r="R11" s="313">
        <v>9</v>
      </c>
      <c r="S11" s="300" t="str">
        <f>+'9'!A6:A6</f>
        <v>Roshan Store</v>
      </c>
      <c r="T11" s="301">
        <f>+'9'!P35</f>
        <v>1132.5257914194915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</v>
      </c>
      <c r="I12" s="236">
        <f t="shared" si="0"/>
        <v>72.64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5.8112000000000004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2.5424000000000002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64.2864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13.728813559322035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0.39007606779661019</v>
      </c>
      <c r="P12" s="311">
        <f t="shared" si="2"/>
        <v>78.405289627118648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54</v>
      </c>
      <c r="R12" s="313">
        <v>10</v>
      </c>
      <c r="S12" s="300" t="str">
        <f>+'10'!A6:A6</f>
        <v>Bilal Store</v>
      </c>
      <c r="T12" s="301">
        <f>+'10'!P35</f>
        <v>566.26289570974575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Haidri Store</v>
      </c>
      <c r="T13" s="301">
        <f>+'11'!P35</f>
        <v>566.26289570974575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SA super Store</v>
      </c>
      <c r="T14" s="301">
        <f>+'12'!P35</f>
        <v>1132.5257914194915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 xml:space="preserve">K Mart </v>
      </c>
      <c r="T15" s="301">
        <f>+'13'!P35</f>
        <v>1132.5257914194915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5.0750000000000002</v>
      </c>
      <c r="H16" s="113">
        <f t="shared" ref="H16:M16" si="3">SUM(H7:H15)</f>
        <v>203</v>
      </c>
      <c r="I16" s="114">
        <f t="shared" si="3"/>
        <v>10710.419999999998</v>
      </c>
      <c r="J16" s="274">
        <f>SUM(J7:J15)</f>
        <v>856.83360000000005</v>
      </c>
      <c r="K16" s="275">
        <f t="shared" si="3"/>
        <v>374.86469999999997</v>
      </c>
      <c r="L16" s="276">
        <f t="shared" si="3"/>
        <v>0</v>
      </c>
      <c r="M16" s="232">
        <f t="shared" si="3"/>
        <v>9478.7217000000019</v>
      </c>
      <c r="N16" s="233">
        <f>SUM(N7:N15)</f>
        <v>2024.2372881355923</v>
      </c>
      <c r="O16" s="101">
        <f>SUM(O7:O15)</f>
        <v>57.514794940677973</v>
      </c>
      <c r="P16" s="113">
        <f>SUM(P7:P15)</f>
        <v>11560.47378307627</v>
      </c>
      <c r="Q16" s="128">
        <f>SUM(Q7:Q15)</f>
        <v>117</v>
      </c>
      <c r="R16" s="313">
        <v>14</v>
      </c>
      <c r="S16" s="315" t="str">
        <f>+'14'!A6:A6</f>
        <v>Bilal store</v>
      </c>
      <c r="T16" s="301">
        <f>+'14'!P35</f>
        <v>235.21586888135593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Azam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Kashmir Store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10710.419999999998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856.83360000000005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374.86469999999997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9478.7216999999982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2024.2372881355923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11502.95898813559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57.514794940677973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11560.473783076268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11560.473783076272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2098.5</v>
      </c>
      <c r="J25" s="274">
        <f>SUM(J16:J24)</f>
        <v>167.88</v>
      </c>
      <c r="K25" s="275">
        <f t="shared" si="10"/>
        <v>73.447500000000005</v>
      </c>
      <c r="L25" s="276">
        <f t="shared" si="10"/>
        <v>0</v>
      </c>
      <c r="M25" s="232">
        <f t="shared" si="10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1049.25</v>
      </c>
      <c r="J25" s="274">
        <f>SUM(J16:J24)</f>
        <v>83.94</v>
      </c>
      <c r="K25" s="275">
        <f t="shared" si="7"/>
        <v>36.723750000000003</v>
      </c>
      <c r="L25" s="276">
        <f t="shared" si="7"/>
        <v>0</v>
      </c>
      <c r="M25" s="232">
        <f t="shared" si="7"/>
        <v>928.58625000000006</v>
      </c>
      <c r="N25" s="233">
        <f>SUM(N16:N24)</f>
        <v>198.30508474576263</v>
      </c>
      <c r="O25" s="101">
        <f>SUM(O16:O24)</f>
        <v>5.6344566737288133</v>
      </c>
      <c r="P25" s="234">
        <f>SUM(P16:P24)</f>
        <v>1132.5257914194915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1049.25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83.94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36.723750000000003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928.58624999999995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198.30508474576263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1126.8913347457626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45" t="s">
        <v>88</v>
      </c>
      <c r="O35" s="346"/>
      <c r="P35" s="297">
        <f>+P33+P34</f>
        <v>1132.5257914194915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P25" sqref="P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8" workbookViewId="0">
      <selection activeCell="I12" sqref="I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2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2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1049.25</v>
      </c>
      <c r="J25" s="274">
        <f>SUM(J16:J24)</f>
        <v>83.94</v>
      </c>
      <c r="K25" s="275">
        <f t="shared" si="7"/>
        <v>36.723750000000003</v>
      </c>
      <c r="L25" s="276">
        <f t="shared" si="7"/>
        <v>0</v>
      </c>
      <c r="M25" s="232">
        <f t="shared" si="7"/>
        <v>928.58625000000006</v>
      </c>
      <c r="N25" s="233">
        <f>SUM(N16:N24)</f>
        <v>198.30508474576263</v>
      </c>
      <c r="O25" s="101">
        <f>SUM(O16:O24)</f>
        <v>5.6344566737288133</v>
      </c>
      <c r="P25" s="234">
        <f>SUM(P16:P24)</f>
        <v>1132.5257914194915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1049.25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83.94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36.723750000000003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928.58624999999995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198.30508474576263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1126.8913347457626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45" t="s">
        <v>88</v>
      </c>
      <c r="O35" s="346"/>
      <c r="P35" s="297">
        <f>+P33+P34</f>
        <v>1132.5257914194915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2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2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1049.25</v>
      </c>
      <c r="J25" s="274">
        <f>SUM(J16:J24)</f>
        <v>83.94</v>
      </c>
      <c r="K25" s="275">
        <f t="shared" si="7"/>
        <v>36.723750000000003</v>
      </c>
      <c r="L25" s="276">
        <f t="shared" si="7"/>
        <v>0</v>
      </c>
      <c r="M25" s="232">
        <f t="shared" si="7"/>
        <v>928.58625000000006</v>
      </c>
      <c r="N25" s="233">
        <f>SUM(N16:N24)</f>
        <v>198.30508474576263</v>
      </c>
      <c r="O25" s="101">
        <f>SUM(O16:O24)</f>
        <v>5.6344566737288133</v>
      </c>
      <c r="P25" s="234">
        <f>SUM(P16:P24)</f>
        <v>1132.5257914194915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1049.25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83.94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36.723750000000003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928.58624999999995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198.30508474576263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1126.8913347457626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45" t="s">
        <v>88</v>
      </c>
      <c r="O35" s="346"/>
      <c r="P35" s="297">
        <f>+P33+P34</f>
        <v>1132.5257914194915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2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1049.25</v>
      </c>
      <c r="J25" s="274">
        <f>SUM(J16:J24)</f>
        <v>83.94</v>
      </c>
      <c r="K25" s="275">
        <f t="shared" si="7"/>
        <v>36.723750000000003</v>
      </c>
      <c r="L25" s="276">
        <f t="shared" si="7"/>
        <v>0</v>
      </c>
      <c r="M25" s="232">
        <f t="shared" si="7"/>
        <v>928.58625000000006</v>
      </c>
      <c r="N25" s="233">
        <f>SUM(N16:N24)</f>
        <v>198.30508474576263</v>
      </c>
      <c r="O25" s="101">
        <f>SUM(O16:O24)</f>
        <v>5.6344566737288133</v>
      </c>
      <c r="P25" s="234">
        <f>SUM(P16:P24)</f>
        <v>1132.5257914194915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1049.25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83.94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36.723750000000003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928.58624999999995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198.30508474576263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1126.8913347457626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45" t="s">
        <v>88</v>
      </c>
      <c r="O35" s="346"/>
      <c r="P35" s="297">
        <f>+P33+P34</f>
        <v>1132.5257914194915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11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</v>
      </c>
      <c r="I19" s="236">
        <f t="shared" si="0"/>
        <v>72.64</v>
      </c>
      <c r="J19" s="272">
        <f t="shared" si="1"/>
        <v>5.8112000000000004</v>
      </c>
      <c r="K19" s="128">
        <f t="shared" si="1"/>
        <v>2.5424000000000002</v>
      </c>
      <c r="L19" s="119">
        <f t="shared" si="1"/>
        <v>0</v>
      </c>
      <c r="M19" s="230">
        <f t="shared" si="2"/>
        <v>64.2864</v>
      </c>
      <c r="N19" s="277">
        <f t="shared" si="3"/>
        <v>13.728813559322035</v>
      </c>
      <c r="O19" s="239">
        <f t="shared" si="4"/>
        <v>0.39007606779661019</v>
      </c>
      <c r="P19" s="119">
        <f t="shared" si="5"/>
        <v>78.405289627118648</v>
      </c>
      <c r="Q19" s="319">
        <v>14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>
        <v>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</v>
      </c>
      <c r="I21" s="236">
        <f t="shared" si="0"/>
        <v>72.64</v>
      </c>
      <c r="J21" s="272">
        <f t="shared" si="1"/>
        <v>5.8112000000000004</v>
      </c>
      <c r="K21" s="128">
        <f t="shared" si="1"/>
        <v>2.5424000000000002</v>
      </c>
      <c r="L21" s="119">
        <f t="shared" si="1"/>
        <v>0</v>
      </c>
      <c r="M21" s="230">
        <f t="shared" si="2"/>
        <v>64.2864</v>
      </c>
      <c r="N21" s="277">
        <f t="shared" si="3"/>
        <v>13.728813559322035</v>
      </c>
      <c r="O21" s="239">
        <f t="shared" si="4"/>
        <v>0.39007606779661019</v>
      </c>
      <c r="P21" s="119">
        <f t="shared" si="5"/>
        <v>78.405289627118648</v>
      </c>
      <c r="Q21" s="319">
        <v>14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</v>
      </c>
      <c r="I25" s="114">
        <f t="shared" si="7"/>
        <v>217.92000000000002</v>
      </c>
      <c r="J25" s="274">
        <f>SUM(J16:J24)</f>
        <v>17.433600000000002</v>
      </c>
      <c r="K25" s="275">
        <f t="shared" si="7"/>
        <v>7.6272000000000002</v>
      </c>
      <c r="L25" s="276">
        <f t="shared" si="7"/>
        <v>0</v>
      </c>
      <c r="M25" s="232">
        <f t="shared" si="7"/>
        <v>192.85919999999999</v>
      </c>
      <c r="N25" s="233">
        <f>SUM(N16:N24)</f>
        <v>41.186440677966104</v>
      </c>
      <c r="O25" s="101">
        <f>SUM(O16:O24)</f>
        <v>1.1702282033898306</v>
      </c>
      <c r="P25" s="234">
        <f>SUM(P16:P24)</f>
        <v>235.21586888135596</v>
      </c>
      <c r="Q25" s="239">
        <f>SUM(Q16:Q24)</f>
        <v>37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217.92000000000002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17.433600000000002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7.6272000000000002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192.85920000000002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41.186440677966104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234.04564067796611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1.1702282033898306</v>
      </c>
    </row>
    <row r="35" spans="2:16" ht="15.75" customHeight="1" thickBot="1" x14ac:dyDescent="0.4">
      <c r="N35" s="345" t="s">
        <v>88</v>
      </c>
      <c r="O35" s="346"/>
      <c r="P35" s="297">
        <f>+P33+P34</f>
        <v>235.21586888135593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20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11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20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46319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46318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2026-10-23T12:53:01Z</dcterms:modified>
</cp:coreProperties>
</file>