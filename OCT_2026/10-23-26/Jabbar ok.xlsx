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75BAF06-5364-4C70-A3D5-66A2686824B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7"/>
  <c r="O20" i="47" s="1"/>
  <c r="P20" i="47" s="1"/>
  <c r="K12" i="62"/>
  <c r="M21" i="44"/>
  <c r="O21" i="44" s="1"/>
  <c r="P21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<sst xmlns="http://schemas.openxmlformats.org/spreadsheetml/2006/main" count="3948" uniqueCount="526">
  <si>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</si>
  <si>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</si>
  <si>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</si>
  <si>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</si>
  <si>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</si>
  <si>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</si>
  <si>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</si>
  <si>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</si>
  <si>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</si>
  <si>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</si>
  <si>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</si>
  <si>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</si>
  <si>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</si>
  <si>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</si>
  <si>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</si>
  <si>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</si>
  <si>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</si>
  <si>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</si>
  <si>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</si>
  <si>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</si>
  <si>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</si>
  <si>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</si>
  <si>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</si>
  <si>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</si>
  <si>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</si>
  <si>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</si>
  <si>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</si>
  <si>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</si>
  <si>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</si>
  <si>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</si>
  <si>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</si>
  <si>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</si>
  <si>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</si>
  <si>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</si>
  <si>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</si>
  <si>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</si>
  <si>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</si>
  <si>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</si>
  <si>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</si>
  <si>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</si>
  <si>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</si>
  <si>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</si>
  <si>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</si>
  <si>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</si>
  <si>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</si>
  <si>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</si>
  <si>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</si>
  <si>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</si>
  <si>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</si>
  <si>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</si>
  <si>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</si>
  <si>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</si>
  <si>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</si>
  <si>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</si>
  <si>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</si>
  <si>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</si>
  <si>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</si>
  <si>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</si>
  <si>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</si>
  <si>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</si>
  <si>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</si>
  <si>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</si>
  <si>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</si>
  <si>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</si>
  <si>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</si>
  <si>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</si>
  <si>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</si>
  <si>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</si>
  <si>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</si>
  <si>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</si>
  <si>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</si>
  <si>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</si>
  <si>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</si>
  <si>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</si>
  <si>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</si>
  <si>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</si>
  <si>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</si>
  <si>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</si>
  <si>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</si>
  <si>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</si>
  <si>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</si>
  <si>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</si>
  <si>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</si>
  <si>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</si>
  <si>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</si>
  <si>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</si>
  <si>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</si>
  <si>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</si>
  <si>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</si>
  <si>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</si>
  <si>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</si>
  <si>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</si>
  <si>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</si>
  <si>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</si>
  <si>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</si>
  <si>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</si>
  <si>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</si>
  <si>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</si>
  <si>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</si>
  <si>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</si>
  <si>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</si>
  <si>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</si>
  <si>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</si>
  <si>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</si>
  <si>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</si>
  <si>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</si>
  <si>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</si>
  <si>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</si>
  <si>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</si>
  <si>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</si>
  <si>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</si>
  <si>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</si>
  <si>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</si>
  <si>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</si>
  <si>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</si>
  <si>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</si>
  <si>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</si>
  <si>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</si>
  <si>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</si>
  <si>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</si>
  <si>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</si>
  <si>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</si>
  <si>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</si>
  <si>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</si>
  <si>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</si>
  <si>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</si>
  <si>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</si>
  <si>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</si>
  <si>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</si>
  <si>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</si>
  <si>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</si>
  <si>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</si>
  <si>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</si>
  <si>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</si>
  <si>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</si>
  <si>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</si>
  <si>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</si>
  <si>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</si>
  <si>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</si>
  <si>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</si>
  <si>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</si>
  <si>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</si>
  <si>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</si>
  <si>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</si>
  <si>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</si>
  <si>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</si>
  <si>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</si>
  <si>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</si>
  <si>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</si>
  <si>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</si>
  <si>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</si>
  <si>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</si>
  <si>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</si>
  <si>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</si>
  <si>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</si>
  <si>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</si>
  <si>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</si>
  <si>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</si>
  <si>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</si>
  <si>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</si>
  <si>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</si>
  <si>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</si>
  <si>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</si>
  <si>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</si>
  <si>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</si>
  <si>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</si>
  <si>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</si>
  <si>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</si>
  <si>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</si>
  <si>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</si>
  <si>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</si>
  <si>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</si>
  <si>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</si>
  <si>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</si>
  <si>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</si>
  <si>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</si>
  <si>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</si>
  <si>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</si>
  <si>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</si>
  <si>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</si>
  <si>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</si>
  <si>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</si>
  <si>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</si>
  <si>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</si>
  <si>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</si>
  <si>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</si>
  <si>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</si>
  <si>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</si>
  <si>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</si>
  <si>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</si>
  <si>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</si>
  <si>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</si>
  <si>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</si>
  <si>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</si>
  <si>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</si>
  <si>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</si>
  <si>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</si>
  <si>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</si>
  <si>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</si>
  <si>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</si>
  <si>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</si>
  <si>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</si>
  <si>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</si>
  <si>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</si>
  <si>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</si>
  <si>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</si>
  <si>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</si>
  <si>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</si>
  <si>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</si>
  <si>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</si>
  <si>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</si>
  <si>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</si>
  <si>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</si>
  <si>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</si>
  <si>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</si>
  <si>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</si>
  <si>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</si>
  <si>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</si>
  <si>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</si>
  <si>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</si>
  <si>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</si>
  <si>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</si>
  <si>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</si>
  <si>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</si>
  <si>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</si>
  <si>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</si>
  <si>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</si>
  <si>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</si>
  <si>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</si>
  <si>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</si>
  <si>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</si>
  <si>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</si>
  <si>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</si>
  <si>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</si>
  <si>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</si>
  <si>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</si>
  <si>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</si>
  <si>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</si>
  <si>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</si>
  <si>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</si>
  <si>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</si>
  <si>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</si>
  <si>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</si>
  <si>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</si>
  <si>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</si>
  <si>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</si>
  <si>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</si>
  <si>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</si>
  <si>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</si>
  <si>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</si>
  <si>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</si>
  <si>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</si>
  <si>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</si>
  <si>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</si>
  <si>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</si>
  <si>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</si>
  <si>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</si>
  <si>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</si>
  <si>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</si>
  <si>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</si>
  <si>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</si>
  <si>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</si>
  <si>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</si>
  <si>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</si>
  <si>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</si>
  <si>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</si>
  <si>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</si>
  <si>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</si>
  <si>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</si>
  <si>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</si>
  <si>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</si>
  <si>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</si>
  <si>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</si>
  <si>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</si>
  <si>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</si>
  <si>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</si>
  <si>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</si>
  <si>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</si>
  <si>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</si>
  <si>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</si>
  <si>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</si>
  <si>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</si>
  <si>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</si>
  <si>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</si>
  <si>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</si>
  <si>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</si>
  <si>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</si>
  <si>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</si>
  <si>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</si>
  <si>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</si>
  <si>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</si>
  <si>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</si>
  <si>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</si>
  <si>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</si>
  <si>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</si>
  <si>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</si>
  <si>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</si>
  <si>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</si>
  <si>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</si>
  <si>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</si>
  <si>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</si>
  <si>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</si>
  <si>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</si>
  <si>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</si>
  <si>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</si>
  <si>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</si>
  <si>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</si>
  <si>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</si>
  <si>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</si>
  <si>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</si>
  <si>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</si>
  <si>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</si>
  <si>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</si>
  <si>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</si>
  <si>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</si>
  <si>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</si>
  <si>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</si>
  <si>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</si>
  <si>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</si>
  <si>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</si>
  <si>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</si>
  <si>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</si>
  <si>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</si>
  <si>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</si>
  <si>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</si>
  <si>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</si>
  <si>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</si>
  <si>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</si>
  <si>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</si>
  <si>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</si>
  <si>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</si>
  <si>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</si>
  <si>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</si>
  <si>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</si>
  <si>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</si>
  <si>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</si>
  <si>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</si>
  <si>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</si>
  <si>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</si>
  <si>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</si>
  <si>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</si>
  <si>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</si>
  <si>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</si>
  <si>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</si>
  <si>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</si>
  <si>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</si>
  <si>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</si>
  <si>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</si>
  <si>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</si>
  <si>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</si>
  <si>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</si>
  <si>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</si>
  <si>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</si>
  <si>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</si>
  <si>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</si>
  <si>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</si>
  <si>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</si>
  <si>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</si>
  <si>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</si>
  <si>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</si>
  <si>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</si>
  <si>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</si>
  <si>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</si>
  <si>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</si>
  <si>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</si>
  <si>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</si>
  <si>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</si>
  <si>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</si>
  <si>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</si>
  <si>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</si>
  <si>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</si>
  <si>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</si>
  <si>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</si>
  <si>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</si>
  <si>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</si>
  <si>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</si>
  <si>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</si>
  <si>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</si>
  <si>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</si>
  <si>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</si>
  <si>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</si>
  <si>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</si>
  <si>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</si>
  <si>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</si>
  <si>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</si>
  <si>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</si>
  <si>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</si>
  <si>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</si>
  <si>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</si>
  <si>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</si>
  <si>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</si>
  <si>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</si>
  <si>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</si>
  <si>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</si>
  <si>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</si>
  <si>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</si>
  <si>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</si>
  <si>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</si>
  <si>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</si>
  <si>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</si>
  <si>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</si>
  <si>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</si>
  <si>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</si>
  <si>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</si>
  <si>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</si>
  <si>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</si>
  <si>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</si>
  <si>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</si>
  <si>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</si>
  <si>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</si>
  <si>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</si>
  <si>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</si>
  <si>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</si>
  <si>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</si>
  <si>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</si>
  <si>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</si>
  <si>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</si>
  <si>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</si>
  <si>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</si>
  <si>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</si>
  <si>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</si>
  <si>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</si>
  <si>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</si>
  <si>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</si>
  <si>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</si>
  <si>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</si>
  <si>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</si>
  <si>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</si>
  <si>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</si>
  <si>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</si>
  <si>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</si>
  <si>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</si>
  <si>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</si>
  <si>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</si>
  <si>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</si>
  <si>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</si>
  <si>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</si>
  <si>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</si>
  <si>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</si>
  <si>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</si>
  <si>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</si>
  <si>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</si>
  <si>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</si>
  <si>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</si>
  <si>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</si>
  <si>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</si>
  <si>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</si>
  <si>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</si>
  <si>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</si>
  <si>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</si>
  <si>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</si>
  <si>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</si>
  <si>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</si>
  <si>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</si>
  <si>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</si>
  <si>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</si>
  <si>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</si>
  <si>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</si>
  <si>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</si>
  <si>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</si>
  <si>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</si>
  <si>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</si>
  <si>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</si>
  <si>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</si>
  <si>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</si>
  <si>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</si>
  <si>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</si>
  <si>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</si>
  <si>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</si>
  <si>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</si>
  <si>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</si>
  <si>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</si>
  <si>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</si>
  <si>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</si>
  <si>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</si>
  <si>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</si>
  <si>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</si>
  <si>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</si>
  <si>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</si>
  <si>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</si>
  <si>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</si>
  <si>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</si>
  <si>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</si>
  <si>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</si>
  <si>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</si>
  <si>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</si>
  <si>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</si>
  <si>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</si>
  <si>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</si>
  <si>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</si>
  <si>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</si>
  <si>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</si>
  <si>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</si>
  <si>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</si>
  <si>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</si>
  <si>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</si>
  <si>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</si>
  <si>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</si>
  <si>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</si>
  <si>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</si>
  <si>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</si>
  <si>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</si>
  <si>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</si>
  <si>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</si>
  <si>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</si>
  <si>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</si>
  <si>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</si>
  <si>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</si>
  <si>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</si>
  <si>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</si>
  <si>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</si>
  <si>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</si>
  <si>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</si>
  <si>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</si>
  <si>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</si>
  <si>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Address: Paragon City </t>
  </si>
  <si>
    <t>Cant Store</t>
  </si>
  <si>
    <t xml:space="preserve">Usman madison Mart </t>
  </si>
  <si>
    <t>Umaima Store</t>
  </si>
  <si>
    <t xml:space="preserve">Pick N Pack </t>
  </si>
  <si>
    <t xml:space="preserve">Zb Mart </t>
  </si>
  <si>
    <t xml:space="preserve">K Mart </t>
  </si>
  <si>
    <t xml:space="preserve">Address: Green City </t>
  </si>
  <si>
    <t>Hikma Store</t>
  </si>
  <si>
    <t xml:space="preserve">Haji Mart </t>
  </si>
  <si>
    <t>Mixup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</si>
</sst>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Cant Store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Usman madison Mart 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Umaima Store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Pick N Pack </v>
      </c>
      <c r="T6" s="301">
        <f>+'4'!P35</f>
        <v>8537.4747530084751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24</v>
      </c>
      <c r="I7" s="235">
        <f>(G7*D7)*F7+H7*F7</f>
        <v>1259.0999999999999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103.87575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44.0685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1111.1557499999999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237.96610169491515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6.745609258474575</v>
      </c>
      <c r="P7" s="310">
        <f>M7+N7+O7</f>
        <v>1355.8674609533896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Zb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64</v>
      </c>
      <c r="I8" s="236">
        <f t="shared" ref="I8:I14" si="0">(G8*D8)*F8+H8*F8</f>
        <v>3357.6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271.75574999999998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117.51600000000001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2968.32825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634.57627118644041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18.014522605932203</v>
      </c>
      <c r="P8" s="311">
        <f t="shared" ref="P8:P15" si="2">M8+N8+O8</f>
        <v>3620.9190437923726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K Mart </v>
      </c>
      <c r="T8" s="301">
        <f>+'6'!P35</f>
        <v>9408.6347552542375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26</v>
      </c>
      <c r="I9" s="236">
        <f t="shared" si="0"/>
        <v>1364.0249999999999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113.319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47.740875000000003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1202.9651249999999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257.79661016949137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7.3038086758474572</v>
      </c>
      <c r="P9" s="311">
        <f t="shared" si="2"/>
        <v>1468.0655438453387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Hikma Store</v>
      </c>
      <c r="T9" s="301">
        <f>+'7'!P35</f>
        <v>9408.6347552542375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164</v>
      </c>
      <c r="I10" s="236">
        <f t="shared" si="0"/>
        <v>11912.960000000001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971.92320000000007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416.95360000000005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10524.083200000001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2251.5254237288132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63.878043118644072</v>
      </c>
      <c r="P10" s="311">
        <f t="shared" si="2"/>
        <v>12839.486666847459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Haji Mart </v>
      </c>
      <c r="T10" s="301">
        <f>+'8'!P35</f>
        <v>5401.2631679237284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184</v>
      </c>
      <c r="I11" s="236">
        <f t="shared" si="0"/>
        <v>13365.76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1088.1471999999999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467.80160000000006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11809.8112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2526.101694915254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71.679564474576267</v>
      </c>
      <c r="P11" s="311">
        <f t="shared" si="2"/>
        <v>14407.592459389831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Mixup Mart</v>
      </c>
      <c r="T11" s="301">
        <f>+'9'!P35</f>
        <v>3633.5269582944916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212</v>
      </c>
      <c r="I12" s="236">
        <f t="shared" si="0"/>
        <v>15399.68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1252.3136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538.98880000000008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13608.3776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2910.5084745762715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82.594430372881348</v>
      </c>
      <c r="P12" s="311">
        <f t="shared" si="2"/>
        <v>16601.480504949155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16.850000000000001</v>
      </c>
      <c r="H16" s="113">
        <f t="shared" ref="H16:M16" si="3">SUM(H7:H15)</f>
        <v>674</v>
      </c>
      <c r="I16" s="114">
        <f t="shared" si="3"/>
        <v>46659.125</v>
      </c>
      <c r="J16" s="274">
        <f>SUM(J7:J15)</f>
        <v>3801.3344999999999</v>
      </c>
      <c r="K16" s="275">
        <f t="shared" si="3"/>
        <v>1633.0693750000003</v>
      </c>
      <c r="L16" s="276">
        <f t="shared" si="3"/>
        <v>0</v>
      </c>
      <c r="M16" s="232">
        <f t="shared" si="3"/>
        <v>41224.721124999996</v>
      </c>
      <c r="N16" s="233">
        <f>SUM(N7:N15)</f>
        <v>8818.4745762711864</v>
      </c>
      <c r="O16" s="101">
        <f>SUM(O7:O15)</f>
        <v>250.2159785063559</v>
      </c>
      <c r="P16" s="113">
        <f>SUM(P7:P15)</f>
        <v>50293.41167977755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46659.125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3801.3344999999999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1633.0693750000003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41224.721125000004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8818.4745762711864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50043.195701271194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250.2159785063559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50293.41167977755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50293.411679777542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232.44800000000004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100.72800000000001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464.89599999999996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632.77599999999995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276.83950000000004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7000.0845000000008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8494.9997542372894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45" t="s">
        <v>88</v>
      </c>
      <c r="O35" s="346"/>
      <c r="P35" s="297">
        <f>+P33+P34</f>
        <v>8537.4747530084751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26.871956059322038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15.73875</v>
      </c>
      <c r="K16" s="127">
        <f>$I16*T16</f>
        <v>5.5085625</v>
      </c>
      <c r="L16" s="118">
        <f>$I16*U16</f>
        <v>0</v>
      </c>
      <c r="M16" s="229">
        <f>I16-SUM(J16:L16)</f>
        <v>136.1401875</v>
      </c>
      <c r="N16" s="248">
        <f>+(G16*D16+H16)*V16</f>
        <v>29.745762711864394</v>
      </c>
      <c r="O16" s="238">
        <f>(N16+M16)*$O$15</f>
        <v>0.82942975105932193</v>
      </c>
      <c r="P16" s="118">
        <f>M16+N16+O16</f>
        <v>166.71537996292369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15.73875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136.1401875</v>
      </c>
      <c r="N17" s="277">
        <f t="shared" ref="N17:N24" si="3">+(G17*D17+H17)*V17</f>
        <v>29.745762711864394</v>
      </c>
      <c r="O17" s="239">
        <f t="shared" ref="O17:O24" si="4">(N17+M17)*$O$15</f>
        <v>0.82942975105932193</v>
      </c>
      <c r="P17" s="119">
        <f t="shared" ref="P17:P24" si="5">M17+N17+O17</f>
        <v>166.71537996292369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20.984999999999999</v>
      </c>
      <c r="K18" s="128">
        <f t="shared" si="1"/>
        <v>7.3447500000000003</v>
      </c>
      <c r="L18" s="119">
        <f t="shared" si="1"/>
        <v>0</v>
      </c>
      <c r="M18" s="230">
        <f t="shared" si="2"/>
        <v>181.52025</v>
      </c>
      <c r="N18" s="277">
        <f t="shared" si="3"/>
        <v>39.661016949152526</v>
      </c>
      <c r="O18" s="239">
        <f t="shared" si="4"/>
        <v>1.1059063347457627</v>
      </c>
      <c r="P18" s="119">
        <f t="shared" si="5"/>
        <v>222.28717328389828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94.432000000000016</v>
      </c>
      <c r="K19" s="128">
        <f t="shared" si="1"/>
        <v>33.051200000000001</v>
      </c>
      <c r="L19" s="119">
        <f t="shared" si="1"/>
        <v>0</v>
      </c>
      <c r="M19" s="230">
        <f t="shared" si="2"/>
        <v>816.83680000000004</v>
      </c>
      <c r="N19" s="277">
        <f t="shared" si="3"/>
        <v>178.47457627118644</v>
      </c>
      <c r="O19" s="239">
        <f t="shared" si="4"/>
        <v>4.9765568813559318</v>
      </c>
      <c r="P19" s="119">
        <f t="shared" si="5"/>
        <v>1000.2879331525423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94.432000000000016</v>
      </c>
      <c r="K20" s="128">
        <f t="shared" si="1"/>
        <v>33.051200000000001</v>
      </c>
      <c r="L20" s="119">
        <f t="shared" si="1"/>
        <v>0</v>
      </c>
      <c r="M20" s="230">
        <f t="shared" si="2"/>
        <v>816.83680000000004</v>
      </c>
      <c r="N20" s="277">
        <f t="shared" si="3"/>
        <v>178.47457627118644</v>
      </c>
      <c r="O20" s="239">
        <f t="shared" si="4"/>
        <v>4.9765568813559318</v>
      </c>
      <c r="P20" s="119">
        <f t="shared" si="5"/>
        <v>1000.2879331525423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101.69600000000001</v>
      </c>
      <c r="K21" s="128">
        <f t="shared" si="1"/>
        <v>35.593600000000002</v>
      </c>
      <c r="L21" s="119">
        <f t="shared" si="1"/>
        <v>0</v>
      </c>
      <c r="M21" s="230">
        <f t="shared" si="2"/>
        <v>879.67039999999997</v>
      </c>
      <c r="N21" s="277">
        <f t="shared" si="3"/>
        <v>192.20338983050848</v>
      </c>
      <c r="O21" s="239">
        <f t="shared" si="4"/>
        <v>5.3593689491525422</v>
      </c>
      <c r="P21" s="119">
        <f t="shared" si="5"/>
        <v>1077.2331587796609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50</v>
      </c>
      <c r="I25" s="114">
        <f t="shared" si="7"/>
        <v>3430.2250000000004</v>
      </c>
      <c r="J25" s="274">
        <f>SUM(J16:J24)</f>
        <v>343.02250000000004</v>
      </c>
      <c r="K25" s="275">
        <f t="shared" si="7"/>
        <v>120.05787500000002</v>
      </c>
      <c r="L25" s="276">
        <f t="shared" si="7"/>
        <v>0</v>
      </c>
      <c r="M25" s="232">
        <f t="shared" si="7"/>
        <v>2967.1446249999999</v>
      </c>
      <c r="N25" s="233">
        <f>SUM(N16:N24)</f>
        <v>648.30508474576266</v>
      </c>
      <c r="O25" s="101">
        <f>SUM(O16:O24)</f>
        <v>18.077248548728814</v>
      </c>
      <c r="P25" s="234">
        <f>SUM(P16:P24)</f>
        <v>3633.5269582944911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3430.2250000000004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343.02250000000004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120.05787500000002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2967.1446250000004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648.30508474576266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3615.4497097457629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18.077248548728814</v>
      </c>
    </row>
    <row r="35" spans="2:16" ht="15.75" customHeight="1" thickBot="1" x14ac:dyDescent="0.4">
      <c r="N35" s="345" t="s">
        <v>88</v>
      </c>
      <c r="O35" s="346"/>
      <c r="P35" s="297">
        <f>+P33+P34</f>
        <v>3633.5269582944916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2026-10-23T11:31:17Z</dcterms:modified>
</cp:coreProperties>
</file>