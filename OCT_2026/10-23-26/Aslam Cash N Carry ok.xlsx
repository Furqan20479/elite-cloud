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6682D00-914B-4308-BC6D-A4ABBDABFC2F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7" l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M24" i="56" s="1"/>
  <c r="O24" i="56" s="1"/>
  <c r="P24" i="56" s="1"/>
  <c r="L24" i="56"/>
  <c r="L24" i="43"/>
  <c r="K24" i="43"/>
  <c r="J24" i="43"/>
  <c r="K24" i="53"/>
  <c r="M24" i="53" s="1"/>
  <c r="O24" i="53" s="1"/>
  <c r="P24" i="53" s="1"/>
  <c r="L24" i="53"/>
  <c r="J24" i="53"/>
  <c r="J24" i="58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72" l="1"/>
  <c r="O23" i="72" s="1"/>
  <c r="P23" i="72" s="1"/>
  <c r="M23" i="44"/>
  <c r="O23" i="44" s="1"/>
  <c r="P23" i="44" s="1"/>
  <c r="M24" i="44"/>
  <c r="O24" i="44" s="1"/>
  <c r="P24" i="44" s="1"/>
  <c r="M24" i="58"/>
  <c r="O24" i="58" s="1"/>
  <c r="P24" i="58" s="1"/>
  <c r="M24" i="43"/>
  <c r="O24" i="43" s="1"/>
  <c r="P24" i="43" s="1"/>
  <c r="M23" i="66"/>
  <c r="M23" i="54"/>
  <c r="O23" i="54" s="1"/>
  <c r="P23" i="54" s="1"/>
  <c r="M23" i="69"/>
  <c r="O23" i="69" s="1"/>
  <c r="P23" i="69" s="1"/>
  <c r="M23" i="53"/>
  <c r="O23" i="53" s="1"/>
  <c r="P23" i="53" s="1"/>
  <c r="M24" i="63"/>
  <c r="O24" i="63" s="1"/>
  <c r="P24" i="63" s="1"/>
  <c r="M20" i="71"/>
  <c r="O20" i="71" s="1"/>
  <c r="P20" i="71" s="1"/>
  <c r="R20" i="71" s="1"/>
  <c r="M21" i="51"/>
  <c r="M20" i="70"/>
  <c r="O20" i="70" s="1"/>
  <c r="P20" i="70" s="1"/>
  <c r="R20" i="70" s="1"/>
  <c r="M21" i="68"/>
  <c r="O21" i="68" s="1"/>
  <c r="P21" i="68" s="1"/>
  <c r="M17" i="72"/>
  <c r="O17" i="72" s="1"/>
  <c r="P17" i="72" s="1"/>
  <c r="M16" i="64"/>
  <c r="O16" i="64" s="1"/>
  <c r="P16" i="64" s="1"/>
  <c r="M16" i="65"/>
  <c r="M16" i="48"/>
  <c r="M16" i="60"/>
  <c r="O16" i="60" s="1"/>
  <c r="P16" i="60" s="1"/>
  <c r="M16" i="66"/>
  <c r="M16" i="44"/>
  <c r="M16" i="72"/>
  <c r="M18" i="67"/>
  <c r="O18" i="67" s="1"/>
  <c r="P18" i="67" s="1"/>
  <c r="M17" i="60"/>
  <c r="O17" i="60" s="1"/>
  <c r="P17" i="60" s="1"/>
  <c r="M21" i="53"/>
  <c r="O21" i="53" s="1"/>
  <c r="P21" i="53" s="1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3" i="64"/>
  <c r="P23" i="64" s="1"/>
  <c r="O24" i="71"/>
  <c r="P24" i="71"/>
  <c r="O23" i="59"/>
  <c r="P23" i="59"/>
  <c r="O24" i="48"/>
  <c r="P24" i="48" s="1"/>
  <c r="O16" i="44"/>
  <c r="O22" i="51"/>
  <c r="P22" i="51" s="1"/>
  <c r="O23" i="60"/>
  <c r="P23" i="60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 s="1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4" i="55" l="1"/>
  <c r="O25" i="55"/>
  <c r="O25" i="48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<sst xmlns="http://schemas.openxmlformats.org/spreadsheetml/2006/main" count="3918" uniqueCount="521">
  <si>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</si>
  <si>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</si>
  <si>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</si>
  <si>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</si>
  <si>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</si>
  <si>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</si>
  <si>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</si>
  <si>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</si>
  <si>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</si>
  <si>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</si>
  <si>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</si>
  <si>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</si>
  <si>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</si>
  <si>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</si>
  <si>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</si>
  <si>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</si>
  <si>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</si>
  <si>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</si>
  <si>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</si>
  <si>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</si>
  <si>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</si>
  <si>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</si>
  <si>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</si>
  <si>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</si>
  <si>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</si>
  <si>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</si>
  <si>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</si>
  <si>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</si>
  <si>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</si>
  <si>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</si>
  <si>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</si>
  <si>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</si>
  <si>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</si>
  <si>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</si>
  <si>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</si>
  <si>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</si>
  <si>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</si>
  <si>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</si>
  <si>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</si>
  <si>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</si>
  <si>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</si>
  <si>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</si>
  <si>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</si>
  <si>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</si>
  <si>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</si>
  <si>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</si>
  <si>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</si>
  <si>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</si>
  <si>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</si>
  <si>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</si>
  <si>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</si>
  <si>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</si>
  <si>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</si>
  <si>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</si>
  <si>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</si>
  <si>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</si>
  <si>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</si>
  <si>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</si>
  <si>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</si>
  <si>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</si>
  <si>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</si>
  <si>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</si>
  <si>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</si>
  <si>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</si>
  <si>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</si>
  <si>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</si>
  <si>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</si>
  <si>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</si>
  <si>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</si>
  <si>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</si>
  <si>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</si>
  <si>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</si>
  <si>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</si>
  <si>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</si>
  <si>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</si>
  <si>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</si>
  <si>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</si>
  <si>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</si>
  <si>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</si>
  <si>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</si>
  <si>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</si>
  <si>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</si>
  <si>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</si>
  <si>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</si>
  <si>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</si>
  <si>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</si>
  <si>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</si>
  <si>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</si>
  <si>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</si>
  <si>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</si>
  <si>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</si>
  <si>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</si>
  <si>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</si>
  <si>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</si>
  <si>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</si>
  <si>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</si>
  <si>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</si>
  <si>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</si>
  <si>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</si>
  <si>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</si>
  <si>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</si>
  <si>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</si>
  <si>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</si>
  <si>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</si>
  <si>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</si>
  <si>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</si>
  <si>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</si>
  <si>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</si>
  <si>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</si>
  <si>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</si>
  <si>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</si>
  <si>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</si>
  <si>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</si>
  <si>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</si>
  <si>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</si>
  <si>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</si>
  <si>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</si>
  <si>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</si>
  <si>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</si>
  <si>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</si>
  <si>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</si>
  <si>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</si>
  <si>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</si>
  <si>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</si>
  <si>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</si>
  <si>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</si>
  <si>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</si>
  <si>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</si>
  <si>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</si>
  <si>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</si>
  <si>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</si>
  <si>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</si>
  <si>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</si>
  <si>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</si>
  <si>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</si>
  <si>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</si>
  <si>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</si>
  <si>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</si>
  <si>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</si>
  <si>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</si>
  <si>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</si>
  <si>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</si>
  <si>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</si>
  <si>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</si>
  <si>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</si>
  <si>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</si>
  <si>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</si>
  <si>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</si>
  <si>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</si>
  <si>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</si>
  <si>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</si>
  <si>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</si>
  <si>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</si>
  <si>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</si>
  <si>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</si>
  <si>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</si>
  <si>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</si>
  <si>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</si>
  <si>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</si>
  <si>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</si>
  <si>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</si>
  <si>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</si>
  <si>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</si>
  <si>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</si>
  <si>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</si>
  <si>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</si>
  <si>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</si>
  <si>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</si>
  <si>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</si>
  <si>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</si>
  <si>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</si>
  <si>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</si>
  <si>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</si>
  <si>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</si>
  <si>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</si>
  <si>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</si>
  <si>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</si>
  <si>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</si>
  <si>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</si>
  <si>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</si>
  <si>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</si>
  <si>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</si>
  <si>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</si>
  <si>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</si>
  <si>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</si>
  <si>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</si>
  <si>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</si>
  <si>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</si>
  <si>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</si>
  <si>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</si>
  <si>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</si>
  <si>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</si>
  <si>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</si>
  <si>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</si>
  <si>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</si>
  <si>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</si>
  <si>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</si>
  <si>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</si>
  <si>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</si>
  <si>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</si>
  <si>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</si>
  <si>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</si>
  <si>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</si>
  <si>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</si>
  <si>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</si>
  <si>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</si>
  <si>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</si>
  <si>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</si>
  <si>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</si>
  <si>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</si>
  <si>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</si>
  <si>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</si>
  <si>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</si>
  <si>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</si>
  <si>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</si>
  <si>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</si>
  <si>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</si>
  <si>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</si>
  <si>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</si>
  <si>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</si>
  <si>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</si>
  <si>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</si>
  <si>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</si>
  <si>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</si>
  <si>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</si>
  <si>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</si>
  <si>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</si>
  <si>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</si>
  <si>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</si>
  <si>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</si>
  <si>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</si>
  <si>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</si>
  <si>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</si>
  <si>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</si>
  <si>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</si>
  <si>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</si>
  <si>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</si>
  <si>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</si>
  <si>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</si>
  <si>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</si>
  <si>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</si>
  <si>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</si>
  <si>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</si>
  <si>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</si>
  <si>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</si>
  <si>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</si>
  <si>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</si>
  <si>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</si>
  <si>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</si>
  <si>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</si>
  <si>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</si>
  <si>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</si>
  <si>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</si>
  <si>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</si>
  <si>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</si>
  <si>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</si>
  <si>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</si>
  <si>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</si>
  <si>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</si>
  <si>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</si>
  <si>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</si>
  <si>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</si>
  <si>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</si>
  <si>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</si>
  <si>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</si>
  <si>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</si>
  <si>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</si>
  <si>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</si>
  <si>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</si>
  <si>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</si>
  <si>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</si>
  <si>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</si>
  <si>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</si>
  <si>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</si>
  <si>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</si>
  <si>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</si>
  <si>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</si>
  <si>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</si>
  <si>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</si>
  <si>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</si>
  <si>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</si>
  <si>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</si>
  <si>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</si>
  <si>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</si>
  <si>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</si>
  <si>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</si>
  <si>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</si>
  <si>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</si>
  <si>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</si>
  <si>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</si>
  <si>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</si>
  <si>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</si>
  <si>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</si>
  <si>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</si>
  <si>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</si>
  <si>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</si>
  <si>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</si>
  <si>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</si>
  <si>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</si>
  <si>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</si>
  <si>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</si>
  <si>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</si>
  <si>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</si>
  <si>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</si>
  <si>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</si>
  <si>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</si>
  <si>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</si>
  <si>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</si>
  <si>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</si>
  <si>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</si>
  <si>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</si>
  <si>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</si>
  <si>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</si>
  <si>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</si>
  <si>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</si>
  <si>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</si>
  <si>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</si>
  <si>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</si>
  <si>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</si>
  <si>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</si>
  <si>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</si>
  <si>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</si>
  <si>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</si>
  <si>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</si>
  <si>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</si>
  <si>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</si>
  <si>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</si>
  <si>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</si>
  <si>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</si>
  <si>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</si>
  <si>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</si>
  <si>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</si>
  <si>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</si>
  <si>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</si>
  <si>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</si>
  <si>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</si>
  <si>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</si>
  <si>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</si>
  <si>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</si>
  <si>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</si>
  <si>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</si>
  <si>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</si>
  <si>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</si>
  <si>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</si>
  <si>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</si>
  <si>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</si>
  <si>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</si>
  <si>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</si>
  <si>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</si>
  <si>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</si>
  <si>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</si>
  <si>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</si>
  <si>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</si>
  <si>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</si>
  <si>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</si>
  <si>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</si>
  <si>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</si>
  <si>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</si>
  <si>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</si>
  <si>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</si>
  <si>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</si>
  <si>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</si>
  <si>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</si>
  <si>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</si>
  <si>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</si>
  <si>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</si>
  <si>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</si>
  <si>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</si>
  <si>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</si>
  <si>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</si>
  <si>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</si>
  <si>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</si>
  <si>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</si>
  <si>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</si>
  <si>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</si>
  <si>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</si>
  <si>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</si>
  <si>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</si>
  <si>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</si>
  <si>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</si>
  <si>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</si>
  <si>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</si>
  <si>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</si>
  <si>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</si>
  <si>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</si>
  <si>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</si>
  <si>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</si>
  <si>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</si>
  <si>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</si>
  <si>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</si>
  <si>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</si>
  <si>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</si>
  <si>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</si>
  <si>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</si>
  <si>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</si>
  <si>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</si>
  <si>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</si>
  <si>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</si>
  <si>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</si>
  <si>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</si>
  <si>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</si>
  <si>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</si>
  <si>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</si>
  <si>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</si>
  <si>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</si>
  <si>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</si>
  <si>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</si>
  <si>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</si>
  <si>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</si>
  <si>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</si>
  <si>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</si>
  <si>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</si>
  <si>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</si>
  <si>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</si>
  <si>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</si>
  <si>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</si>
  <si>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</si>
  <si>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</si>
  <si>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</si>
  <si>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</si>
  <si>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</si>
  <si>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</si>
  <si>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</si>
  <si>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</si>
  <si>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</si>
  <si>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</si>
  <si>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</si>
  <si>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</si>
  <si>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</si>
  <si>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</si>
  <si>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</si>
  <si>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</si>
  <si>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</si>
  <si>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</si>
  <si>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</si>
  <si>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</si>
  <si>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</si>
  <si>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</si>
  <si>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</si>
  <si>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</si>
  <si>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</si>
  <si>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</si>
  <si>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</si>
  <si>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</si>
  <si>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</si>
  <si>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</si>
  <si>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</si>
  <si>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</si>
  <si>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</si>
  <si>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</si>
  <si>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</si>
  <si>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</si>
  <si>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</si>
  <si>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</si>
  <si>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</si>
  <si>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</si>
  <si>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</si>
  <si>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</si>
  <si>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</si>
  <si>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</si>
  <si>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</si>
  <si>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</si>
  <si>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</si>
  <si>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</si>
  <si>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</si>
  <si>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</si>
  <si>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</si>
  <si>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</si>
  <si>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</si>
  <si>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</si>
  <si>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</si>
  <si>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</si>
  <si>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</si>
  <si>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</si>
  <si>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</si>
  <si>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</si>
  <si>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</si>
  <si>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</si>
  <si>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</si>
  <si>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</si>
  <si>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</si>
  <si>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</si>
  <si>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</si>
  <si>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</si>
  <si>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</si>
  <si>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</si>
  <si>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</si>
  <si>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</si>
  <si>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</si>
  <si>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</si>
  <si>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</si>
  <si>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</si>
  <si>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</si>
  <si>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</si>
  <si>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</si>
  <si>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</si>
  <si>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</si>
  <si>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</si>
  <si>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</si>
  <si>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</si>
  <si>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</si>
  <si>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</si>
  <si>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</si>
  <si>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</si>
  <si>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</si>
  <si>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</si>
  <si>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</si>
  <si>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</si>
  <si>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</si>
  <si>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</si>
  <si>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</si>
  <si>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</si>
  <si>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Shakoor</t>
  </si>
  <si>
    <t>Invoice No # :1210</t>
  </si>
  <si>
    <t>Aslam Super Market ( LDA )</t>
  </si>
  <si>
    <t>NTN #: 8538860-2</t>
  </si>
  <si>
    <t>Invoice No # :12145</t>
  </si>
  <si>
    <t>Address: LDA Riwind Road</t>
  </si>
  <si>
    <t>Address: Behria Orchard</t>
  </si>
  <si>
    <t>Invoice No # :1211</t>
  </si>
  <si>
    <t xml:space="preserve">Aslam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</si>
</sst>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R11" sqref="R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498</v>
      </c>
      <c r="F2" s="358"/>
      <c r="G2" s="358"/>
      <c r="H2" s="355" t="s">
        <v>512</v>
      </c>
      <c r="I2" s="355"/>
      <c r="J2" s="356"/>
      <c r="R2" s="352" t="s">
        <v>497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508</v>
      </c>
      <c r="F3" s="362"/>
      <c r="G3" s="362"/>
      <c r="H3" s="359">
        <v>46293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00" t="str">
        <f>+'1'!A6:A6</f>
        <v>Aslam Super Market ( LDA )</v>
      </c>
      <c r="T3" s="301">
        <f>+'1'!P35</f>
        <v>83936.777603389826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Aslam Mart </v>
      </c>
      <c r="T4" s="301">
        <f>+'2'!P35</f>
        <v>32256.705392542372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Aslam Super Market ( LDA )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Aslam Super Market ( LDA )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240</v>
      </c>
      <c r="I7" s="235">
        <f>(G7*D7)*F7+H7*F7</f>
        <v>12591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1510.92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11080.08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2379.6610169491514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67.298705084745762</v>
      </c>
      <c r="P7" s="310">
        <f>M7+N7+O7</f>
        <v>13527.039722033898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Aslam Super Market ( LDA )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240</v>
      </c>
      <c r="I8" s="236">
        <f t="shared" ref="I8:I14" si="0">(G8*D8)*F8+H8*F8</f>
        <v>12591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1510.92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11080.08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2379.6610169491514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67.298705084745762</v>
      </c>
      <c r="P8" s="311">
        <f t="shared" ref="P8:P15" si="2">M8+N8+O8</f>
        <v>13527.039722033898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Aslam Super Market ( LDA )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280</v>
      </c>
      <c r="I9" s="236">
        <f t="shared" si="0"/>
        <v>14689.5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1762.7399999999998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12926.76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2776.271186440677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78.515155932203385</v>
      </c>
      <c r="P9" s="311">
        <f t="shared" si="2"/>
        <v>15781.546342372882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Aslam Super Market ( LDA )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280</v>
      </c>
      <c r="I10" s="236">
        <f t="shared" si="0"/>
        <v>20339.2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2440.7039999999997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17898.495999999999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3844.0677966101694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108.71281898305084</v>
      </c>
      <c r="P10" s="311">
        <f t="shared" si="2"/>
        <v>21851.276615593219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Aslam Super Market ( LDA )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280</v>
      </c>
      <c r="I11" s="236">
        <f t="shared" si="0"/>
        <v>20339.2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2440.7039999999997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17898.495999999999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3844.0677966101694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108.71281898305084</v>
      </c>
      <c r="P11" s="311">
        <f t="shared" si="2"/>
        <v>21851.276615593219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Aslam Super Market ( LDA )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380</v>
      </c>
      <c r="I12" s="236">
        <f t="shared" si="0"/>
        <v>27603.200000000001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3312.384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24290.815999999999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5216.9491525423728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147.53882576271187</v>
      </c>
      <c r="P12" s="311">
        <f t="shared" si="2"/>
        <v>29655.303978305084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Aslam Super Market ( LDA )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Aslam Super Market ( LDA )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Aslam Super Market ( LDA )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Aslam Super Market ( LDA )</v>
      </c>
      <c r="T15" s="301">
        <f>+'13'!P35</f>
        <v>0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117">
        <f>H16/40</f>
        <v>42.5</v>
      </c>
      <c r="H16" s="113">
        <f t="shared" ref="H16:M16" si="3">SUM(H7:H15)</f>
        <v>1700</v>
      </c>
      <c r="I16" s="114">
        <f t="shared" si="3"/>
        <v>108153.09999999999</v>
      </c>
      <c r="J16" s="274">
        <f>SUM(J7:J15)</f>
        <v>12978.371999999999</v>
      </c>
      <c r="K16" s="275">
        <f t="shared" si="3"/>
        <v>0</v>
      </c>
      <c r="L16" s="276">
        <f t="shared" si="3"/>
        <v>0</v>
      </c>
      <c r="M16" s="232">
        <f t="shared" si="3"/>
        <v>95174.728000000003</v>
      </c>
      <c r="N16" s="233">
        <f>SUM(N7:N15)</f>
        <v>20440.677966101692</v>
      </c>
      <c r="O16" s="101">
        <f>SUM(O7:O15)</f>
        <v>578.07702983050842</v>
      </c>
      <c r="P16" s="113">
        <f>SUM(P7:P15)</f>
        <v>116193.48299593219</v>
      </c>
      <c r="Q16" s="128">
        <f>SUM(Q7:Q15)</f>
        <v>0</v>
      </c>
      <c r="R16" s="313">
        <v>14</v>
      </c>
      <c r="S16" s="315" t="str">
        <f>+'14'!A6:A6</f>
        <v>Aslam Super Market ( LDA )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Aslam Super Market ( LDA )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Aslam Super Market ( LDA )</v>
      </c>
      <c r="T18" s="301">
        <f>+'16'!P35</f>
        <v>0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108153.09999999999</v>
      </c>
      <c r="R19" s="299">
        <v>17</v>
      </c>
      <c r="S19" s="300" t="str">
        <f>+'17'!A6:A6</f>
        <v>Aslam Super Market ( LDA )</v>
      </c>
      <c r="T19" s="301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12978.371999999999</v>
      </c>
      <c r="R20" s="299">
        <v>18</v>
      </c>
      <c r="S20" s="300" t="str">
        <f>+'18'!A6:A6</f>
        <v>Aslam Super Market ( LDA )</v>
      </c>
      <c r="T20" s="301">
        <f>+'18'!P35</f>
        <v>0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0</v>
      </c>
      <c r="R21" s="299">
        <v>19</v>
      </c>
      <c r="S21" s="300" t="str">
        <f>+'19'!A6:A6</f>
        <v>Aslam Super Market ( LDA )</v>
      </c>
      <c r="T21" s="301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95174.727999999988</v>
      </c>
      <c r="R22" s="299">
        <v>20</v>
      </c>
      <c r="S22" s="300" t="str">
        <f>+'20'!A6:A6</f>
        <v>Aslam Super Market ( LDA )</v>
      </c>
      <c r="T22" s="301">
        <f>+'20'!P35</f>
        <v>0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20440.677966101692</v>
      </c>
      <c r="R23" s="299">
        <v>21</v>
      </c>
      <c r="S23" s="300" t="str">
        <f>+'21'!A6:A6</f>
        <v>Aslam Super Market ( LDA )</v>
      </c>
      <c r="T23" s="301">
        <f>+'21'!P35</f>
        <v>0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115615.40596610168</v>
      </c>
      <c r="R24" s="299">
        <v>22</v>
      </c>
      <c r="S24" s="300" t="str">
        <f>+'22'!A6:A6</f>
        <v>Aslam Super Market ( LDA )</v>
      </c>
      <c r="T24" s="301">
        <f>+'22'!P35</f>
        <v>0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578.07702983050842</v>
      </c>
      <c r="R25" s="299">
        <v>23</v>
      </c>
      <c r="S25" s="300" t="str">
        <f>+'23'!A6:A6</f>
        <v>Aslam Super Market ( LDA )</v>
      </c>
      <c r="T25" s="301">
        <f>+'23'!P35</f>
        <v>0</v>
      </c>
    </row>
    <row r="26" spans="1:20" ht="21.75" customHeight="1" thickBot="1" x14ac:dyDescent="0.4">
      <c r="N26" s="346" t="s">
        <v>88</v>
      </c>
      <c r="O26" s="347"/>
      <c r="P26" s="297">
        <f>+P24+P25</f>
        <v>116193.48299593219</v>
      </c>
      <c r="R26" s="299">
        <v>24</v>
      </c>
      <c r="S26" s="300" t="str">
        <f>+'24'!A6:A6</f>
        <v>Aslam Super Market ( LDA )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00" t="str">
        <f>+'25'!A6:A6</f>
        <v>Aslam Super Market ( LDA )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Aslam Super Market ( LDA )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Aslam Super Market ( LDA )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Aslam Super Market ( LDA )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Aslam Super Market ( LDA )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Aslam Super Market ( LDA )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116193.48299593219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4"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516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160</v>
      </c>
      <c r="I16" s="235">
        <f>(G16*D16)*F16+H16*F16</f>
        <v>8394</v>
      </c>
      <c r="J16" s="271">
        <f>$I16*S16</f>
        <v>1007.28</v>
      </c>
      <c r="K16" s="127">
        <f>$I16*T16</f>
        <v>0</v>
      </c>
      <c r="L16" s="118">
        <f>$I16*U16</f>
        <v>0</v>
      </c>
      <c r="M16" s="229">
        <f>I16-SUM(J16:L16)</f>
        <v>7386.72</v>
      </c>
      <c r="N16" s="248">
        <f>+(G16*D16+H16)*V16</f>
        <v>1586.440677966101</v>
      </c>
      <c r="O16" s="238">
        <f>(N16+M16)*$O$15</f>
        <v>44.865803389830511</v>
      </c>
      <c r="P16" s="118">
        <f>M16+N16+O16</f>
        <v>9018.0264813559315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160</v>
      </c>
      <c r="I17" s="236">
        <f t="shared" ref="I17:I23" si="0">(G17*D17)*F17+H17*F17</f>
        <v>8394</v>
      </c>
      <c r="J17" s="272">
        <f t="shared" ref="J17:L24" si="1">$I17*S17</f>
        <v>1007.28</v>
      </c>
      <c r="K17" s="128">
        <f>$I17*T17</f>
        <v>0</v>
      </c>
      <c r="L17" s="119">
        <f>$I17*U17</f>
        <v>0</v>
      </c>
      <c r="M17" s="230">
        <f t="shared" ref="M17:M24" si="2">I17-SUM(J17:L17)</f>
        <v>7386.72</v>
      </c>
      <c r="N17" s="277">
        <f t="shared" ref="N17:N24" si="3">+(G17*D17+H17)*V17</f>
        <v>1586.440677966101</v>
      </c>
      <c r="O17" s="239">
        <f t="shared" ref="O17:O24" si="4">(N17+M17)*$O$15</f>
        <v>44.865803389830511</v>
      </c>
      <c r="P17" s="119">
        <f t="shared" ref="P17:P24" si="5">M17+N17+O17</f>
        <v>9018.0264813559315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200</v>
      </c>
      <c r="I18" s="236">
        <f t="shared" ref="I18:I21" si="7">(G18*D18)*F18+H18*F18</f>
        <v>10492.5</v>
      </c>
      <c r="J18" s="272">
        <f t="shared" si="1"/>
        <v>1259.0999999999999</v>
      </c>
      <c r="K18" s="128">
        <f t="shared" si="1"/>
        <v>0</v>
      </c>
      <c r="L18" s="119">
        <f t="shared" si="1"/>
        <v>0</v>
      </c>
      <c r="M18" s="230">
        <f t="shared" si="2"/>
        <v>9233.4</v>
      </c>
      <c r="N18" s="277">
        <f t="shared" si="3"/>
        <v>1983.0508474576263</v>
      </c>
      <c r="O18" s="239">
        <f t="shared" si="4"/>
        <v>56.082254237288126</v>
      </c>
      <c r="P18" s="119">
        <f t="shared" si="5"/>
        <v>11272.533101694913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200</v>
      </c>
      <c r="I19" s="236">
        <f t="shared" si="7"/>
        <v>14528</v>
      </c>
      <c r="J19" s="272">
        <f t="shared" si="1"/>
        <v>1743.36</v>
      </c>
      <c r="K19" s="128">
        <f t="shared" si="1"/>
        <v>0</v>
      </c>
      <c r="L19" s="119">
        <f t="shared" si="1"/>
        <v>0</v>
      </c>
      <c r="M19" s="230">
        <f t="shared" si="2"/>
        <v>12784.64</v>
      </c>
      <c r="N19" s="277">
        <f t="shared" si="3"/>
        <v>2745.7627118644068</v>
      </c>
      <c r="O19" s="239">
        <f t="shared" si="4"/>
        <v>77.652013559322029</v>
      </c>
      <c r="P19" s="119">
        <f t="shared" si="5"/>
        <v>15608.054725423728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200</v>
      </c>
      <c r="I20" s="236">
        <f t="shared" si="7"/>
        <v>14528</v>
      </c>
      <c r="J20" s="272">
        <f t="shared" si="1"/>
        <v>1743.36</v>
      </c>
      <c r="K20" s="128">
        <f t="shared" si="1"/>
        <v>0</v>
      </c>
      <c r="L20" s="119">
        <f t="shared" si="1"/>
        <v>0</v>
      </c>
      <c r="M20" s="230">
        <f t="shared" si="2"/>
        <v>12784.64</v>
      </c>
      <c r="N20" s="277">
        <f t="shared" si="3"/>
        <v>2745.7627118644068</v>
      </c>
      <c r="O20" s="239">
        <f t="shared" si="4"/>
        <v>77.652013559322029</v>
      </c>
      <c r="P20" s="119">
        <f t="shared" si="5"/>
        <v>15608.054725423728</v>
      </c>
      <c r="Q20" s="319"/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300</v>
      </c>
      <c r="I21" s="236">
        <f t="shared" si="7"/>
        <v>21792</v>
      </c>
      <c r="J21" s="272">
        <f t="shared" si="1"/>
        <v>2615.04</v>
      </c>
      <c r="K21" s="128">
        <f t="shared" si="1"/>
        <v>0</v>
      </c>
      <c r="L21" s="119">
        <f t="shared" si="1"/>
        <v>0</v>
      </c>
      <c r="M21" s="230">
        <f t="shared" si="2"/>
        <v>19176.96</v>
      </c>
      <c r="N21" s="277">
        <f t="shared" si="3"/>
        <v>4118.6440677966102</v>
      </c>
      <c r="O21" s="239">
        <f t="shared" si="4"/>
        <v>116.47802033898304</v>
      </c>
      <c r="P21" s="119">
        <f t="shared" si="5"/>
        <v>23412.08208813559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1220</v>
      </c>
      <c r="I25" s="114">
        <f t="shared" ref="I25:M25" si="10">SUM(I16:I24)</f>
        <v>78128.5</v>
      </c>
      <c r="J25" s="274">
        <f>SUM(J16:J24)</f>
        <v>9375.4199999999983</v>
      </c>
      <c r="K25" s="275">
        <f t="shared" si="10"/>
        <v>0</v>
      </c>
      <c r="L25" s="276">
        <f t="shared" si="10"/>
        <v>0</v>
      </c>
      <c r="M25" s="232">
        <f t="shared" si="10"/>
        <v>68753.079999999987</v>
      </c>
      <c r="N25" s="233">
        <f>SUM(N16:N24)</f>
        <v>14766.101694915251</v>
      </c>
      <c r="O25" s="101">
        <f>SUM(O16:O24)</f>
        <v>417.59590847457628</v>
      </c>
      <c r="P25" s="234">
        <f>SUM(P16:P24)</f>
        <v>83936.777603389826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78128.5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9375.4199999999983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68753.08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14766.101694915251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83519.181694915256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417.59590847457628</v>
      </c>
    </row>
    <row r="35" spans="2:16" ht="15.75" customHeight="1" thickBot="1" x14ac:dyDescent="0.4">
      <c r="N35" s="346" t="s">
        <v>88</v>
      </c>
      <c r="O35" s="347"/>
      <c r="P35" s="297">
        <f>+P33+P34</f>
        <v>83936.777603389826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J7" sqref="J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519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503.64</v>
      </c>
      <c r="K16" s="127">
        <f>$I16*T16</f>
        <v>0</v>
      </c>
      <c r="L16" s="118">
        <f>$I16*U16</f>
        <v>0</v>
      </c>
      <c r="M16" s="229">
        <f>I16-SUM(J16:L16)</f>
        <v>3693.36</v>
      </c>
      <c r="N16" s="248">
        <f>+(G16*D16+H16)*V16</f>
        <v>793.22033898305051</v>
      </c>
      <c r="O16" s="238">
        <f>(N16+M16)*$O$15</f>
        <v>22.432901694915255</v>
      </c>
      <c r="P16" s="118">
        <f>M16+N16+O16</f>
        <v>4509.0132406779658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503.64</v>
      </c>
      <c r="K17" s="128">
        <f>$I17*T17</f>
        <v>0</v>
      </c>
      <c r="L17" s="119">
        <f>$I17*U17</f>
        <v>0</v>
      </c>
      <c r="M17" s="230">
        <f t="shared" ref="M17:M24" si="2">I17-SUM(J17:L17)</f>
        <v>3693.36</v>
      </c>
      <c r="N17" s="277">
        <f t="shared" ref="N17:N24" si="3">+(G17*D17+H17)*V17</f>
        <v>793.22033898305051</v>
      </c>
      <c r="O17" s="239">
        <f t="shared" ref="O17:O24" si="4">(N17+M17)*$O$15</f>
        <v>22.432901694915255</v>
      </c>
      <c r="P17" s="119">
        <f t="shared" ref="P17:P24" si="5">M17+N17+O17</f>
        <v>4509.0132406779658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503.64</v>
      </c>
      <c r="K18" s="128">
        <f t="shared" si="1"/>
        <v>0</v>
      </c>
      <c r="L18" s="119">
        <f t="shared" si="1"/>
        <v>0</v>
      </c>
      <c r="M18" s="230">
        <f t="shared" si="2"/>
        <v>3693.36</v>
      </c>
      <c r="N18" s="277">
        <f t="shared" si="3"/>
        <v>793.22033898305051</v>
      </c>
      <c r="O18" s="239">
        <f t="shared" si="4"/>
        <v>22.432901694915255</v>
      </c>
      <c r="P18" s="119">
        <f t="shared" si="5"/>
        <v>4509.0132406779658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697.34399999999994</v>
      </c>
      <c r="K19" s="128">
        <f t="shared" si="1"/>
        <v>0</v>
      </c>
      <c r="L19" s="119">
        <f t="shared" si="1"/>
        <v>0</v>
      </c>
      <c r="M19" s="230">
        <f t="shared" si="2"/>
        <v>5113.8559999999998</v>
      </c>
      <c r="N19" s="277">
        <f t="shared" si="3"/>
        <v>1098.3050847457628</v>
      </c>
      <c r="O19" s="239">
        <f t="shared" si="4"/>
        <v>31.060805423728812</v>
      </c>
      <c r="P19" s="119">
        <f t="shared" si="5"/>
        <v>6243.2218901694914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697.34399999999994</v>
      </c>
      <c r="K20" s="128">
        <f t="shared" si="1"/>
        <v>0</v>
      </c>
      <c r="L20" s="119">
        <f t="shared" si="1"/>
        <v>0</v>
      </c>
      <c r="M20" s="230">
        <f t="shared" si="2"/>
        <v>5113.8559999999998</v>
      </c>
      <c r="N20" s="277">
        <f t="shared" si="3"/>
        <v>1098.3050847457628</v>
      </c>
      <c r="O20" s="239">
        <f t="shared" si="4"/>
        <v>31.060805423728812</v>
      </c>
      <c r="P20" s="119">
        <f t="shared" si="5"/>
        <v>6243.2218901694914</v>
      </c>
      <c r="Q20" s="319"/>
      <c r="R20">
        <f>P20/21</f>
        <v>297.2962804842615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697.34399999999994</v>
      </c>
      <c r="K21" s="128">
        <f t="shared" si="1"/>
        <v>0</v>
      </c>
      <c r="L21" s="119">
        <f t="shared" si="1"/>
        <v>0</v>
      </c>
      <c r="M21" s="230">
        <f t="shared" si="2"/>
        <v>5113.8559999999998</v>
      </c>
      <c r="N21" s="277">
        <f t="shared" si="3"/>
        <v>1098.3050847457628</v>
      </c>
      <c r="O21" s="239">
        <f t="shared" si="4"/>
        <v>31.060805423728812</v>
      </c>
      <c r="P21" s="119">
        <f t="shared" si="5"/>
        <v>6243.2218901694914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480</v>
      </c>
      <c r="I25" s="114">
        <f t="shared" si="7"/>
        <v>30024.600000000002</v>
      </c>
      <c r="J25" s="274">
        <f>SUM(J16:J24)</f>
        <v>3602.9520000000002</v>
      </c>
      <c r="K25" s="275">
        <f t="shared" si="7"/>
        <v>0</v>
      </c>
      <c r="L25" s="276">
        <f t="shared" si="7"/>
        <v>0</v>
      </c>
      <c r="M25" s="232">
        <f t="shared" si="7"/>
        <v>26421.648000000001</v>
      </c>
      <c r="N25" s="233">
        <f>SUM(N16:N24)</f>
        <v>5674.576271186439</v>
      </c>
      <c r="O25" s="101">
        <f>SUM(O16:O24)</f>
        <v>160.4811213559322</v>
      </c>
      <c r="P25" s="234">
        <f>SUM(P16:P24)</f>
        <v>32256.705392542368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30024.600000000002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3602.9520000000002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26421.648000000001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5674.576271186439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32096.224271186438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160.4811213559322</v>
      </c>
    </row>
    <row r="35" spans="2:16" ht="15.75" customHeight="1" thickBot="1" x14ac:dyDescent="0.4">
      <c r="N35" s="346" t="s">
        <v>88</v>
      </c>
      <c r="O35" s="347"/>
      <c r="P35" s="297">
        <f>+P33+P34</f>
        <v>32256.705392542372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8.7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'1'!N4:P5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8.7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f>'1'!N4:P4</f>
        <v>46318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46317</v>
      </c>
      <c r="O5" s="371"/>
      <c r="P5" s="371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72" t="s">
        <v>69</v>
      </c>
      <c r="L6" s="372"/>
      <c r="M6" s="372"/>
      <c r="N6" s="401" t="str">
        <f>Summary!H2</f>
        <v>Shakoor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515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21">
        <v>0.12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46319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46318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2026-10-23T04:51:27Z</dcterms:modified>
</cp:coreProperties>
</file>