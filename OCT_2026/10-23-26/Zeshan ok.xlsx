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2C4206-1ABD-46AD-91F0-27E02CE46CE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J25" i="61"/>
  <c r="P29" i="61" s="1"/>
  <c r="M21" i="53"/>
  <c r="O21" i="53" s="1"/>
  <c r="P21" i="53" s="1"/>
  <c r="M21" i="52"/>
  <c r="O21" i="52" s="1"/>
  <c r="P21" i="52" s="1"/>
  <c r="M21" i="51"/>
  <c r="J7" i="62"/>
  <c r="M16" i="48"/>
  <c r="M20" i="47"/>
  <c r="O20" i="47" s="1"/>
  <c r="P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<sst xmlns="http://schemas.openxmlformats.org/spreadsheetml/2006/main" count="3948" uniqueCount="540">
  <si>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</si>
  <si>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</si>
  <si>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</si>
  <si>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</si>
  <si>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</si>
  <si>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</si>
  <si>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</si>
  <si>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</si>
  <si>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</si>
  <si>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</si>
  <si>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</si>
  <si>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</si>
  <si>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</si>
  <si>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</si>
  <si>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</si>
  <si>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</si>
  <si>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</si>
  <si>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</si>
  <si>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</si>
  <si>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</si>
  <si>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</si>
  <si>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</si>
  <si>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</si>
  <si>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</si>
  <si>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</si>
  <si>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</si>
  <si>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</si>
  <si>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</si>
  <si>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</si>
  <si>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</si>
  <si>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</si>
  <si>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</si>
  <si>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</si>
  <si>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</si>
  <si>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</si>
  <si>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</si>
  <si>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</si>
  <si>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</si>
  <si>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</si>
  <si>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</si>
  <si>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</si>
  <si>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</si>
  <si>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</si>
  <si>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</si>
  <si>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</si>
  <si>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</si>
  <si>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</si>
  <si>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</si>
  <si>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</si>
  <si>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</si>
  <si>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</si>
  <si>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</si>
  <si>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</si>
  <si>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</si>
  <si>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</si>
  <si>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</si>
  <si>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</si>
  <si>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</si>
  <si>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</si>
  <si>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</si>
  <si>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</si>
  <si>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</si>
  <si>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</si>
  <si>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</si>
  <si>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</si>
  <si>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</si>
  <si>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</si>
  <si>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</si>
  <si>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</si>
  <si>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</si>
  <si>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</si>
  <si>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</si>
  <si>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</si>
  <si>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</si>
  <si>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</si>
  <si>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</si>
  <si>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</si>
  <si>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</si>
  <si>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</si>
  <si>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</si>
  <si>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</si>
  <si>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</si>
  <si>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</si>
  <si>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</si>
  <si>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</si>
  <si>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</si>
  <si>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</si>
  <si>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</si>
  <si>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</si>
  <si>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</si>
  <si>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</si>
  <si>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</si>
  <si>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</si>
  <si>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</si>
  <si>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</si>
  <si>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</si>
  <si>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</si>
  <si>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</si>
  <si>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</si>
  <si>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</si>
  <si>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</si>
  <si>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</si>
  <si>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</si>
  <si>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</si>
  <si>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</si>
  <si>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</si>
  <si>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</si>
  <si>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</si>
  <si>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</si>
  <si>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</si>
  <si>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</si>
  <si>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</si>
  <si>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</si>
  <si>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</si>
  <si>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</si>
  <si>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</si>
  <si>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</si>
  <si>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</si>
  <si>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</si>
  <si>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</si>
  <si>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</si>
  <si>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</si>
  <si>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</si>
  <si>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</si>
  <si>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</si>
  <si>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</si>
  <si>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</si>
  <si>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</si>
  <si>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</si>
  <si>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</si>
  <si>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</si>
  <si>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</si>
  <si>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</si>
  <si>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</si>
  <si>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</si>
  <si>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</si>
  <si>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</si>
  <si>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</si>
  <si>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</si>
  <si>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</si>
  <si>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</si>
  <si>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</si>
  <si>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</si>
  <si>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</si>
  <si>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</si>
  <si>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</si>
  <si>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</si>
  <si>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</si>
  <si>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</si>
  <si>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</si>
  <si>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</si>
  <si>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</si>
  <si>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</si>
  <si>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</si>
  <si>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</si>
  <si>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</si>
  <si>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</si>
  <si>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</si>
  <si>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</si>
  <si>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</si>
  <si>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</si>
  <si>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</si>
  <si>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</si>
  <si>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</si>
  <si>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</si>
  <si>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</si>
  <si>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</si>
  <si>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</si>
  <si>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</si>
  <si>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</si>
  <si>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</si>
  <si>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</si>
  <si>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</si>
  <si>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</si>
  <si>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</si>
  <si>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</si>
  <si>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</si>
  <si>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</si>
  <si>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</si>
  <si>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</si>
  <si>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</si>
  <si>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</si>
  <si>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</si>
  <si>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</si>
  <si>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</si>
  <si>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</si>
  <si>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</si>
  <si>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</si>
  <si>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</si>
  <si>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</si>
  <si>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</si>
  <si>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</si>
  <si>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</si>
  <si>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</si>
  <si>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</si>
  <si>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</si>
  <si>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</si>
  <si>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</si>
  <si>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</si>
  <si>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</si>
  <si>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</si>
  <si>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</si>
  <si>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</si>
  <si>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</si>
  <si>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</si>
  <si>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</si>
  <si>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</si>
  <si>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</si>
  <si>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</si>
  <si>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</si>
  <si>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</si>
  <si>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</si>
  <si>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</si>
  <si>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</si>
  <si>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</si>
  <si>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</si>
  <si>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</si>
  <si>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</si>
  <si>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</si>
  <si>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</si>
  <si>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</si>
  <si>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</si>
  <si>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</si>
  <si>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</si>
  <si>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</si>
  <si>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</si>
  <si>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</si>
  <si>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</si>
  <si>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</si>
  <si>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</si>
  <si>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</si>
  <si>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</si>
  <si>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</si>
  <si>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</si>
  <si>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</si>
  <si>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</si>
  <si>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</si>
  <si>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</si>
  <si>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</si>
  <si>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</si>
  <si>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</si>
  <si>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</si>
  <si>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</si>
  <si>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</si>
  <si>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</si>
  <si>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</si>
  <si>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</si>
  <si>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</si>
  <si>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</si>
  <si>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</si>
  <si>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</si>
  <si>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</si>
  <si>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</si>
  <si>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</si>
  <si>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</si>
  <si>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</si>
  <si>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</si>
  <si>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</si>
  <si>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</si>
  <si>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</si>
  <si>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</si>
  <si>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</si>
  <si>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</si>
  <si>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</si>
  <si>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</si>
  <si>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</si>
  <si>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</si>
  <si>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</si>
  <si>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</si>
  <si>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</si>
  <si>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</si>
  <si>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</si>
  <si>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</si>
  <si>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</si>
  <si>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</si>
  <si>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</si>
  <si>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</si>
  <si>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</si>
  <si>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</si>
  <si>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</si>
  <si>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</si>
  <si>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</si>
  <si>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</si>
  <si>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</si>
  <si>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</si>
  <si>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</si>
  <si>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</si>
  <si>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</si>
  <si>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</si>
  <si>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</si>
  <si>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</si>
  <si>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</si>
  <si>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</si>
  <si>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</si>
  <si>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</si>
  <si>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</si>
  <si>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</si>
  <si>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</si>
  <si>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</si>
  <si>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</si>
  <si>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</si>
  <si>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</si>
  <si>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</si>
  <si>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</si>
  <si>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</si>
  <si>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</si>
  <si>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</si>
  <si>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</si>
  <si>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</si>
  <si>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</si>
  <si>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</si>
  <si>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</si>
  <si>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</si>
  <si>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</si>
  <si>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</si>
  <si>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</si>
  <si>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</si>
  <si>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</si>
  <si>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</si>
  <si>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</si>
  <si>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</si>
  <si>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</si>
  <si>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</si>
  <si>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</si>
  <si>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</si>
  <si>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</si>
  <si>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</si>
  <si>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</si>
  <si>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</si>
  <si>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</si>
  <si>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</si>
  <si>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</si>
  <si>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</si>
  <si>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</si>
  <si>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</si>
  <si>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</si>
  <si>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</si>
  <si>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</si>
  <si>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</si>
  <si>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</si>
  <si>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</si>
  <si>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</si>
  <si>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</si>
  <si>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</si>
  <si>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</si>
  <si>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</si>
  <si>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</si>
  <si>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</si>
  <si>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</si>
  <si>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</si>
  <si>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</si>
  <si>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</si>
  <si>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</si>
  <si>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</si>
  <si>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</si>
  <si>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</si>
  <si>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</si>
  <si>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</si>
  <si>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</si>
  <si>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</si>
  <si>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</si>
  <si>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</si>
  <si>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</si>
  <si>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</si>
  <si>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</si>
  <si>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</si>
  <si>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</si>
  <si>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</si>
  <si>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</si>
  <si>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</si>
  <si>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</si>
  <si>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</si>
  <si>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</si>
  <si>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</si>
  <si>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</si>
  <si>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</si>
  <si>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</si>
  <si>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</si>
  <si>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</si>
  <si>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</si>
  <si>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</si>
  <si>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</si>
  <si>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</si>
  <si>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</si>
  <si>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</si>
  <si>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</si>
  <si>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</si>
  <si>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</si>
  <si>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</si>
  <si>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</si>
  <si>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</si>
  <si>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</si>
  <si>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</si>
  <si>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</si>
  <si>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</si>
  <si>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</si>
  <si>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</si>
  <si>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</si>
  <si>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</si>
  <si>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</si>
  <si>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</si>
  <si>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</si>
  <si>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</si>
  <si>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</si>
  <si>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</si>
  <si>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</si>
  <si>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</si>
  <si>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</si>
  <si>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</si>
  <si>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</si>
  <si>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</si>
  <si>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</si>
  <si>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</si>
  <si>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</si>
  <si>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</si>
  <si>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</si>
  <si>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</si>
  <si>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</si>
  <si>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</si>
  <si>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</si>
  <si>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</si>
  <si>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</si>
  <si>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</si>
  <si>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</si>
  <si>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</si>
  <si>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</si>
  <si>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</si>
  <si>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</si>
  <si>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</si>
  <si>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</si>
  <si>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</si>
  <si>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</si>
  <si>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</si>
  <si>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</si>
  <si>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</si>
  <si>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</si>
  <si>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</si>
  <si>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</si>
  <si>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</si>
  <si>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</si>
  <si>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</si>
  <si>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</si>
  <si>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</si>
  <si>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</si>
  <si>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</si>
  <si>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</si>
  <si>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</si>
  <si>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</si>
  <si>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</si>
  <si>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</si>
  <si>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</si>
  <si>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</si>
  <si>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</si>
  <si>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</si>
  <si>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</si>
  <si>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</si>
  <si>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</si>
  <si>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</si>
  <si>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</si>
  <si>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</si>
  <si>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</si>
  <si>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</si>
  <si>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</si>
  <si>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</si>
  <si>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</si>
  <si>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</si>
  <si>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</si>
  <si>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</si>
  <si>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</si>
  <si>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</si>
  <si>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</si>
  <si>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</si>
  <si>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</si>
  <si>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</si>
  <si>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</si>
  <si>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</si>
  <si>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</si>
  <si>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</si>
  <si>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</si>
  <si>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</si>
  <si>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</si>
  <si>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</si>
  <si>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</si>
  <si>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</si>
  <si>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</si>
  <si>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</si>
  <si>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</si>
  <si>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</si>
  <si>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</si>
  <si>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</si>
  <si>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</si>
  <si>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</si>
  <si>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</si>
  <si>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</si>
  <si>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</si>
  <si>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</si>
  <si>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</si>
  <si>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</si>
  <si>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</si>
  <si>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</si>
  <si>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</si>
  <si>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</si>
  <si>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</si>
  <si>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</si>
  <si>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</si>
  <si>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</si>
  <si>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</si>
  <si>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</si>
  <si>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</si>
  <si>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</si>
  <si>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</si>
  <si>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</si>
  <si>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</si>
  <si>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</si>
  <si>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</si>
  <si>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Chohan Store</t>
  </si>
  <si>
    <t xml:space="preserve">Address: Pak Arab </t>
  </si>
  <si>
    <t xml:space="preserve">Al Yousaf </t>
  </si>
  <si>
    <t>Awan Store</t>
  </si>
  <si>
    <t>Tayaba Store</t>
  </si>
  <si>
    <t>Waleed Store</t>
  </si>
  <si>
    <t>AB Store</t>
  </si>
  <si>
    <t>Ms Store</t>
  </si>
  <si>
    <t xml:space="preserve">Itafaq Mart </t>
  </si>
  <si>
    <t xml:space="preserve">Al Fazal </t>
  </si>
  <si>
    <t>KK Store</t>
  </si>
  <si>
    <t>Khubaib Store</t>
  </si>
  <si>
    <t>Al Noor Store</t>
  </si>
  <si>
    <t xml:space="preserve">Awan 2 </t>
  </si>
  <si>
    <t>786 Store</t>
  </si>
  <si>
    <t>Shadab Store</t>
  </si>
  <si>
    <t>Khatak Store</t>
  </si>
  <si>
    <t>Rana Store</t>
  </si>
  <si>
    <t>Khan Store</t>
  </si>
  <si>
    <t>Arshad Store</t>
  </si>
  <si>
    <t>Family Store</t>
  </si>
  <si>
    <t>Ss Store</t>
  </si>
  <si>
    <t>Sher Shah Store</t>
  </si>
  <si>
    <t>Zakir Store</t>
  </si>
  <si>
    <t>A.M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</si>
</sst>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3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Chohan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Yousaf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Awan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Tayaba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75</v>
      </c>
      <c r="I7" s="235">
        <f>(G7*D7)*F7+H7*F7</f>
        <v>3934.6875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137.71406250000001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3482.1984375000002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743.64406779660976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21.129212526483052</v>
      </c>
      <c r="P7" s="310">
        <f>M7+N7+O7</f>
        <v>4246.9717178230931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15</v>
      </c>
      <c r="R7" s="313">
        <v>5</v>
      </c>
      <c r="S7" s="300" t="str">
        <f>+'5'!A6:A6</f>
        <v>Waleed Store</v>
      </c>
      <c r="T7" s="301">
        <f>+'5'!P35</f>
        <v>2352.1586888135594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15</v>
      </c>
      <c r="R8" s="313">
        <v>6</v>
      </c>
      <c r="S8" s="300" t="str">
        <f>+'6'!A6:A6</f>
        <v>AB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65</v>
      </c>
      <c r="I9" s="236">
        <f t="shared" si="0"/>
        <v>3410.0625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272.80500000000001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119.35218750000001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3017.9053125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644.49152542372849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18.311984189618641</v>
      </c>
      <c r="P9" s="311">
        <f t="shared" si="2"/>
        <v>3680.7088221133472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Ms Store</v>
      </c>
      <c r="T9" s="301">
        <f>+'7'!P35</f>
        <v>5401.2631679237284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205</v>
      </c>
      <c r="I10" s="236">
        <f t="shared" si="0"/>
        <v>14891.2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1191.2959999999998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521.19200000000001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13178.712000000001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2814.4067796610175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79.965593898305102</v>
      </c>
      <c r="P10" s="311">
        <f t="shared" si="2"/>
        <v>16073.084373559324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65</v>
      </c>
      <c r="R10" s="313">
        <v>8</v>
      </c>
      <c r="S10" s="300" t="str">
        <f>+'8'!A6:A6</f>
        <v xml:space="preserve">Itafaq Mart </v>
      </c>
      <c r="T10" s="301">
        <f>+'8'!P35</f>
        <v>16203.789503771184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150</v>
      </c>
      <c r="I11" s="236">
        <f t="shared" si="0"/>
        <v>10896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381.36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9642.9599999999991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2059.3220338983056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58.511410169491533</v>
      </c>
      <c r="P11" s="311">
        <f t="shared" si="2"/>
        <v>11760.793444067795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50</v>
      </c>
      <c r="R11" s="313">
        <v>9</v>
      </c>
      <c r="S11" s="300" t="str">
        <f>+'9'!A6:A6</f>
        <v xml:space="preserve">Al Fazal </v>
      </c>
      <c r="T11" s="301">
        <f>+'9'!P35</f>
        <v>9408.6347552542375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195</v>
      </c>
      <c r="I12" s="236">
        <f t="shared" si="0"/>
        <v>14164.8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1133.1839999999997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495.76800000000003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12535.848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2677.1186440677975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76.064833220338997</v>
      </c>
      <c r="P12" s="311">
        <f t="shared" si="2"/>
        <v>15289.031477288136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85</v>
      </c>
      <c r="R12" s="313">
        <v>10</v>
      </c>
      <c r="S12" s="300" t="str">
        <f>+'10'!A6:A6</f>
        <v>KK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Khubaib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 Noor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Awan 2 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18.75</v>
      </c>
      <c r="H16" s="113">
        <f t="shared" ref="H16:M16" si="3">SUM(H7:H15)</f>
        <v>750</v>
      </c>
      <c r="I16" s="114">
        <f t="shared" si="3"/>
        <v>50444.5</v>
      </c>
      <c r="J16" s="274">
        <f>SUM(J7:J15)</f>
        <v>4035.5599999999995</v>
      </c>
      <c r="K16" s="275">
        <f t="shared" si="3"/>
        <v>1765.5575000000001</v>
      </c>
      <c r="L16" s="276">
        <f t="shared" si="3"/>
        <v>0</v>
      </c>
      <c r="M16" s="232">
        <f t="shared" si="3"/>
        <v>44643.3825</v>
      </c>
      <c r="N16" s="233">
        <f>SUM(N7:N15)</f>
        <v>9533.8983050847455</v>
      </c>
      <c r="O16" s="101">
        <f>SUM(O7:O15)</f>
        <v>270.88640402542376</v>
      </c>
      <c r="P16" s="113">
        <f>SUM(P7:P15)</f>
        <v>54448.167209110165</v>
      </c>
      <c r="Q16" s="128">
        <f>SUM(Q7:Q15)</f>
        <v>230</v>
      </c>
      <c r="R16" s="313">
        <v>14</v>
      </c>
      <c r="S16" s="315" t="str">
        <f>+'14'!A6:A6</f>
        <v>786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Shadab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Khatak Store</v>
      </c>
      <c r="T18" s="301">
        <f>+'16'!P35</f>
        <v>784.05289627118646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50444.5</v>
      </c>
      <c r="R19" s="299">
        <v>17</v>
      </c>
      <c r="S19" s="300" t="str">
        <f>+'17'!A6:A6</f>
        <v>Rana Store</v>
      </c>
      <c r="T19" s="301">
        <f>+'17'!P35</f>
        <v>784.05289627118646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4035.5599999999995</v>
      </c>
      <c r="R20" s="299">
        <v>18</v>
      </c>
      <c r="S20" s="300" t="str">
        <f>+'18'!A6:A6</f>
        <v>Khan Store</v>
      </c>
      <c r="T20" s="301">
        <f>+'18'!P35</f>
        <v>784.05289627118646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1765.5575000000001</v>
      </c>
      <c r="R21" s="299">
        <v>19</v>
      </c>
      <c r="S21" s="300" t="str">
        <f>+'19'!A6:A6</f>
        <v>Arshad Store</v>
      </c>
      <c r="T21" s="301">
        <f>+'19'!P35</f>
        <v>784.05289627118646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44643.3825</v>
      </c>
      <c r="R22" s="299">
        <v>20</v>
      </c>
      <c r="S22" s="300" t="str">
        <f>+'20'!A6:A6</f>
        <v>Family Store</v>
      </c>
      <c r="T22" s="301">
        <f>+'20'!P35</f>
        <v>1176.0793444067797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9533.8983050847455</v>
      </c>
      <c r="R23" s="299">
        <v>21</v>
      </c>
      <c r="S23" s="300" t="str">
        <f>+'21'!A6:A6</f>
        <v>Ss Store</v>
      </c>
      <c r="T23" s="301">
        <f>+'21'!P35</f>
        <v>1176.0793444067797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54177.280805084745</v>
      </c>
      <c r="R24" s="299">
        <v>22</v>
      </c>
      <c r="S24" s="300" t="str">
        <f>+'22'!A6:A6</f>
        <v>Sher Shah Store</v>
      </c>
      <c r="T24" s="301">
        <f>+'22'!P35</f>
        <v>1176.0793444067797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270.88640402542376</v>
      </c>
      <c r="R25" s="299">
        <v>23</v>
      </c>
      <c r="S25" s="300" t="str">
        <f>+'23'!A6:A6</f>
        <v>Zakir Store</v>
      </c>
      <c r="T25" s="301">
        <f>+'23'!P35</f>
        <v>1176.0793444067797</v>
      </c>
    </row>
    <row r="26" spans="1:20" ht="21.75" customHeight="1" thickBot="1" x14ac:dyDescent="0.4">
      <c r="N26" s="374" t="s">
        <v>88</v>
      </c>
      <c r="O26" s="375"/>
      <c r="P26" s="297">
        <f>+P24+P25</f>
        <v>54448.167209110172</v>
      </c>
      <c r="R26" s="299">
        <v>24</v>
      </c>
      <c r="S26" s="300" t="str">
        <f>+'24'!A6:A6</f>
        <v>A.M Store</v>
      </c>
      <c r="T26" s="301">
        <f>+'24'!P35</f>
        <v>1568.1057925423729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54448.16720911015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16" sqref="H16: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174.33599999999998</v>
      </c>
      <c r="K25" s="275">
        <f t="shared" si="7"/>
        <v>76.272000000000006</v>
      </c>
      <c r="L25" s="276">
        <f t="shared" si="7"/>
        <v>0</v>
      </c>
      <c r="M25" s="232">
        <f t="shared" si="7"/>
        <v>1928.5919999999999</v>
      </c>
      <c r="N25" s="233">
        <f>SUM(N16:N24)</f>
        <v>411.86440677966107</v>
      </c>
      <c r="O25" s="101">
        <f>SUM(O16:O24)</f>
        <v>11.702282033898305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174.33599999999998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1200.9839999999999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13285.8855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16123.173635593219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4" t="s">
        <v>88</v>
      </c>
      <c r="O35" s="375"/>
      <c r="P35" s="297">
        <f>+P33+P34</f>
        <v>16203.789503771184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30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30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1089.5999999999999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87.167999999999992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38.136000000000003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964.29599999999994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1170.2282033898305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74" t="s">
        <v>88</v>
      </c>
      <c r="O35" s="375"/>
      <c r="P35" s="297">
        <f>+P33+P34</f>
        <v>1176.0793444067797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1089.5999999999999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87.167999999999992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38.136000000000003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964.29599999999994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1170.2282033898305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74" t="s">
        <v>88</v>
      </c>
      <c r="O35" s="375"/>
      <c r="P35" s="297">
        <f>+P33+P34</f>
        <v>1176.0793444067797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1089.5999999999999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87.167999999999992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38.136000000000003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964.29599999999994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1170.2282033898305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74" t="s">
        <v>88</v>
      </c>
      <c r="O35" s="375"/>
      <c r="P35" s="297">
        <f>+P33+P34</f>
        <v>1176.0793444067797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1089.5999999999999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87.167999999999992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38.136000000000003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964.29599999999994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1170.2282033898305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74" t="s">
        <v>88</v>
      </c>
      <c r="O35" s="375"/>
      <c r="P35" s="297">
        <f>+P33+P34</f>
        <v>1176.0793444067797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46319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2026-10-24T05:28:01Z</dcterms:modified>
</cp:coreProperties>
</file>