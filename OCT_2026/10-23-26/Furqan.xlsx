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B5C075E-EA7A-4751-BA17-C3F89BE7BBA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<sst xmlns="http://schemas.openxmlformats.org/spreadsheetml/2006/main" count="3948" uniqueCount="531">
  <si>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</si>
  <si>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</si>
  <si>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</si>
  <si>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</si>
  <si>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</si>
  <si>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</si>
  <si>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</si>
  <si>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</si>
  <si>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</si>
  <si>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</si>
  <si>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</si>
  <si>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</si>
  <si>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</si>
  <si>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</si>
  <si>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</si>
  <si>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</si>
  <si>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</si>
  <si>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</si>
  <si>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</si>
  <si>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</si>
  <si>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</si>
  <si>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</si>
  <si>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</si>
  <si>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</si>
  <si>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</si>
  <si>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</si>
  <si>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</si>
  <si>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</si>
  <si>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</si>
  <si>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</si>
  <si>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</si>
  <si>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</si>
  <si>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</si>
  <si>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</si>
  <si>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</si>
  <si>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</si>
  <si>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</si>
  <si>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</si>
  <si>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</si>
  <si>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</si>
  <si>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</si>
  <si>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</si>
  <si>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</si>
  <si>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</si>
  <si>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</si>
  <si>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</si>
  <si>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</si>
  <si>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</si>
  <si>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</si>
  <si>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</si>
  <si>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</si>
  <si>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</si>
  <si>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</si>
  <si>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</si>
  <si>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</si>
  <si>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</si>
  <si>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</si>
  <si>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</si>
  <si>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</si>
  <si>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</si>
  <si>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</si>
  <si>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</si>
  <si>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</si>
  <si>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</si>
  <si>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</si>
  <si>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</si>
  <si>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</si>
  <si>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</si>
  <si>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</si>
  <si>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</si>
  <si>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</si>
  <si>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</si>
  <si>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</si>
  <si>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</si>
  <si>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</si>
  <si>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</si>
  <si>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</si>
  <si>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</si>
  <si>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</si>
  <si>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</si>
  <si>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</si>
  <si>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</si>
  <si>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</si>
  <si>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</si>
  <si>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</si>
  <si>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</si>
  <si>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</si>
  <si>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</si>
  <si>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</si>
  <si>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</si>
  <si>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</si>
  <si>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</si>
  <si>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</si>
  <si>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</si>
  <si>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</si>
  <si>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</si>
  <si>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</si>
  <si>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</si>
  <si>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</si>
  <si>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</si>
  <si>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</si>
  <si>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</si>
  <si>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</si>
  <si>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</si>
  <si>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</si>
  <si>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</si>
  <si>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</si>
  <si>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</si>
  <si>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</si>
  <si>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</si>
  <si>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</si>
  <si>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</si>
  <si>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</si>
  <si>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</si>
  <si>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</si>
  <si>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</si>
  <si>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</si>
  <si>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</si>
  <si>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</si>
  <si>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</si>
  <si>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</si>
  <si>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</si>
  <si>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</si>
  <si>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</si>
  <si>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</si>
  <si>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</si>
  <si>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</si>
  <si>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</si>
  <si>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</si>
  <si>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</si>
  <si>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</si>
  <si>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</si>
  <si>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</si>
  <si>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</si>
  <si>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</si>
  <si>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</si>
  <si>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</si>
  <si>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</si>
  <si>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</si>
  <si>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</si>
  <si>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</si>
  <si>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</si>
  <si>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</si>
  <si>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</si>
  <si>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</si>
  <si>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</si>
  <si>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</si>
  <si>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</si>
  <si>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</si>
  <si>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</si>
  <si>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</si>
  <si>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</si>
  <si>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</si>
  <si>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</si>
  <si>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</si>
  <si>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</si>
  <si>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</si>
  <si>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</si>
  <si>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</si>
  <si>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</si>
  <si>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</si>
  <si>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</si>
  <si>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</si>
  <si>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</si>
  <si>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</si>
  <si>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</si>
  <si>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</si>
  <si>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</si>
  <si>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</si>
  <si>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</si>
  <si>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</si>
  <si>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</si>
  <si>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</si>
  <si>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</si>
  <si>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</si>
  <si>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</si>
  <si>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</si>
  <si>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</si>
  <si>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</si>
  <si>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</si>
  <si>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</si>
  <si>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</si>
  <si>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</si>
  <si>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</si>
  <si>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</si>
  <si>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</si>
  <si>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</si>
  <si>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</si>
  <si>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</si>
  <si>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</si>
  <si>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</si>
  <si>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</si>
  <si>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</si>
  <si>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</si>
  <si>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</si>
  <si>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</si>
  <si>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</si>
  <si>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</si>
  <si>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</si>
  <si>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</si>
  <si>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</si>
  <si>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</si>
  <si>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</si>
  <si>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</si>
  <si>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</si>
  <si>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</si>
  <si>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</si>
  <si>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</si>
  <si>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</si>
  <si>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</si>
  <si>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</si>
  <si>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</si>
  <si>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</si>
  <si>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</si>
  <si>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</si>
  <si>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</si>
  <si>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</si>
  <si>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</si>
  <si>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</si>
  <si>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</si>
  <si>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</si>
  <si>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</si>
  <si>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</si>
  <si>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</si>
  <si>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</si>
  <si>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</si>
  <si>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</si>
  <si>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</si>
  <si>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</si>
  <si>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</si>
  <si>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</si>
  <si>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</si>
  <si>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</si>
  <si>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</si>
  <si>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</si>
  <si>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</si>
  <si>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</si>
  <si>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</si>
  <si>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</si>
  <si>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</si>
  <si>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</si>
  <si>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</si>
  <si>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</si>
  <si>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</si>
  <si>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</si>
  <si>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</si>
  <si>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</si>
  <si>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</si>
  <si>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</si>
  <si>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</si>
  <si>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</si>
  <si>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</si>
  <si>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</si>
  <si>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</si>
  <si>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</si>
  <si>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</si>
  <si>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</si>
  <si>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</si>
  <si>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</si>
  <si>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</si>
  <si>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</si>
  <si>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</si>
  <si>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</si>
  <si>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</si>
  <si>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</si>
  <si>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</si>
  <si>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</si>
  <si>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</si>
  <si>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</si>
  <si>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</si>
  <si>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</si>
  <si>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</si>
  <si>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</si>
  <si>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</si>
  <si>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</si>
  <si>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</si>
  <si>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</si>
  <si>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</si>
  <si>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</si>
  <si>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</si>
  <si>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</si>
  <si>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</si>
  <si>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</si>
  <si>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</si>
  <si>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</si>
  <si>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</si>
  <si>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</si>
  <si>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</si>
  <si>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</si>
  <si>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</si>
  <si>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</si>
  <si>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</si>
  <si>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</si>
  <si>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</si>
  <si>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</si>
  <si>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</si>
  <si>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</si>
  <si>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</si>
  <si>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</si>
  <si>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</si>
  <si>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</si>
  <si>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</si>
  <si>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</si>
  <si>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</si>
  <si>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</si>
  <si>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</si>
  <si>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</si>
  <si>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</si>
  <si>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</si>
  <si>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</si>
  <si>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</si>
  <si>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</si>
  <si>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</si>
  <si>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</si>
  <si>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</si>
  <si>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</si>
  <si>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</si>
  <si>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</si>
  <si>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</si>
  <si>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</si>
  <si>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</si>
  <si>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</si>
  <si>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</si>
  <si>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</si>
  <si>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</si>
  <si>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</si>
  <si>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</si>
  <si>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</si>
  <si>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</si>
  <si>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</si>
  <si>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</si>
  <si>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</si>
  <si>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</si>
  <si>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</si>
  <si>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</si>
  <si>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</si>
  <si>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</si>
  <si>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</si>
  <si>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</si>
  <si>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</si>
  <si>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</si>
  <si>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</si>
  <si>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</si>
  <si>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</si>
  <si>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</si>
  <si>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</si>
  <si>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</si>
  <si>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</si>
  <si>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</si>
  <si>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</si>
  <si>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</si>
  <si>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</si>
  <si>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</si>
  <si>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</si>
  <si>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</si>
  <si>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</si>
  <si>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</si>
  <si>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</si>
  <si>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</si>
  <si>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</si>
  <si>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</si>
  <si>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</si>
  <si>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</si>
  <si>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</si>
  <si>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</si>
  <si>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</si>
  <si>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</si>
  <si>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</si>
  <si>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</si>
  <si>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</si>
  <si>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</si>
  <si>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</si>
  <si>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</si>
  <si>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</si>
  <si>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</si>
  <si>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</si>
  <si>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</si>
  <si>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</si>
  <si>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</si>
  <si>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</si>
  <si>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</si>
  <si>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</si>
  <si>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</si>
  <si>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</si>
  <si>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</si>
  <si>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</si>
  <si>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</si>
  <si>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</si>
  <si>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</si>
  <si>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</si>
  <si>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</si>
  <si>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</si>
  <si>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</si>
  <si>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</si>
  <si>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</si>
  <si>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</si>
  <si>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</si>
  <si>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</si>
  <si>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</si>
  <si>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</si>
  <si>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</si>
  <si>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</si>
  <si>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</si>
  <si>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</si>
  <si>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</si>
  <si>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</si>
  <si>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</si>
  <si>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</si>
  <si>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</si>
  <si>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</si>
  <si>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</si>
  <si>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</si>
  <si>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</si>
  <si>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</si>
  <si>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</si>
  <si>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</si>
  <si>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</si>
  <si>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</si>
  <si>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</si>
  <si>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</si>
  <si>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</si>
  <si>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</si>
  <si>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</si>
  <si>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</si>
  <si>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</si>
  <si>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</si>
  <si>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</si>
  <si>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</si>
  <si>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</si>
  <si>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</si>
  <si>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</si>
  <si>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</si>
  <si>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</si>
  <si>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</si>
  <si>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</si>
  <si>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</si>
  <si>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</si>
  <si>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</si>
  <si>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</si>
  <si>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</si>
  <si>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</si>
  <si>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</si>
  <si>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</si>
  <si>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</si>
  <si>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</si>
  <si>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</si>
  <si>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</si>
  <si>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</si>
  <si>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</si>
  <si>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</si>
  <si>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</si>
  <si>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</si>
  <si>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</si>
  <si>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</si>
  <si>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</si>
  <si>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</si>
  <si>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</si>
  <si>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</si>
  <si>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</si>
  <si>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</si>
  <si>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</si>
  <si>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</si>
  <si>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</si>
  <si>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</si>
  <si>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</si>
  <si>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</si>
  <si>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</si>
  <si>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</si>
  <si>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</si>
  <si>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</si>
  <si>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</si>
  <si>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</si>
  <si>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</si>
  <si>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</si>
  <si>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</si>
  <si>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</si>
  <si>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</si>
  <si>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</si>
  <si>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</si>
  <si>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</si>
  <si>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</si>
  <si>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</si>
  <si>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</si>
  <si>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</si>
  <si>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</si>
  <si>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</si>
  <si>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</si>
  <si>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</si>
  <si>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</si>
  <si>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</si>
  <si>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</si>
  <si>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</si>
  <si>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</si>
  <si>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</si>
  <si>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</si>
  <si>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</si>
  <si>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</si>
  <si>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</si>
  <si>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</si>
  <si>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</si>
  <si>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</si>
  <si>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</si>
  <si>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</si>
  <si>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</si>
  <si>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</si>
  <si>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</si>
  <si>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</si>
  <si>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</si>
  <si>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</si>
  <si>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</si>
  <si>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</si>
  <si>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</si>
  <si>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</si>
  <si>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</si>
  <si>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</si>
  <si>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 xml:space="preserve">Bakhtawer Bakery </t>
  </si>
  <si>
    <t>Address: Makkah Colony</t>
  </si>
  <si>
    <t xml:space="preserve">Ajwa Bakery </t>
  </si>
  <si>
    <t>Khan GS</t>
  </si>
  <si>
    <t>Ghos GS</t>
  </si>
  <si>
    <t>Address: Firdos Market</t>
  </si>
  <si>
    <t>Mughal Store</t>
  </si>
  <si>
    <t>Address: 7Street Bazar</t>
  </si>
  <si>
    <t xml:space="preserve">Geo GS </t>
  </si>
  <si>
    <t>Dogar Store</t>
  </si>
  <si>
    <t xml:space="preserve">Address: 7 Street </t>
  </si>
  <si>
    <t>New Alfalah Bakey</t>
  </si>
  <si>
    <t>Address: LDA Flates</t>
  </si>
  <si>
    <t>Hafiz GS</t>
  </si>
  <si>
    <t>Address: Railway Officer Colony</t>
  </si>
  <si>
    <t xml:space="preserve">Prince Bakery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</si>
</sst>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4" workbookViewId="0">
      <selection activeCell="F30" sqref="F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Bakhtawer Bakery </v>
      </c>
      <c r="T3" s="301">
        <f>+'1'!P35</f>
        <v>4268.7373765042375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Ajwa Bakery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Khan GS</v>
      </c>
      <c r="T5" s="301">
        <f>+'3'!P35</f>
        <v>1568.1057925423729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Ghos GS</v>
      </c>
      <c r="T6" s="301">
        <f>+'4'!P35</f>
        <v>940.86347552542372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47</v>
      </c>
      <c r="I7" s="235">
        <f>(G7*D7)*F7+H7*F7</f>
        <v>2465.7374999999997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197.25899999999999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86.300812500000006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2182.1776874999996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466.01694915254217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13.240973183262712</v>
      </c>
      <c r="P7" s="310">
        <f>M7+N7+O7</f>
        <v>2661.4356098358044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Mughal Store</v>
      </c>
      <c r="T7" s="301">
        <f>+'5'!P35</f>
        <v>2090.8106881398307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26</v>
      </c>
      <c r="I8" s="236">
        <f t="shared" ref="I8:I14" si="0">(G8*D8)*F8+H8*F8</f>
        <v>1364.0249999999999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109.122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47.740875000000003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1207.1621249999998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257.79661016949143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7.3247936758474577</v>
      </c>
      <c r="P8" s="311">
        <f t="shared" ref="P8:P15" si="2">M8+N8+O8</f>
        <v>1472.2835288453389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Geo GS </v>
      </c>
      <c r="T8" s="301">
        <f>+'6'!P35</f>
        <v>2265.051582838983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63</v>
      </c>
      <c r="I9" s="236">
        <f t="shared" si="0"/>
        <v>3305.1374999999998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264.411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115.6798125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2925.0466874999997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624.66101694915233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17.748538522245763</v>
      </c>
      <c r="P9" s="311">
        <f t="shared" si="2"/>
        <v>3567.4562429713978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Dogar Store</v>
      </c>
      <c r="T9" s="301">
        <f>+'7'!P35</f>
        <v>1620.3789503771186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102</v>
      </c>
      <c r="I10" s="236">
        <f t="shared" si="0"/>
        <v>7409.28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592.74240000000009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259.32480000000004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6557.2127999999993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1400.3389830508474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39.787758915254237</v>
      </c>
      <c r="P10" s="311">
        <f t="shared" si="2"/>
        <v>7997.339541966101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New Alfalah Bakey</v>
      </c>
      <c r="T10" s="301">
        <f>+'8'!P35</f>
        <v>5401.2631679237284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41</v>
      </c>
      <c r="I11" s="236">
        <f t="shared" si="0"/>
        <v>2978.2400000000002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238.25920000000002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104.23840000000001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2635.7424000000001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562.88135593220341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15.993118779661017</v>
      </c>
      <c r="P11" s="311">
        <f t="shared" si="2"/>
        <v>3214.6168747118645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Hafiz GS</v>
      </c>
      <c r="T11" s="301">
        <f>+'9'!P35</f>
        <v>470.43173776271186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45</v>
      </c>
      <c r="I12" s="236">
        <f t="shared" si="0"/>
        <v>3268.8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261.50400000000002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114.40800000000002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2892.8879999999999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617.7966101694916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17.55342305084746</v>
      </c>
      <c r="P12" s="311">
        <f t="shared" si="2"/>
        <v>3528.2380332203388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Prince Bakery </v>
      </c>
      <c r="T12" s="301">
        <f>+'10'!P35</f>
        <v>679.51547485169476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8.1</v>
      </c>
      <c r="H16" s="113">
        <f t="shared" ref="H16:M16" si="3">SUM(H7:H15)</f>
        <v>324</v>
      </c>
      <c r="I16" s="114">
        <f t="shared" si="3"/>
        <v>20791.22</v>
      </c>
      <c r="J16" s="274">
        <f>SUM(J7:J15)</f>
        <v>1663.2975999999999</v>
      </c>
      <c r="K16" s="275">
        <f t="shared" si="3"/>
        <v>727.69270000000017</v>
      </c>
      <c r="L16" s="276">
        <f t="shared" si="3"/>
        <v>0</v>
      </c>
      <c r="M16" s="232">
        <f t="shared" si="3"/>
        <v>18400.229699999996</v>
      </c>
      <c r="N16" s="233">
        <f>SUM(N7:N15)</f>
        <v>3929.491525423728</v>
      </c>
      <c r="O16" s="101">
        <f>SUM(O7:O15)</f>
        <v>111.64860612711864</v>
      </c>
      <c r="P16" s="113">
        <f>SUM(P7:P15)</f>
        <v>22441.369831550845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20791.22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1663.2975999999999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727.69270000000017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18400.229700000004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3929.491525423728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22329.721225423731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111.64860612711864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22441.369831550848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22441.369831550848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7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7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7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3954.8500000000004</v>
      </c>
      <c r="J25" s="274">
        <f>SUM(J16:J24)</f>
        <v>316.38800000000003</v>
      </c>
      <c r="K25" s="275">
        <f t="shared" si="10"/>
        <v>138.41975000000002</v>
      </c>
      <c r="L25" s="276">
        <f t="shared" si="10"/>
        <v>0</v>
      </c>
      <c r="M25" s="232">
        <f t="shared" si="10"/>
        <v>3500.0422500000004</v>
      </c>
      <c r="N25" s="233">
        <f>SUM(N16:N24)</f>
        <v>747.45762711864404</v>
      </c>
      <c r="O25" s="101">
        <f>SUM(O16:O24)</f>
        <v>21.237499385593225</v>
      </c>
      <c r="P25" s="234">
        <f>SUM(P16:P24)</f>
        <v>4268.7373765042375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3954.8500000000004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316.38800000000003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138.41975000000002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3500.0422500000004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747.45762711864404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4247.4998771186447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21.237499385593225</v>
      </c>
    </row>
    <row r="35" spans="2:16" ht="15.75" customHeight="1" thickBot="1" x14ac:dyDescent="0.4">
      <c r="N35" s="374" t="s">
        <v>88</v>
      </c>
      <c r="O35" s="375"/>
      <c r="P35" s="297">
        <f>+P33+P34</f>
        <v>4268.7373765042375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24</v>
      </c>
      <c r="I19" s="236">
        <f t="shared" si="0"/>
        <v>1743.3600000000001</v>
      </c>
      <c r="J19" s="272">
        <f t="shared" si="1"/>
        <v>139.46880000000002</v>
      </c>
      <c r="K19" s="128">
        <f t="shared" si="1"/>
        <v>61.017600000000009</v>
      </c>
      <c r="L19" s="119">
        <f t="shared" si="1"/>
        <v>0</v>
      </c>
      <c r="M19" s="230">
        <f t="shared" si="2"/>
        <v>1542.8736000000001</v>
      </c>
      <c r="N19" s="277">
        <f t="shared" si="3"/>
        <v>329.49152542372883</v>
      </c>
      <c r="O19" s="239">
        <f t="shared" si="4"/>
        <v>9.3618256271186446</v>
      </c>
      <c r="P19" s="119">
        <f t="shared" si="5"/>
        <v>1881.7269510508474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1937.0700000000002</v>
      </c>
      <c r="J25" s="274">
        <f>SUM(J16:J24)</f>
        <v>154.96559999999999</v>
      </c>
      <c r="K25" s="275">
        <f t="shared" si="7"/>
        <v>67.797450000000012</v>
      </c>
      <c r="L25" s="276">
        <f t="shared" si="7"/>
        <v>0</v>
      </c>
      <c r="M25" s="232">
        <f t="shared" si="7"/>
        <v>1714.3069499999999</v>
      </c>
      <c r="N25" s="233">
        <f>SUM(N16:N24)</f>
        <v>366.10169491525426</v>
      </c>
      <c r="O25" s="101">
        <f>SUM(O16:O24)</f>
        <v>10.402043224576271</v>
      </c>
      <c r="P25" s="234">
        <f>SUM(P16:P24)</f>
        <v>2090.8106881398303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1937.0700000000002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154.96559999999999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67.797450000000012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1714.3069500000001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366.10169491525426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2080.4086449152546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10.402043224576273</v>
      </c>
    </row>
    <row r="35" spans="2:16" ht="15.75" customHeight="1" thickBot="1" x14ac:dyDescent="0.4">
      <c r="N35" s="374" t="s">
        <v>88</v>
      </c>
      <c r="O35" s="375"/>
      <c r="P35" s="297">
        <f>+P33+P34</f>
        <v>2090.8106881398307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1501.23</v>
      </c>
      <c r="J25" s="274">
        <f>SUM(J16:J24)</f>
        <v>120.0984</v>
      </c>
      <c r="K25" s="275">
        <f t="shared" si="7"/>
        <v>52.543050000000008</v>
      </c>
      <c r="L25" s="276">
        <f t="shared" si="7"/>
        <v>0</v>
      </c>
      <c r="M25" s="232">
        <f t="shared" si="7"/>
        <v>1328.5885499999999</v>
      </c>
      <c r="N25" s="233">
        <f>SUM(N16:N24)</f>
        <v>283.72881355932202</v>
      </c>
      <c r="O25" s="101">
        <f>SUM(O16:O24)</f>
        <v>8.0615868177966092</v>
      </c>
      <c r="P25" s="234">
        <f>SUM(P16:P24)</f>
        <v>1620.3789503771186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1501.23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120.0984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52.543050000000008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1328.5885499999999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1612.3173635593221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8.061586817796611</v>
      </c>
    </row>
    <row r="35" spans="2:16" ht="15.75" customHeight="1" thickBot="1" x14ac:dyDescent="0.4">
      <c r="N35" s="374" t="s">
        <v>88</v>
      </c>
      <c r="O35" s="375"/>
      <c r="P35" s="297">
        <f>+P33+P34</f>
        <v>1620.3789503771186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2026-10-23T04:27:23Z</dcterms:modified>
</cp:coreProperties>
</file>