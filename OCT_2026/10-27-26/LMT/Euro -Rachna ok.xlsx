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9EC4544-9D92-479B-9570-CF2F15670FEA}" xr6:coauthVersionLast="47" xr6:coauthVersionMax="47" xr10:uidLastSave="{00000000-0000-0000-0000-000000000000}"/>
  <bookViews>
    <workbookView xWindow="-110" yWindow="-110" windowWidth="19420" windowHeight="10420" tabRatio="871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8" l="1"/>
  <c r="M20" i="53"/>
  <c r="O20" i="53" s="1"/>
  <c r="P20" i="53" s="1"/>
  <c r="R20" i="53" s="1"/>
  <c r="M21" i="52"/>
  <c r="O21" i="52" s="1"/>
  <c r="P21" i="52" s="1"/>
  <c r="J25" i="61"/>
  <c r="P29" i="61" s="1"/>
  <c r="M17" i="56"/>
  <c r="O17" i="56" s="1"/>
  <c r="P17" i="56" s="1"/>
  <c r="M20" i="57"/>
  <c r="O20" i="57" s="1"/>
  <c r="P20" i="57" s="1"/>
  <c r="R20" i="57" s="1"/>
  <c r="M16" i="59"/>
  <c r="M20" i="43"/>
  <c r="O20" i="43" s="1"/>
  <c r="P20" i="43" s="1"/>
  <c r="J7" i="62"/>
  <c r="M17" i="44"/>
  <c r="O17" i="44" s="1"/>
  <c r="P17" i="44" s="1"/>
  <c r="M21" i="44"/>
  <c r="O21" i="44" s="1"/>
  <c r="P21" i="44" s="1"/>
  <c r="K12" i="62"/>
  <c r="M16" i="44"/>
  <c r="O16" i="44" s="1"/>
  <c r="M17" i="60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O21" i="50"/>
  <c r="M12" i="62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P34" i="43"/>
  <c r="P35" i="43" s="1"/>
  <c r="T4" i="62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<sst xmlns="http://schemas.openxmlformats.org/spreadsheetml/2006/main" count="3978" uniqueCount="518">
  <si>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</si>
  <si>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</si>
  <si>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</si>
  <si>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</si>
  <si>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</si>
  <si>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</si>
  <si>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</si>
  <si>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</si>
  <si>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</si>
  <si>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</si>
  <si>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</si>
  <si>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</si>
  <si>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</si>
  <si>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</si>
  <si>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</si>
  <si>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</si>
  <si>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</si>
  <si>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</si>
  <si>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</si>
  <si>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</si>
  <si>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</si>
  <si>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</si>
  <si>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</si>
  <si>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</si>
  <si>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</si>
  <si>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</si>
  <si>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</si>
  <si>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</si>
  <si>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</si>
  <si>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</si>
  <si>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</si>
  <si>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</si>
  <si>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</si>
  <si>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</si>
  <si>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</si>
  <si>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</si>
  <si>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</si>
  <si>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</si>
  <si>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</si>
  <si>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</si>
  <si>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</si>
  <si>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</si>
  <si>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</si>
  <si>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</si>
  <si>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</si>
  <si>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</si>
  <si>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</si>
  <si>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</si>
  <si>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</si>
  <si>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</si>
  <si>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</si>
  <si>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</si>
  <si>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</si>
  <si>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</si>
  <si>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</si>
  <si>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</si>
  <si>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</si>
  <si>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</si>
  <si>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</si>
  <si>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</si>
  <si>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</si>
  <si>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</si>
  <si>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</si>
  <si>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</si>
  <si>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</si>
  <si>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</si>
  <si>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</si>
  <si>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</si>
  <si>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</si>
  <si>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</si>
  <si>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</si>
  <si>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</si>
  <si>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</si>
  <si>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</si>
  <si>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</si>
  <si>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</si>
  <si>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</si>
  <si>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</si>
  <si>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</si>
  <si>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</si>
  <si>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</si>
  <si>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</si>
  <si>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</si>
  <si>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</si>
  <si>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</si>
  <si>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</si>
  <si>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</si>
  <si>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</si>
  <si>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</si>
  <si>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</si>
  <si>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</si>
  <si>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</si>
  <si>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</si>
  <si>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</si>
  <si>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</si>
  <si>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</si>
  <si>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</si>
  <si>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</si>
  <si>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</si>
  <si>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</si>
  <si>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</si>
  <si>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</si>
  <si>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</si>
  <si>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</si>
  <si>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</si>
  <si>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</si>
  <si>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</si>
  <si>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</si>
  <si>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</si>
  <si>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</si>
  <si>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</si>
  <si>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</si>
  <si>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</si>
  <si>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</si>
  <si>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</si>
  <si>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</si>
  <si>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</si>
  <si>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</si>
  <si>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</si>
  <si>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</si>
  <si>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</si>
  <si>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</si>
  <si>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</si>
  <si>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</si>
  <si>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</si>
  <si>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</si>
  <si>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</si>
  <si>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</si>
  <si>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</si>
  <si>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</si>
  <si>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</si>
  <si>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</si>
  <si>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</si>
  <si>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</si>
  <si>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</si>
  <si>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</si>
  <si>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</si>
  <si>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</si>
  <si>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</si>
  <si>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</si>
  <si>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</si>
  <si>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</si>
  <si>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</si>
  <si>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</si>
  <si>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</si>
  <si>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</si>
  <si>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</si>
  <si>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</si>
  <si>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</si>
  <si>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</si>
  <si>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</si>
  <si>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</si>
  <si>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</si>
  <si>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</si>
  <si>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</si>
  <si>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</si>
  <si>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</si>
  <si>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</si>
  <si>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</si>
  <si>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</si>
  <si>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</si>
  <si>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</si>
  <si>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</si>
  <si>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</si>
  <si>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</si>
  <si>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</si>
  <si>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</si>
  <si>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</si>
  <si>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</si>
  <si>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</si>
  <si>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</si>
  <si>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</si>
  <si>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</si>
  <si>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</si>
  <si>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</si>
  <si>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</si>
  <si>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</si>
  <si>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</si>
  <si>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</si>
  <si>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</si>
  <si>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</si>
  <si>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</si>
  <si>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</si>
  <si>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</si>
  <si>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</si>
  <si>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</si>
  <si>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</si>
  <si>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</si>
  <si>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</si>
  <si>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</si>
  <si>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</si>
  <si>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</si>
  <si>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</si>
  <si>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</si>
  <si>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</si>
  <si>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</si>
  <si>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</si>
  <si>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</si>
  <si>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</si>
  <si>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</si>
  <si>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</si>
  <si>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</si>
  <si>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</si>
  <si>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</si>
  <si>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</si>
  <si>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</si>
  <si>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</si>
  <si>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</si>
  <si>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</si>
  <si>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</si>
  <si>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</si>
  <si>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</si>
  <si>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</si>
  <si>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</si>
  <si>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</si>
  <si>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</si>
  <si>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</si>
  <si>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</si>
  <si>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</si>
  <si>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</si>
  <si>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</si>
  <si>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</si>
  <si>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</si>
  <si>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</si>
  <si>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</si>
  <si>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</si>
  <si>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</si>
  <si>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</si>
  <si>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</si>
  <si>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</si>
  <si>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</si>
  <si>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</si>
  <si>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</si>
  <si>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</si>
  <si>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</si>
  <si>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</si>
  <si>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</si>
  <si>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</si>
  <si>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</si>
  <si>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</si>
  <si>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</si>
  <si>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</si>
  <si>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</si>
  <si>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</si>
  <si>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</si>
  <si>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</si>
  <si>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</si>
  <si>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</si>
  <si>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</si>
  <si>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</si>
  <si>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</si>
  <si>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</si>
  <si>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</si>
  <si>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</si>
  <si>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</si>
  <si>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</si>
  <si>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</si>
  <si>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</si>
  <si>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</si>
  <si>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</si>
  <si>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</si>
  <si>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</si>
  <si>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</si>
  <si>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</si>
  <si>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</si>
  <si>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</si>
  <si>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</si>
  <si>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</si>
  <si>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</si>
  <si>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</si>
  <si>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</si>
  <si>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</si>
  <si>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</si>
  <si>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</si>
  <si>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</si>
  <si>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</si>
  <si>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</si>
  <si>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</si>
  <si>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</si>
  <si>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</si>
  <si>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</si>
  <si>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</si>
  <si>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</si>
  <si>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</si>
  <si>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</si>
  <si>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</si>
  <si>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</si>
  <si>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</si>
  <si>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</si>
  <si>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</si>
  <si>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</si>
  <si>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</si>
  <si>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</si>
  <si>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</si>
  <si>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</si>
  <si>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</si>
  <si>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</si>
  <si>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</si>
  <si>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</si>
  <si>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</si>
  <si>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</si>
  <si>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</si>
  <si>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</si>
  <si>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</si>
  <si>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</si>
  <si>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</si>
  <si>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</si>
  <si>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</si>
  <si>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</si>
  <si>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</si>
  <si>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</si>
  <si>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</si>
  <si>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</si>
  <si>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</si>
  <si>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</si>
  <si>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</si>
  <si>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</si>
  <si>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</si>
  <si>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</si>
  <si>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</si>
  <si>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</si>
  <si>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</si>
  <si>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</si>
  <si>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</si>
  <si>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</si>
  <si>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</si>
  <si>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</si>
  <si>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</si>
  <si>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</si>
  <si>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</si>
  <si>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</si>
  <si>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</si>
  <si>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</si>
  <si>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</si>
  <si>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</si>
  <si>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</si>
  <si>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</si>
  <si>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</si>
  <si>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</si>
  <si>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</si>
  <si>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</si>
  <si>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</si>
  <si>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</si>
  <si>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</si>
  <si>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</si>
  <si>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</si>
  <si>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</si>
  <si>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</si>
  <si>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</si>
  <si>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</si>
  <si>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</si>
  <si>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</si>
  <si>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</si>
  <si>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</si>
  <si>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</si>
  <si>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</si>
  <si>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</si>
  <si>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</si>
  <si>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</si>
  <si>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</si>
  <si>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</si>
  <si>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</si>
  <si>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</si>
  <si>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</si>
  <si>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</si>
  <si>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</si>
  <si>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</si>
  <si>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</si>
  <si>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</si>
  <si>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</si>
  <si>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</si>
  <si>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</si>
  <si>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</si>
  <si>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</si>
  <si>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</si>
  <si>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</si>
  <si>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</si>
  <si>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</si>
  <si>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</si>
  <si>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</si>
  <si>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</si>
  <si>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</si>
  <si>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</si>
  <si>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</si>
  <si>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</si>
  <si>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</si>
  <si>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</si>
  <si>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</si>
  <si>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</si>
  <si>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</si>
  <si>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</si>
  <si>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</si>
  <si>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</si>
  <si>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</si>
  <si>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</si>
  <si>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</si>
  <si>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</si>
  <si>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</si>
  <si>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</si>
  <si>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</si>
  <si>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</si>
  <si>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</si>
  <si>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</si>
  <si>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</si>
  <si>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</si>
  <si>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</si>
  <si>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</si>
  <si>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</si>
  <si>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</si>
  <si>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</si>
  <si>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</si>
  <si>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</si>
  <si>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</si>
  <si>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</si>
  <si>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</si>
  <si>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</si>
  <si>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</si>
  <si>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</si>
  <si>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</si>
  <si>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</si>
  <si>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</si>
  <si>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</si>
  <si>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</si>
  <si>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</si>
  <si>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</si>
  <si>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</si>
  <si>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</si>
  <si>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</si>
  <si>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</si>
  <si>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</si>
  <si>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</si>
  <si>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</si>
  <si>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</si>
  <si>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</si>
  <si>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</si>
  <si>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</si>
  <si>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</si>
  <si>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</si>
  <si>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</si>
  <si>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</si>
  <si>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</si>
  <si>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</si>
  <si>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</si>
  <si>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</si>
  <si>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</si>
  <si>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</si>
  <si>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</si>
  <si>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</si>
  <si>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</si>
  <si>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</si>
  <si>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</si>
  <si>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</si>
  <si>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</si>
  <si>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</si>
  <si>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</si>
  <si>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</si>
  <si>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</si>
  <si>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</si>
  <si>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</si>
  <si>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</si>
  <si>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</si>
  <si>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</si>
  <si>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</si>
  <si>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</si>
  <si>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</si>
  <si>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</si>
  <si>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</si>
  <si>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</si>
  <si>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</si>
  <si>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</si>
  <si>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</si>
  <si>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</si>
  <si>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</si>
  <si>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</si>
  <si>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</si>
  <si>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</si>
  <si>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</si>
  <si>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</si>
  <si>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</si>
  <si>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</si>
  <si>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</si>
  <si>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</si>
  <si>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</si>
  <si>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</si>
  <si>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</si>
  <si>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</si>
  <si>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</si>
  <si>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</si>
  <si>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</si>
  <si>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</si>
  <si>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</si>
  <si>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</si>
  <si>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</si>
  <si>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</si>
  <si>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</si>
  <si>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</si>
  <si>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</si>
  <si>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</si>
  <si>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</si>
  <si>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</si>
  <si>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</si>
  <si>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</si>
  <si>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</si>
  <si>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</si>
  <si>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</si>
  <si>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</si>
  <si>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</si>
  <si>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</si>
  <si>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</si>
  <si>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</si>
  <si>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</si>
  <si>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</si>
  <si>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</si>
  <si>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>ok</t>
  </si>
  <si>
    <t>Euro Store Iqbal Town (Ranchna)</t>
  </si>
  <si>
    <t xml:space="preserve">Address:  Rachna </t>
  </si>
  <si>
    <t>NTN #: E757686-3</t>
  </si>
  <si>
    <t>Invoice No # :1564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</si>
</sst>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3" fontId="17" fillId="0" borderId="55" xfId="0" applyNumberFormat="1" applyFont="1" applyBorder="1" applyAlignment="1">
      <alignment horizontal="center" vertical="top" shrinkToFit="1"/>
    </xf>
    <xf numFmtId="0" fontId="0" fillId="0" borderId="3" xfId="0" applyBorder="1"/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13" workbookViewId="0">
      <selection activeCell="S19" sqref="S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512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f ca="1">TODAY()</f>
        <v>46323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Euro Store Iqbal Town (Ranchna)</v>
      </c>
      <c r="T3" s="301">
        <f>+'1'!P35</f>
        <v>13929.064852356993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 Iqbal Town (Ranchna)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Euro Store Iqbal Town (Ranchna)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Euro Store Iqbal Town (Ranchna)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09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Euro Store Iqbal Town (Ranchna)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39</v>
      </c>
      <c r="I8" s="236">
        <f t="shared" ref="I8:I14" si="0">(G8*D8)*F8+H8*F8</f>
        <v>2046.0374999999999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286.44524999999999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71.611312499999997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1687.9809375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386.69491525423712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10.373379263771184</v>
      </c>
      <c r="P8" s="310">
        <f t="shared" ref="P8:P15" si="2">M8+N8+O8</f>
        <v>2085.0492320180083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</v>
      </c>
      <c r="R8" s="313">
        <v>6</v>
      </c>
      <c r="S8" s="300" t="str">
        <f>+'6'!A6:A6</f>
        <v>Euro Store Iqbal Town (Ranchna)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0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Euro Store Iqbal Town (Ranchna)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0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Euro Store Iqbal Town (Ranchna)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406.78400000000005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2397.12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14.731362711864406</v>
      </c>
      <c r="P11" s="310">
        <f t="shared" si="2"/>
        <v>2961.0039050847454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Euro Store Iqbal Town (Ranchna)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1220.3520000000001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7191.3599999999988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44.194088135593212</v>
      </c>
      <c r="P12" s="310">
        <f t="shared" si="2"/>
        <v>8883.0117152542352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Euro Store Iqbal Town (Ranchna)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Euro Store Iqbal Town (Ranchna)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Euro Store Iqbal Town (Ranchna)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Euro Store Iqbal Town (Ranchna)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4.9749999999999996</v>
      </c>
      <c r="H16" s="113">
        <f t="shared" ref="H16:M16" si="3">SUM(H7:H15)</f>
        <v>199</v>
      </c>
      <c r="I16" s="114">
        <f t="shared" si="3"/>
        <v>13668.4375</v>
      </c>
      <c r="J16" s="274">
        <f>SUM(J7:J15)</f>
        <v>1913.5812500000002</v>
      </c>
      <c r="K16" s="275">
        <f t="shared" si="3"/>
        <v>478.39531250000005</v>
      </c>
      <c r="L16" s="276">
        <f t="shared" si="3"/>
        <v>0</v>
      </c>
      <c r="M16" s="232">
        <f t="shared" si="3"/>
        <v>11276.460937499998</v>
      </c>
      <c r="N16" s="233">
        <f>SUM(N7:N15)</f>
        <v>2583.3050847457625</v>
      </c>
      <c r="O16" s="101">
        <f>SUM(O7:O15)</f>
        <v>69.298830111228796</v>
      </c>
      <c r="P16" s="113">
        <f>SUM(P7:P15)</f>
        <v>13929.064852356989</v>
      </c>
      <c r="Q16" s="128">
        <f>SUM(Q7:Q15)</f>
        <v>1</v>
      </c>
      <c r="R16" s="313">
        <v>14</v>
      </c>
      <c r="S16" s="300" t="str">
        <f>+'14'!A6:A6</f>
        <v>Euro Store Iqbal Town (Ranchna)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Euro Store Iqbal Town (Ranchna)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Euro Store Iqbal Town (Ranchna)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13668.4375</v>
      </c>
      <c r="R19" s="299">
        <v>17</v>
      </c>
      <c r="S19" s="300" t="str">
        <f>+'17'!A6:A6</f>
        <v>Euro Store Iqbal Town (Ranchna)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1913.5812500000002</v>
      </c>
      <c r="R20" s="299">
        <v>18</v>
      </c>
      <c r="S20" s="300" t="str">
        <f>+'18'!A6:A6</f>
        <v>Euro Store Iqbal Town (Ranchna)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478.39531250000005</v>
      </c>
      <c r="R21" s="299">
        <v>19</v>
      </c>
      <c r="S21" s="300" t="str">
        <f>+'19'!A6:A6</f>
        <v>Euro Store Iqbal Town (Ranchna)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11276.4609375</v>
      </c>
      <c r="R22" s="299">
        <v>20</v>
      </c>
      <c r="S22" s="300" t="str">
        <f>+'20'!A6:A6</f>
        <v>Euro Store Iqbal Town (Ranchna)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2583.3050847457625</v>
      </c>
      <c r="R23" s="299">
        <v>21</v>
      </c>
      <c r="S23" s="300" t="str">
        <f>+'21'!A6:A6</f>
        <v>Euro Store Iqbal Town (Ranchna)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13859.766022245763</v>
      </c>
      <c r="R24" s="299">
        <v>22</v>
      </c>
      <c r="S24" s="300" t="str">
        <f>+'22'!A6:A6</f>
        <v>Euro Store Iqbal Town (Ranchna)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69.298830111228796</v>
      </c>
      <c r="R25" s="299">
        <v>23</v>
      </c>
      <c r="S25" s="300" t="str">
        <f>+'23'!A6:A6</f>
        <v>Euro Store Iqbal Town (Ranchna)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13929.064852356993</v>
      </c>
      <c r="R26" s="299">
        <v>24</v>
      </c>
      <c r="S26" s="300" t="str">
        <f>+'24'!A6:A6</f>
        <v>Euro Store Iqbal Town (Ranchna)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Euro Store Iqbal Town (Ranchna)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Euro Store Iqbal Town (Ranchna)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Euro Store Iqbal Town (Ranchna)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Euro Store Iqbal Town (Ranchna)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Euro Store Iqbal Town (Ranchna)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Euro Store Iqbal Town (Ranchna)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13929.064852356993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500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39</v>
      </c>
      <c r="I17" s="236">
        <f t="shared" ref="I17:I23" si="0">(G17*D17)*F17+H17*F17</f>
        <v>2046.0374999999999</v>
      </c>
      <c r="J17" s="272">
        <f t="shared" ref="J17:L24" si="1">$I17*S17</f>
        <v>286.44524999999999</v>
      </c>
      <c r="K17" s="128">
        <f>$I17*T17</f>
        <v>71.611312499999997</v>
      </c>
      <c r="L17" s="119">
        <f>$I17*U17</f>
        <v>0</v>
      </c>
      <c r="M17" s="230">
        <f t="shared" ref="M17:M24" si="2">I17-SUM(J17:L17)</f>
        <v>1687.9809375</v>
      </c>
      <c r="N17" s="277">
        <f t="shared" ref="N17:N24" si="3">+(G17*D17+H17)*V17</f>
        <v>386.69491525423712</v>
      </c>
      <c r="O17" s="239">
        <f t="shared" ref="O17:O24" si="4">(N17+M17)*$O$15</f>
        <v>10.373379263771184</v>
      </c>
      <c r="P17" s="119">
        <f t="shared" ref="P17:P24" si="5">M17+N17+O17</f>
        <v>2085.0492320180083</v>
      </c>
      <c r="Q17" s="318">
        <v>1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8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8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Q20" s="318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120</v>
      </c>
      <c r="I21" s="236">
        <f t="shared" si="7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Q21" s="318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199</v>
      </c>
      <c r="I25" s="114">
        <f t="shared" ref="I25:M25" si="10">SUM(I16:I24)</f>
        <v>13668.4375</v>
      </c>
      <c r="J25" s="274">
        <f>SUM(J16:J24)</f>
        <v>1913.5812500000002</v>
      </c>
      <c r="K25" s="275">
        <f t="shared" si="10"/>
        <v>478.39531250000005</v>
      </c>
      <c r="L25" s="276">
        <f t="shared" si="10"/>
        <v>0</v>
      </c>
      <c r="M25" s="232">
        <f t="shared" si="10"/>
        <v>11276.460937499998</v>
      </c>
      <c r="N25" s="233">
        <f>SUM(N16:N24)</f>
        <v>2583.3050847457625</v>
      </c>
      <c r="O25" s="101">
        <f>SUM(O16:O24)</f>
        <v>69.298830111228796</v>
      </c>
      <c r="P25" s="234">
        <f>SUM(P16:P24)</f>
        <v>13929.064852356989</v>
      </c>
      <c r="Q25" s="239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13668.4375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1913.5812500000002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478.39531250000005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11276.4609375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2583.3050847457625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13859.766022245763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69.298830111228824</v>
      </c>
    </row>
    <row r="35" spans="2:16" ht="15.75" customHeight="1" thickBot="1" x14ac:dyDescent="0.4">
      <c r="N35" s="345" t="s">
        <v>88</v>
      </c>
      <c r="O35" s="346"/>
      <c r="P35" s="297">
        <f>+P33+P34</f>
        <v>13929.064852356993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502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XFD38"/>
  <sheetViews>
    <sheetView topLeftCell="A10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J1" t="s">
        <v>513</v>
      </c>
    </row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8.7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9.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6.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20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8.7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46324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46323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2026-10-28T04:43:14Z</dcterms:modified>
</cp:coreProperties>
</file>