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9144E6A-D6FF-4336-ACF9-3EB0272A1939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1" i="11"/>
  <c r="T18" i="1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J16" i="11" s="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7" i="62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59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<sst xmlns="http://schemas.openxmlformats.org/spreadsheetml/2006/main" count="3948" uniqueCount="517">
  <si>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</si>
  <si>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</si>
  <si>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</si>
  <si>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</si>
  <si>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</si>
  <si>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</si>
  <si>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</si>
  <si>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</si>
  <si>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</si>
  <si>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</si>
  <si>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</si>
  <si>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</si>
  <si>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</si>
  <si>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</si>
  <si>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</si>
  <si>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</si>
  <si>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</si>
  <si>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</si>
  <si>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</si>
  <si>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</si>
  <si>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</si>
  <si>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</si>
  <si>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</si>
  <si>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</si>
  <si>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</si>
  <si>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</si>
  <si>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</si>
  <si>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</si>
  <si>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</si>
  <si>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</si>
  <si>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</si>
  <si>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</si>
  <si>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</si>
  <si>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</si>
  <si>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</si>
  <si>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</si>
  <si>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</si>
  <si>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</si>
  <si>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</si>
  <si>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</si>
  <si>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</si>
  <si>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</si>
  <si>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</si>
  <si>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</si>
  <si>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</si>
  <si>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</si>
  <si>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</si>
  <si>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</si>
  <si>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</si>
  <si>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</si>
  <si>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</si>
  <si>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</si>
  <si>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</si>
  <si>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</si>
  <si>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</si>
  <si>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</si>
  <si>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</si>
  <si>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</si>
  <si>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</si>
  <si>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</si>
  <si>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</si>
  <si>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</si>
  <si>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</si>
  <si>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</si>
  <si>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</si>
  <si>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</si>
  <si>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</si>
  <si>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</si>
  <si>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</si>
  <si>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</si>
  <si>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</si>
  <si>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</si>
  <si>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</si>
  <si>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</si>
  <si>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</si>
  <si>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</si>
  <si>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</si>
  <si>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</si>
  <si>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</si>
  <si>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</si>
  <si>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</si>
  <si>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</si>
  <si>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</si>
  <si>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</si>
  <si>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</si>
  <si>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</si>
  <si>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</si>
  <si>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</si>
  <si>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</si>
  <si>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</si>
  <si>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</si>
  <si>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</si>
  <si>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</si>
  <si>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</si>
  <si>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</si>
  <si>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</si>
  <si>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</si>
  <si>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</si>
  <si>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</si>
  <si>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</si>
  <si>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</si>
  <si>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</si>
  <si>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</si>
  <si>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</si>
  <si>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</si>
  <si>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</si>
  <si>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</si>
  <si>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</si>
  <si>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</si>
  <si>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</si>
  <si>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</si>
  <si>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</si>
  <si>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</si>
  <si>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</si>
  <si>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</si>
  <si>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</si>
  <si>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</si>
  <si>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</si>
  <si>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</si>
  <si>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</si>
  <si>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</si>
  <si>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</si>
  <si>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</si>
  <si>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</si>
  <si>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</si>
  <si>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</si>
  <si>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</si>
  <si>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</si>
  <si>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</si>
  <si>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</si>
  <si>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</si>
  <si>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</si>
  <si>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</si>
  <si>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</si>
  <si>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</si>
  <si>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</si>
  <si>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</si>
  <si>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</si>
  <si>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</si>
  <si>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</si>
  <si>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</si>
  <si>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</si>
  <si>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</si>
  <si>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</si>
  <si>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</si>
  <si>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</si>
  <si>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</si>
  <si>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</si>
  <si>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</si>
  <si>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</si>
  <si>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</si>
  <si>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</si>
  <si>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</si>
  <si>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</si>
  <si>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</si>
  <si>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</si>
  <si>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</si>
  <si>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</si>
  <si>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</si>
  <si>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</si>
  <si>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</si>
  <si>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</si>
  <si>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</si>
  <si>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</si>
  <si>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</si>
  <si>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</si>
  <si>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</si>
  <si>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</si>
  <si>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</si>
  <si>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</si>
  <si>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</si>
  <si>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</si>
  <si>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</si>
  <si>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</si>
  <si>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</si>
  <si>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</si>
  <si>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</si>
  <si>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</si>
  <si>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</si>
  <si>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</si>
  <si>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</si>
  <si>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</si>
  <si>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</si>
  <si>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</si>
  <si>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</si>
  <si>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</si>
  <si>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</si>
  <si>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</si>
  <si>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</si>
  <si>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</si>
  <si>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</si>
  <si>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</si>
  <si>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</si>
  <si>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</si>
  <si>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</si>
  <si>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</si>
  <si>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</si>
  <si>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</si>
  <si>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</si>
  <si>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</si>
  <si>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</si>
  <si>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</si>
  <si>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</si>
  <si>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</si>
  <si>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</si>
  <si>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</si>
  <si>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</si>
  <si>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</si>
  <si>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</si>
  <si>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</si>
  <si>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</si>
  <si>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</si>
  <si>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</si>
  <si>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</si>
  <si>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</si>
  <si>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</si>
  <si>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</si>
  <si>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</si>
  <si>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</si>
  <si>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</si>
  <si>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</si>
  <si>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</si>
  <si>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</si>
  <si>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</si>
  <si>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</si>
  <si>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</si>
  <si>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</si>
  <si>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</si>
  <si>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</si>
  <si>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</si>
  <si>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</si>
  <si>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</si>
  <si>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</si>
  <si>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</si>
  <si>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</si>
  <si>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</si>
  <si>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</si>
  <si>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</si>
  <si>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</si>
  <si>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</si>
  <si>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</si>
  <si>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</si>
  <si>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</si>
  <si>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</si>
  <si>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</si>
  <si>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</si>
  <si>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</si>
  <si>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</si>
  <si>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</si>
  <si>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</si>
  <si>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</si>
  <si>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</si>
  <si>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</si>
  <si>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</si>
  <si>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</si>
  <si>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</si>
  <si>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</si>
  <si>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</si>
  <si>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</si>
  <si>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</si>
  <si>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</si>
  <si>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</si>
  <si>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</si>
  <si>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</si>
  <si>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</si>
  <si>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</si>
  <si>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</si>
  <si>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</si>
  <si>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</si>
  <si>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</si>
  <si>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</si>
  <si>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</si>
  <si>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</si>
  <si>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</si>
  <si>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</si>
  <si>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</si>
  <si>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</si>
  <si>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</si>
  <si>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</si>
  <si>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</si>
  <si>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</si>
  <si>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</si>
  <si>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</si>
  <si>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</si>
  <si>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</si>
  <si>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</si>
  <si>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</si>
  <si>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</si>
  <si>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</si>
  <si>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</si>
  <si>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</si>
  <si>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</si>
  <si>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</si>
  <si>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</si>
  <si>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</si>
  <si>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</si>
  <si>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</si>
  <si>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</si>
  <si>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</si>
  <si>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</si>
  <si>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</si>
  <si>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</si>
  <si>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</si>
  <si>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</si>
  <si>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</si>
  <si>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</si>
  <si>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</si>
  <si>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</si>
  <si>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</si>
  <si>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</si>
  <si>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</si>
  <si>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</si>
  <si>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</si>
  <si>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</si>
  <si>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</si>
  <si>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</si>
  <si>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</si>
  <si>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</si>
  <si>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</si>
  <si>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</si>
  <si>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</si>
  <si>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</si>
  <si>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</si>
  <si>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</si>
  <si>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</si>
  <si>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</si>
  <si>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</si>
  <si>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</si>
  <si>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</si>
  <si>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</si>
  <si>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</si>
  <si>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</si>
  <si>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</si>
  <si>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</si>
  <si>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</si>
  <si>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</si>
  <si>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</si>
  <si>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</si>
  <si>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</si>
  <si>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</si>
  <si>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</si>
  <si>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</si>
  <si>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</si>
  <si>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</si>
  <si>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</si>
  <si>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</si>
  <si>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</si>
  <si>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</si>
  <si>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</si>
  <si>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</si>
  <si>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</si>
  <si>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</si>
  <si>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</si>
  <si>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</si>
  <si>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</si>
  <si>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</si>
  <si>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</si>
  <si>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</si>
  <si>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</si>
  <si>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</si>
  <si>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</si>
  <si>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</si>
  <si>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</si>
  <si>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</si>
  <si>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</si>
  <si>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</si>
  <si>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</si>
  <si>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</si>
  <si>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</si>
  <si>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</si>
  <si>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</si>
  <si>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</si>
  <si>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</si>
  <si>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</si>
  <si>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</si>
  <si>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</si>
  <si>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</si>
  <si>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</si>
  <si>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</si>
  <si>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</si>
  <si>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</si>
  <si>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</si>
  <si>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</si>
  <si>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</si>
  <si>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</si>
  <si>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</si>
  <si>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</si>
  <si>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</si>
  <si>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</si>
  <si>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</si>
  <si>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</si>
  <si>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</si>
  <si>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</si>
  <si>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</si>
  <si>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</si>
  <si>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</si>
  <si>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</si>
  <si>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</si>
  <si>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</si>
  <si>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</si>
  <si>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</si>
  <si>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</si>
  <si>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</si>
  <si>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</si>
  <si>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</si>
  <si>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</si>
  <si>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</si>
  <si>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</si>
  <si>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</si>
  <si>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</si>
  <si>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</si>
  <si>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</si>
  <si>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</si>
  <si>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</si>
  <si>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</si>
  <si>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</si>
  <si>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</si>
  <si>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</si>
  <si>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</si>
  <si>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</si>
  <si>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</si>
  <si>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</si>
  <si>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</si>
  <si>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</si>
  <si>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</si>
  <si>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</si>
  <si>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</si>
  <si>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</si>
  <si>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</si>
  <si>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</si>
  <si>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</si>
  <si>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</si>
  <si>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</si>
  <si>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</si>
  <si>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</si>
  <si>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</si>
  <si>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</si>
  <si>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</si>
  <si>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</si>
  <si>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</si>
  <si>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</si>
  <si>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</si>
  <si>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</si>
  <si>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</si>
  <si>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</si>
  <si>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</si>
  <si>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</si>
  <si>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</si>
  <si>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</si>
  <si>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</si>
  <si>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</si>
  <si>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</si>
  <si>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</si>
  <si>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</si>
  <si>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</si>
  <si>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</si>
  <si>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</si>
  <si>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</si>
  <si>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</si>
  <si>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</si>
  <si>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</si>
  <si>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</si>
  <si>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</si>
  <si>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</si>
  <si>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</si>
  <si>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</si>
  <si>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</si>
  <si>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</si>
  <si>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</si>
  <si>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</si>
  <si>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</si>
  <si>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</si>
  <si>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</si>
  <si>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</si>
  <si>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</si>
  <si>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</si>
  <si>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</si>
  <si>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</si>
  <si>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</si>
  <si>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</si>
  <si>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</si>
  <si>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</si>
  <si>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</si>
  <si>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</si>
  <si>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</si>
  <si>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</si>
  <si>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</si>
  <si>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</si>
  <si>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</si>
  <si>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</si>
  <si>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</si>
  <si>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</si>
  <si>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</si>
  <si>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</si>
  <si>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</si>
  <si>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</si>
  <si>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</si>
  <si>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</si>
  <si>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</si>
  <si>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</si>
  <si>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</si>
  <si>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</si>
  <si>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</si>
  <si>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</si>
  <si>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</si>
  <si>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</si>
  <si>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</si>
  <si>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</si>
  <si>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</si>
  <si>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</si>
  <si>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</si>
  <si>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</si>
  <si>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Raheem</t>
  </si>
  <si>
    <t>Raheem Store</t>
  </si>
  <si>
    <t xml:space="preserve">Address: Iqbal Town </t>
  </si>
  <si>
    <t xml:space="preserve">NTN : // : A244322-8 </t>
  </si>
  <si>
    <t>Invoice No # : 16546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</si>
</sst>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U3" sqref="U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498</v>
      </c>
      <c r="F2" s="384"/>
      <c r="G2" s="384"/>
      <c r="H2" s="381" t="s">
        <v>512</v>
      </c>
      <c r="I2" s="381"/>
      <c r="J2" s="382"/>
      <c r="R2" s="378" t="s">
        <v>497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508</v>
      </c>
      <c r="F3" s="388"/>
      <c r="G3" s="388"/>
      <c r="H3" s="385">
        <f ca="1">TODAY()</f>
        <v>46323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>Raheem Store</v>
      </c>
      <c r="T3" s="301">
        <f>+'1'!P35</f>
        <v>98703.477330508482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Raheem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Raheem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Raheem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200</v>
      </c>
      <c r="I7" s="235">
        <f>(G7*D7)*F7+H7*F7</f>
        <v>10492.5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1468.95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9023.5499999999993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1983.0508474576263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55.033004237288132</v>
      </c>
      <c r="P7" s="310">
        <f>M7+N7+O7</f>
        <v>11061.633851694914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Raheem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200</v>
      </c>
      <c r="I8" s="236">
        <f t="shared" ref="I8:I14" si="0">(G8*D8)*F8+H8*F8</f>
        <v>10492.5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1468.95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9023.5499999999993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1983.0508474576263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55.033004237288132</v>
      </c>
      <c r="P8" s="311">
        <f t="shared" ref="P8:P15" si="2">M8+N8+O8</f>
        <v>11061.633851694914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Raheem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Raheem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240</v>
      </c>
      <c r="I10" s="236">
        <f t="shared" si="0"/>
        <v>17433.599999999999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2440.7040000000002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14992.895999999999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3294.9152542372885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91.439056271186445</v>
      </c>
      <c r="P10" s="311">
        <f t="shared" si="2"/>
        <v>18379.250310508472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Raheem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360</v>
      </c>
      <c r="I11" s="236">
        <f t="shared" si="0"/>
        <v>26150.400000000001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3661.0560000000005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22489.344000000001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4942.3728813559328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137.15858440677968</v>
      </c>
      <c r="P11" s="311">
        <f t="shared" si="2"/>
        <v>27568.875465762714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Raheem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400</v>
      </c>
      <c r="I12" s="236">
        <f t="shared" si="0"/>
        <v>29056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4067.8400000000006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24988.16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5491.5254237288136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152.39842711864407</v>
      </c>
      <c r="P12" s="311">
        <f t="shared" si="2"/>
        <v>30632.083850847459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Raheem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Raheem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Raheem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Raheem Store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35</v>
      </c>
      <c r="H16" s="113">
        <f t="shared" ref="H16:M16" si="3">SUM(H7:H15)</f>
        <v>1400</v>
      </c>
      <c r="I16" s="114">
        <f t="shared" si="3"/>
        <v>93625</v>
      </c>
      <c r="J16" s="274">
        <f>SUM(J7:J15)</f>
        <v>13107.5</v>
      </c>
      <c r="K16" s="275">
        <f t="shared" si="3"/>
        <v>0</v>
      </c>
      <c r="L16" s="276">
        <f t="shared" si="3"/>
        <v>0</v>
      </c>
      <c r="M16" s="232">
        <f t="shared" si="3"/>
        <v>80517.5</v>
      </c>
      <c r="N16" s="233">
        <f>SUM(N7:N15)</f>
        <v>17694.915254237287</v>
      </c>
      <c r="O16" s="101">
        <f>SUM(O7:O15)</f>
        <v>491.06207627118641</v>
      </c>
      <c r="P16" s="113">
        <f>SUM(P7:P15)</f>
        <v>98703.477330508467</v>
      </c>
      <c r="Q16" s="128">
        <f>SUM(Q7:Q15)</f>
        <v>0</v>
      </c>
      <c r="R16" s="314">
        <v>14</v>
      </c>
      <c r="S16" s="300" t="str">
        <f>+'14'!A6:A6</f>
        <v>Raheem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Raheem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Raheem Store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93625</v>
      </c>
      <c r="R19" s="299">
        <v>17</v>
      </c>
      <c r="S19" s="300" t="str">
        <f>+'17'!A6:A6</f>
        <v>Raheem Store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13107.5</v>
      </c>
      <c r="R20" s="299">
        <v>18</v>
      </c>
      <c r="S20" s="300" t="str">
        <f>+'18'!A6:A6</f>
        <v>Raheem Store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0</v>
      </c>
      <c r="R21" s="299">
        <v>19</v>
      </c>
      <c r="S21" s="300" t="str">
        <f>+'19'!A6:A6</f>
        <v>Raheem Store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80517.5</v>
      </c>
      <c r="R22" s="299">
        <v>20</v>
      </c>
      <c r="S22" s="300" t="str">
        <f>+'20'!A6:A6</f>
        <v>Raheem Store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17694.915254237287</v>
      </c>
      <c r="R23" s="299">
        <v>21</v>
      </c>
      <c r="S23" s="300" t="str">
        <f>+'21'!A6:A6</f>
        <v>Raheem Store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98212.41525423729</v>
      </c>
      <c r="R24" s="299">
        <v>22</v>
      </c>
      <c r="S24" s="300" t="str">
        <f>+'22'!A6:A6</f>
        <v>Raheem Store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491.06207627118641</v>
      </c>
      <c r="R25" s="299">
        <v>23</v>
      </c>
      <c r="S25" s="300" t="str">
        <f>+'23'!A6:A6</f>
        <v>Raheem Store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98703.477330508482</v>
      </c>
      <c r="R26" s="299">
        <v>24</v>
      </c>
      <c r="S26" s="300" t="str">
        <f>+'24'!A6:A6</f>
        <v>Raheem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>Raheem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Raheem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Raheem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Raheem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Raheem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Raheem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98703.477330508482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5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46322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46321</v>
      </c>
      <c r="O5" s="392"/>
      <c r="P5" s="392"/>
      <c r="R5" s="85"/>
      <c r="S5" s="266"/>
    </row>
    <row r="6" spans="1:22 16383:16384" ht="17.2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500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200</v>
      </c>
      <c r="I16" s="235">
        <f>(G16*D16)*F16+H16*F16</f>
        <v>10492.5</v>
      </c>
      <c r="J16" s="271">
        <f>$I16*S16</f>
        <v>1468.95</v>
      </c>
      <c r="K16" s="127">
        <f>$I16*T16</f>
        <v>0</v>
      </c>
      <c r="L16" s="118">
        <f>$I16*U16</f>
        <v>0</v>
      </c>
      <c r="M16" s="229">
        <f>I16-SUM(J16:L16)</f>
        <v>9023.5499999999993</v>
      </c>
      <c r="N16" s="248">
        <f>+(G16*D16+H16)*V16</f>
        <v>1983.0508474576263</v>
      </c>
      <c r="O16" s="238">
        <f>(N16+M16)*$O$15</f>
        <v>55.033004237288132</v>
      </c>
      <c r="P16" s="310">
        <f>M16+N16+O16</f>
        <v>11061.633851694914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200</v>
      </c>
      <c r="I17" s="236">
        <f t="shared" ref="I17:I23" si="0">(G17*D17)*F17+H17*F17</f>
        <v>10492.5</v>
      </c>
      <c r="J17" s="272">
        <f t="shared" ref="J17:L24" si="1">$I17*S17</f>
        <v>1468.95</v>
      </c>
      <c r="K17" s="128">
        <f>$I17*T17</f>
        <v>0</v>
      </c>
      <c r="L17" s="119">
        <f>$I17*U17</f>
        <v>0</v>
      </c>
      <c r="M17" s="230">
        <f t="shared" ref="M17:M24" si="2">I17-SUM(J17:L17)</f>
        <v>9023.5499999999993</v>
      </c>
      <c r="N17" s="277">
        <f t="shared" ref="N17:N24" si="3">+(G17*D17+H17)*V17</f>
        <v>1983.0508474576263</v>
      </c>
      <c r="O17" s="239">
        <f t="shared" ref="O17:O24" si="4">(N17+M17)*$O$15</f>
        <v>55.033004237288132</v>
      </c>
      <c r="P17" s="311">
        <f t="shared" ref="P17:P24" si="5">M17+N17+O17</f>
        <v>11061.633851694914</v>
      </c>
      <c r="Q17" s="156"/>
      <c r="S17" s="269">
        <f>+S16</f>
        <v>0.14000000000000001</v>
      </c>
      <c r="T17" s="270"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240</v>
      </c>
      <c r="I19" s="236">
        <f t="shared" si="7"/>
        <v>17433.599999999999</v>
      </c>
      <c r="J19" s="272">
        <f t="shared" si="1"/>
        <v>2440.7040000000002</v>
      </c>
      <c r="K19" s="128">
        <f t="shared" si="1"/>
        <v>0</v>
      </c>
      <c r="L19" s="119">
        <f t="shared" si="1"/>
        <v>0</v>
      </c>
      <c r="M19" s="230">
        <f t="shared" si="2"/>
        <v>14992.895999999999</v>
      </c>
      <c r="N19" s="277">
        <f t="shared" si="3"/>
        <v>3294.9152542372885</v>
      </c>
      <c r="O19" s="239">
        <f t="shared" si="4"/>
        <v>91.439056271186445</v>
      </c>
      <c r="P19" s="311">
        <f t="shared" si="5"/>
        <v>18379.250310508472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360</v>
      </c>
      <c r="I20" s="236">
        <f t="shared" si="7"/>
        <v>26150.400000000001</v>
      </c>
      <c r="J20" s="272">
        <f t="shared" si="1"/>
        <v>3661.0560000000005</v>
      </c>
      <c r="K20" s="128">
        <f t="shared" si="1"/>
        <v>0</v>
      </c>
      <c r="L20" s="119">
        <f t="shared" si="1"/>
        <v>0</v>
      </c>
      <c r="M20" s="230">
        <f t="shared" si="2"/>
        <v>22489.344000000001</v>
      </c>
      <c r="N20" s="277">
        <f t="shared" si="3"/>
        <v>4942.3728813559328</v>
      </c>
      <c r="O20" s="239">
        <f t="shared" si="4"/>
        <v>137.15858440677968</v>
      </c>
      <c r="P20" s="311">
        <f t="shared" si="5"/>
        <v>27568.875465762714</v>
      </c>
      <c r="Q20" s="156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400</v>
      </c>
      <c r="I21" s="236">
        <f t="shared" si="7"/>
        <v>29056</v>
      </c>
      <c r="J21" s="272">
        <f t="shared" si="1"/>
        <v>4067.8400000000006</v>
      </c>
      <c r="K21" s="128">
        <f t="shared" si="1"/>
        <v>0</v>
      </c>
      <c r="L21" s="119">
        <f t="shared" si="1"/>
        <v>0</v>
      </c>
      <c r="M21" s="230">
        <f t="shared" si="2"/>
        <v>24988.16</v>
      </c>
      <c r="N21" s="277">
        <f t="shared" si="3"/>
        <v>5491.5254237288136</v>
      </c>
      <c r="O21" s="239">
        <f t="shared" si="4"/>
        <v>152.39842711864407</v>
      </c>
      <c r="P21" s="311">
        <f t="shared" si="5"/>
        <v>30632.083850847459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1400</v>
      </c>
      <c r="I25" s="114">
        <f t="shared" ref="I25:M25" si="10">SUM(I16:I24)</f>
        <v>93625</v>
      </c>
      <c r="J25" s="274">
        <f>SUM(J16:J24)</f>
        <v>13107.5</v>
      </c>
      <c r="K25" s="275">
        <f t="shared" si="10"/>
        <v>0</v>
      </c>
      <c r="L25" s="276">
        <f t="shared" si="10"/>
        <v>0</v>
      </c>
      <c r="M25" s="232">
        <f t="shared" si="10"/>
        <v>80517.5</v>
      </c>
      <c r="N25" s="233">
        <f>SUM(N16:N24)</f>
        <v>17694.915254237287</v>
      </c>
      <c r="O25" s="101">
        <f>SUM(O16:O24)</f>
        <v>491.06207627118641</v>
      </c>
      <c r="P25" s="113">
        <f>SUM(P16:P24)</f>
        <v>98703.477330508467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93625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13107.5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80517.5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17694.915254237287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98212.41525423729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491.06207627118647</v>
      </c>
    </row>
    <row r="35" spans="2:16" ht="15.75" customHeight="1" thickBot="1" x14ac:dyDescent="0.4">
      <c r="N35" s="372" t="s">
        <v>88</v>
      </c>
      <c r="O35" s="373"/>
      <c r="P35" s="297">
        <f>+P33+P34</f>
        <v>98703.477330508482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8.7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8.7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46324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46323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2026-10-28T04:45:53Z</dcterms:modified>
</cp:coreProperties>
</file>