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B385844-D35F-48BB-8A66-584715D69162}" xr6:coauthVersionLast="47" xr6:coauthVersionMax="47" xr10:uidLastSave="{00000000-0000-0000-0000-000000000000}"/>
  <bookViews>
    <workbookView xWindow="-110" yWindow="-110" windowWidth="19420" windowHeight="10420" tabRatio="948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4" i="70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4" i="69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4" i="68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4" i="67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4" i="66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4" i="65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4" i="64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4" i="63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4" i="6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4" i="60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4" i="59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4" i="58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4" i="57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4" i="56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4" i="55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4" i="54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4" i="53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4" i="52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4" i="5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4" i="50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4" i="49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4" i="48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4" i="47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4" i="46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4" i="45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4" i="44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4" i="43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17" i="11"/>
  <c r="T24" i="1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M24" i="66" s="1"/>
  <c r="O24" i="66" s="1"/>
  <c r="P24" i="66" s="1"/>
  <c r="J24" i="66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M24" i="56" s="1"/>
  <c r="O24" i="56" s="1"/>
  <c r="P24" i="56" s="1"/>
  <c r="L24" i="56"/>
  <c r="L24" i="43"/>
  <c r="K24" i="43"/>
  <c r="J24" i="43"/>
  <c r="K24" i="53"/>
  <c r="M24" i="53" s="1"/>
  <c r="O24" i="53" s="1"/>
  <c r="P24" i="53" s="1"/>
  <c r="L24" i="53"/>
  <c r="J24" i="53"/>
  <c r="J24" i="58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M20" i="57" s="1"/>
  <c r="O20" i="57" s="1"/>
  <c r="P20" i="57" s="1"/>
  <c r="K20" i="61"/>
  <c r="J20" i="61"/>
  <c r="M20" i="61" s="1"/>
  <c r="O20" i="61" s="1"/>
  <c r="P20" i="61" s="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J7" i="62"/>
  <c r="J25" i="61"/>
  <c r="P29" i="61" s="1"/>
  <c r="M17" i="56"/>
  <c r="O17" i="56" s="1"/>
  <c r="P17" i="56" s="1"/>
  <c r="M16" i="59"/>
  <c r="M21" i="53"/>
  <c r="O21" i="53" s="1"/>
  <c r="P21" i="53" s="1"/>
  <c r="M24" i="50"/>
  <c r="O24" i="50" s="1"/>
  <c r="P24" i="50" s="1"/>
  <c r="M23" i="52"/>
  <c r="O23" i="52" s="1"/>
  <c r="P23" i="52" s="1"/>
  <c r="M24" i="48"/>
  <c r="M23" i="48"/>
  <c r="M24" i="45"/>
  <c r="O24" i="45" s="1"/>
  <c r="P24" i="45" s="1"/>
  <c r="M23" i="64"/>
  <c r="O23" i="64" s="1"/>
  <c r="P23" i="64" s="1"/>
  <c r="M23" i="65"/>
  <c r="M23" i="58"/>
  <c r="O23" i="58" s="1"/>
  <c r="P23" i="58" s="1"/>
  <c r="M23" i="44"/>
  <c r="O23" i="44" s="1"/>
  <c r="P23" i="44" s="1"/>
  <c r="M24" i="44"/>
  <c r="O24" i="44" s="1"/>
  <c r="P24" i="44" s="1"/>
  <c r="M24" i="58"/>
  <c r="O24" i="58" s="1"/>
  <c r="P24" i="58" s="1"/>
  <c r="M24" i="43"/>
  <c r="O24" i="43" s="1"/>
  <c r="P24" i="43" s="1"/>
  <c r="M23" i="66"/>
  <c r="O23" i="66" s="1"/>
  <c r="P23" i="66" s="1"/>
  <c r="M23" i="69"/>
  <c r="O23" i="69" s="1"/>
  <c r="P23" i="69" s="1"/>
  <c r="M23" i="53"/>
  <c r="O23" i="53" s="1"/>
  <c r="P23" i="53" s="1"/>
  <c r="M24" i="63"/>
  <c r="O24" i="63" s="1"/>
  <c r="P24" i="63" s="1"/>
  <c r="M21" i="52"/>
  <c r="O21" i="52" s="1"/>
  <c r="P21" i="52" s="1"/>
  <c r="M21" i="51"/>
  <c r="M20" i="70"/>
  <c r="O20" i="70" s="1"/>
  <c r="P20" i="70" s="1"/>
  <c r="M16" i="64"/>
  <c r="M16" i="65"/>
  <c r="M16" i="48"/>
  <c r="M16" i="60"/>
  <c r="O16" i="60" s="1"/>
  <c r="P16" i="60" s="1"/>
  <c r="M16" i="66"/>
  <c r="M16" i="44"/>
  <c r="M18" i="67"/>
  <c r="O18" i="67" s="1"/>
  <c r="P18" i="6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18" i="43"/>
  <c r="P18" i="43" s="1"/>
  <c r="O24" i="71"/>
  <c r="P24" i="71"/>
  <c r="O23" i="59"/>
  <c r="P23" i="59" s="1"/>
  <c r="O16" i="67"/>
  <c r="P16" i="67" s="1"/>
  <c r="O24" i="48"/>
  <c r="P24" i="48" s="1"/>
  <c r="O16" i="44"/>
  <c r="O22" i="51"/>
  <c r="P22" i="51" s="1"/>
  <c r="O23" i="60"/>
  <c r="P23" i="60" s="1"/>
  <c r="O16" i="64"/>
  <c r="P16" i="64" s="1"/>
  <c r="O17" i="45"/>
  <c r="P17" i="45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21" i="50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15" i="62" l="1"/>
  <c r="P15" i="62" s="1"/>
  <c r="O25" i="64"/>
  <c r="P23" i="55"/>
  <c r="P25" i="55" s="1"/>
  <c r="P16" i="70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<sst xmlns="http://schemas.openxmlformats.org/spreadsheetml/2006/main" count="3947" uniqueCount="521">
  <si>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</si>
  <si>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</si>
  <si>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</si>
  <si>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</si>
  <si>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</si>
  <si>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</si>
  <si>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</si>
  <si>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</si>
  <si>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</si>
  <si>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</si>
  <si>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</si>
  <si>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</si>
  <si>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</si>
  <si>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</si>
  <si>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</si>
  <si>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</si>
  <si>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</si>
  <si>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</si>
  <si>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</si>
  <si>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</si>
  <si>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</si>
  <si>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</si>
  <si>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</si>
  <si>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</si>
  <si>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</si>
  <si>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</si>
  <si>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</si>
  <si>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</si>
  <si>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</si>
  <si>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</si>
  <si>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</si>
  <si>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</si>
  <si>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</si>
  <si>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</si>
  <si>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</si>
  <si>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</si>
  <si>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</si>
  <si>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</si>
  <si>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</si>
  <si>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</si>
  <si>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</si>
  <si>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</si>
  <si>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</si>
  <si>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</si>
  <si>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</si>
  <si>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</si>
  <si>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</si>
  <si>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</si>
  <si>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</si>
  <si>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</si>
  <si>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</si>
  <si>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</si>
  <si>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</si>
  <si>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</si>
  <si>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</si>
  <si>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</si>
  <si>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</si>
  <si>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</si>
  <si>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</si>
  <si>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</si>
  <si>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</si>
  <si>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</si>
  <si>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</si>
  <si>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</si>
  <si>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</si>
  <si>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</si>
  <si>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</si>
  <si>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</si>
  <si>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</si>
  <si>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</si>
  <si>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</si>
  <si>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</si>
  <si>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</si>
  <si>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</si>
  <si>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</si>
  <si>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</si>
  <si>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</si>
  <si>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</si>
  <si>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</si>
  <si>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</si>
  <si>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</si>
  <si>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</si>
  <si>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</si>
  <si>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</si>
  <si>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</si>
  <si>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</si>
  <si>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</si>
  <si>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</si>
  <si>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</si>
  <si>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</si>
  <si>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</si>
  <si>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</si>
  <si>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</si>
  <si>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</si>
  <si>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</si>
  <si>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</si>
  <si>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</si>
  <si>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</si>
  <si>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</si>
  <si>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</si>
  <si>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</si>
  <si>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</si>
  <si>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</si>
  <si>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</si>
  <si>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</si>
  <si>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</si>
  <si>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</si>
  <si>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</si>
  <si>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</si>
  <si>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</si>
  <si>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</si>
  <si>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</si>
  <si>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</si>
  <si>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</si>
  <si>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</si>
  <si>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</si>
  <si>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</si>
  <si>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</si>
  <si>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</si>
  <si>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</si>
  <si>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</si>
  <si>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</si>
  <si>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</si>
  <si>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</si>
  <si>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</si>
  <si>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</si>
  <si>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</si>
  <si>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</si>
  <si>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</si>
  <si>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</si>
  <si>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</si>
  <si>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</si>
  <si>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</si>
  <si>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</si>
  <si>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</si>
  <si>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</si>
  <si>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</si>
  <si>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</si>
  <si>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</si>
  <si>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</si>
  <si>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</si>
  <si>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</si>
  <si>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</si>
  <si>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</si>
  <si>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</si>
  <si>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</si>
  <si>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</si>
  <si>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</si>
  <si>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</si>
  <si>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</si>
  <si>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</si>
  <si>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</si>
  <si>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</si>
  <si>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</si>
  <si>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</si>
  <si>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</si>
  <si>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</si>
  <si>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</si>
  <si>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</si>
  <si>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</si>
  <si>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</si>
  <si>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</si>
  <si>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</si>
  <si>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</si>
  <si>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</si>
  <si>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</si>
  <si>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</si>
  <si>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</si>
  <si>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</si>
  <si>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</si>
  <si>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</si>
  <si>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</si>
  <si>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</si>
  <si>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</si>
  <si>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</si>
  <si>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</si>
  <si>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</si>
  <si>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</si>
  <si>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</si>
  <si>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</si>
  <si>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</si>
  <si>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</si>
  <si>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</si>
  <si>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</si>
  <si>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</si>
  <si>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</si>
  <si>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</si>
  <si>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</si>
  <si>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</si>
  <si>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</si>
  <si>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</si>
  <si>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</si>
  <si>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</si>
  <si>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</si>
  <si>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</si>
  <si>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</si>
  <si>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</si>
  <si>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</si>
  <si>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</si>
  <si>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</si>
  <si>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</si>
  <si>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</si>
  <si>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</si>
  <si>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</si>
  <si>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</si>
  <si>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</si>
  <si>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</si>
  <si>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</si>
  <si>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</si>
  <si>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</si>
  <si>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</si>
  <si>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</si>
  <si>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</si>
  <si>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</si>
  <si>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</si>
  <si>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</si>
  <si>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</si>
  <si>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</si>
  <si>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</si>
  <si>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</si>
  <si>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</si>
  <si>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</si>
  <si>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</si>
  <si>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</si>
  <si>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</si>
  <si>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</si>
  <si>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</si>
  <si>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</si>
  <si>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</si>
  <si>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</si>
  <si>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</si>
  <si>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</si>
  <si>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</si>
  <si>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</si>
  <si>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</si>
  <si>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</si>
  <si>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</si>
  <si>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</si>
  <si>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</si>
  <si>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</si>
  <si>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</si>
  <si>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</si>
  <si>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</si>
  <si>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</si>
  <si>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</si>
  <si>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</si>
  <si>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</si>
  <si>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</si>
  <si>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</si>
  <si>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</si>
  <si>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</si>
  <si>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</si>
  <si>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</si>
  <si>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</si>
  <si>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</si>
  <si>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</si>
  <si>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</si>
  <si>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</si>
  <si>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</si>
  <si>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</si>
  <si>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</si>
  <si>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</si>
  <si>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</si>
  <si>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</si>
  <si>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</si>
  <si>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</si>
  <si>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</si>
  <si>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</si>
  <si>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</si>
  <si>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</si>
  <si>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</si>
  <si>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</si>
  <si>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</si>
  <si>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</si>
  <si>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</si>
  <si>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</si>
  <si>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</si>
  <si>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</si>
  <si>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</si>
  <si>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</si>
  <si>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</si>
  <si>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</si>
  <si>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</si>
  <si>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</si>
  <si>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</si>
  <si>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</si>
  <si>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</si>
  <si>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</si>
  <si>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</si>
  <si>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</si>
  <si>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</si>
  <si>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</si>
  <si>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</si>
  <si>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</si>
  <si>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</si>
  <si>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</si>
  <si>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</si>
  <si>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</si>
  <si>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</si>
  <si>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</si>
  <si>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</si>
  <si>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</si>
  <si>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</si>
  <si>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</si>
  <si>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</si>
  <si>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</si>
  <si>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</si>
  <si>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</si>
  <si>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</si>
  <si>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</si>
  <si>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</si>
  <si>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</si>
  <si>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</si>
  <si>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</si>
  <si>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</si>
  <si>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</si>
  <si>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</si>
  <si>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</si>
  <si>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</si>
  <si>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</si>
  <si>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</si>
  <si>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</si>
  <si>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</si>
  <si>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</si>
  <si>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</si>
  <si>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</si>
  <si>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</si>
  <si>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</si>
  <si>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</si>
  <si>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</si>
  <si>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</si>
  <si>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</si>
  <si>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</si>
  <si>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</si>
  <si>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</si>
  <si>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</si>
  <si>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</si>
  <si>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</si>
  <si>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</si>
  <si>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</si>
  <si>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</si>
  <si>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</si>
  <si>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</si>
  <si>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</si>
  <si>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</si>
  <si>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</si>
  <si>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</si>
  <si>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</si>
  <si>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</si>
  <si>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</si>
  <si>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</si>
  <si>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</si>
  <si>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</si>
  <si>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</si>
  <si>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</si>
  <si>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</si>
  <si>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</si>
  <si>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</si>
  <si>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</si>
  <si>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</si>
  <si>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</si>
  <si>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</si>
  <si>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</si>
  <si>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</si>
  <si>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</si>
  <si>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</si>
  <si>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</si>
  <si>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</si>
  <si>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</si>
  <si>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</si>
  <si>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</si>
  <si>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</si>
  <si>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</si>
  <si>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</si>
  <si>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</si>
  <si>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</si>
  <si>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</si>
  <si>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</si>
  <si>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</si>
  <si>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</si>
  <si>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</si>
  <si>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</si>
  <si>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</si>
  <si>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</si>
  <si>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</si>
  <si>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</si>
  <si>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</si>
  <si>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</si>
  <si>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</si>
  <si>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</si>
  <si>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</si>
  <si>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</si>
  <si>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</si>
  <si>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</si>
  <si>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</si>
  <si>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</si>
  <si>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</si>
  <si>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</si>
  <si>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</si>
  <si>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</si>
  <si>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</si>
  <si>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</si>
  <si>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</si>
  <si>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</si>
  <si>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</si>
  <si>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</si>
  <si>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</si>
  <si>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</si>
  <si>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</si>
  <si>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</si>
  <si>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</si>
  <si>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</si>
  <si>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</si>
  <si>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</si>
  <si>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</si>
  <si>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</si>
  <si>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</si>
  <si>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</si>
  <si>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</si>
  <si>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</si>
  <si>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</si>
  <si>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</si>
  <si>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</si>
  <si>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</si>
  <si>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</si>
  <si>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</si>
  <si>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</si>
  <si>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</si>
  <si>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</si>
  <si>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</si>
  <si>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</si>
  <si>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</si>
  <si>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</si>
  <si>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</si>
  <si>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</si>
  <si>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</si>
  <si>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</si>
  <si>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</si>
  <si>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</si>
  <si>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</si>
  <si>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</si>
  <si>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</si>
  <si>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</si>
  <si>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</si>
  <si>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</si>
  <si>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</si>
  <si>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</si>
  <si>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</si>
  <si>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</si>
  <si>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</si>
  <si>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</si>
  <si>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</si>
  <si>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</si>
  <si>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</si>
  <si>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</si>
  <si>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</si>
  <si>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</si>
  <si>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</si>
  <si>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</si>
  <si>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</si>
  <si>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</si>
  <si>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</si>
  <si>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</si>
  <si>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</si>
  <si>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</si>
  <si>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</si>
  <si>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</si>
  <si>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</si>
  <si>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</si>
  <si>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</si>
  <si>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</si>
  <si>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</si>
  <si>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</si>
  <si>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</si>
  <si>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</si>
  <si>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</si>
  <si>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</si>
  <si>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</si>
  <si>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</si>
  <si>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</si>
  <si>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</si>
  <si>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</si>
  <si>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</si>
  <si>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</si>
  <si>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</si>
  <si>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</si>
  <si>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</si>
  <si>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</si>
  <si>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</si>
  <si>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</si>
  <si>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</si>
  <si>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</si>
  <si>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</si>
  <si>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</si>
  <si>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</si>
  <si>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</si>
  <si>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</si>
  <si>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</si>
  <si>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</si>
  <si>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</si>
  <si>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</si>
  <si>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</si>
  <si>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</si>
  <si>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</si>
  <si>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</si>
  <si>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</si>
  <si>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</si>
  <si>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</si>
  <si>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</si>
  <si>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</si>
  <si>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</si>
  <si>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</si>
  <si>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</si>
  <si>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</si>
  <si>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Shakoor</t>
  </si>
  <si>
    <t>Al Buraq Departmental Store (Samnabad)</t>
  </si>
  <si>
    <t>NTN #: 9555497-8</t>
  </si>
  <si>
    <t>Invoice No # :0001</t>
  </si>
  <si>
    <t>Al Buraq Departmental Store (Sanda)</t>
  </si>
  <si>
    <t xml:space="preserve">Address: Sanda 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</si>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</sst>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514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46322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Al Buraq Departmental Store (Samnabad)</v>
      </c>
      <c r="T3" s="301">
        <f>+'1'!P35</f>
        <v>62432.218901694912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Buraq Departmental Store (Sanda)</v>
      </c>
      <c r="T4" s="301">
        <f>+'2'!P35</f>
        <v>18729.665670508475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Buraq Departmental Store (Samnabad)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 Buraq Departmental Store (Samnabad)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Al Buraq Departmental Store (Samnabad)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>Al Buraq Departmental Store (Samnabad)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Buraq Departmental Store (Samnabad)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5113.8559999999998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31.060805423728812</v>
      </c>
      <c r="P10" s="311">
        <f t="shared" si="2"/>
        <v>6243.2218901694914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Al Buraq Departmental Store (Samnabad)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5113.8559999999998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31.060805423728812</v>
      </c>
      <c r="P11" s="311">
        <f t="shared" si="2"/>
        <v>6243.2218901694914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 Buraq Departmental Store (Samnabad)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7670.7839999999997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56252.415999999997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341.66885966101694</v>
      </c>
      <c r="P12" s="311">
        <f t="shared" si="2"/>
        <v>68675.440791864399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Buraq Departmental Store (Samnabad)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Al Buraq Departmental Store (Samnabad)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Al Buraq Departmental Store (Samnabad)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 Buraq Departmental Store (Samnabad)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26</v>
      </c>
      <c r="H16" s="113">
        <f t="shared" ref="H16:M16" si="3">SUM(H7:H15)</f>
        <v>1040</v>
      </c>
      <c r="I16" s="114">
        <f t="shared" si="3"/>
        <v>75545.599999999991</v>
      </c>
      <c r="J16" s="274">
        <f>SUM(J7:J15)</f>
        <v>9065.4719999999998</v>
      </c>
      <c r="K16" s="275">
        <f t="shared" si="3"/>
        <v>0</v>
      </c>
      <c r="L16" s="276">
        <f t="shared" si="3"/>
        <v>0</v>
      </c>
      <c r="M16" s="232">
        <f t="shared" si="3"/>
        <v>66480.127999999997</v>
      </c>
      <c r="N16" s="233">
        <f>SUM(N7:N15)</f>
        <v>14277.966101694916</v>
      </c>
      <c r="O16" s="101">
        <f>SUM(O7:O15)</f>
        <v>403.79047050847458</v>
      </c>
      <c r="P16" s="113">
        <f>SUM(P7:P15)</f>
        <v>81161.884572203388</v>
      </c>
      <c r="Q16" s="128">
        <f>SUM(Q7:Q15)</f>
        <v>80</v>
      </c>
      <c r="R16" s="313">
        <v>14</v>
      </c>
      <c r="S16" s="315" t="str">
        <f>+'14'!A6:A6</f>
        <v>Al Buraq Departmental Store (Samnabad)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Al Buraq Departmental Store (Samnabad)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Buraq Departmental Store (Samnabad)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75545.599999999991</v>
      </c>
      <c r="R19" s="299">
        <v>17</v>
      </c>
      <c r="S19" s="300" t="str">
        <f>+'17'!A6:A6</f>
        <v>Al Buraq Departmental Store (Samnabad)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9065.4719999999998</v>
      </c>
      <c r="R20" s="299">
        <v>18</v>
      </c>
      <c r="S20" s="300" t="str">
        <f>+'18'!A6:A6</f>
        <v>Al Buraq Departmental Store (Samnabad)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Al Buraq Departmental Store (Samnabad)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66480.127999999997</v>
      </c>
      <c r="R22" s="299">
        <v>20</v>
      </c>
      <c r="S22" s="300" t="str">
        <f>+'20'!A6:A6</f>
        <v>Al Buraq Departmental Store (Samnabad)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14277.966101694916</v>
      </c>
      <c r="R23" s="299">
        <v>21</v>
      </c>
      <c r="S23" s="300" t="str">
        <f>+'21'!A6:A6</f>
        <v>Al Buraq Departmental Store (Samnabad)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80758.094101694907</v>
      </c>
      <c r="R24" s="299">
        <v>22</v>
      </c>
      <c r="S24" s="300" t="str">
        <f>+'22'!A6:A6</f>
        <v>Al Buraq Departmental Store (Samnabad)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403.79047050847458</v>
      </c>
      <c r="R25" s="299">
        <v>23</v>
      </c>
      <c r="S25" s="300" t="str">
        <f>+'23'!A6:A6</f>
        <v>Al Buraq Departmental Store (Samnabad)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81161.884572203388</v>
      </c>
      <c r="R26" s="299">
        <v>24</v>
      </c>
      <c r="S26" s="300" t="str">
        <f>+'24'!A6:A6</f>
        <v>Al Buraq Departmental Store (Samnabad)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Al Buraq Departmental Store (Samnabad)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Al Buraq Departmental Store (Samnabad)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Al Buraq Departmental Store (Samnabad)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Al Buraq Departmental Store (Samnabad)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81161.884572203388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800</v>
      </c>
      <c r="I21" s="236">
        <f t="shared" si="7"/>
        <v>58112</v>
      </c>
      <c r="J21" s="272">
        <f t="shared" si="1"/>
        <v>6973.44</v>
      </c>
      <c r="K21" s="128">
        <f t="shared" si="1"/>
        <v>0</v>
      </c>
      <c r="L21" s="119">
        <f t="shared" si="1"/>
        <v>0</v>
      </c>
      <c r="M21" s="230">
        <f t="shared" si="2"/>
        <v>51138.559999999998</v>
      </c>
      <c r="N21" s="277">
        <f t="shared" si="3"/>
        <v>10983.050847457627</v>
      </c>
      <c r="O21" s="239">
        <f t="shared" si="4"/>
        <v>310.60805423728812</v>
      </c>
      <c r="P21" s="119">
        <f t="shared" si="5"/>
        <v>62432.218901694912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58112</v>
      </c>
      <c r="J25" s="274">
        <f>SUM(J16:J24)</f>
        <v>6973.44</v>
      </c>
      <c r="K25" s="275">
        <f t="shared" si="10"/>
        <v>0</v>
      </c>
      <c r="L25" s="276">
        <f t="shared" si="10"/>
        <v>0</v>
      </c>
      <c r="M25" s="232">
        <f t="shared" si="10"/>
        <v>51138.559999999998</v>
      </c>
      <c r="N25" s="233">
        <f>SUM(N16:N24)</f>
        <v>10983.050847457627</v>
      </c>
      <c r="O25" s="101">
        <f>SUM(O16:O24)</f>
        <v>310.60805423728812</v>
      </c>
      <c r="P25" s="234">
        <f>SUM(P16:P24)</f>
        <v>62432.218901694912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58112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6973.44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51138.559999999998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10983.050847457627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62121.610847457625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310.60805423728812</v>
      </c>
    </row>
    <row r="35" spans="2:16" ht="15.75" customHeight="1" thickBot="1" x14ac:dyDescent="0.4">
      <c r="N35" s="375" t="s">
        <v>88</v>
      </c>
      <c r="O35" s="376"/>
      <c r="P35" s="297">
        <f>+P33+P34</f>
        <v>62432.218901694912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4" workbookViewId="0">
      <selection activeCell="H17" sqref="H16: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520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519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697.34399999999994</v>
      </c>
      <c r="K19" s="128">
        <f t="shared" si="1"/>
        <v>0</v>
      </c>
      <c r="L19" s="119">
        <f t="shared" si="1"/>
        <v>0</v>
      </c>
      <c r="M19" s="230">
        <f t="shared" si="2"/>
        <v>5113.8559999999998</v>
      </c>
      <c r="N19" s="277">
        <f t="shared" si="3"/>
        <v>1098.3050847457628</v>
      </c>
      <c r="O19" s="239">
        <f t="shared" si="4"/>
        <v>31.060805423728812</v>
      </c>
      <c r="P19" s="119">
        <f t="shared" si="5"/>
        <v>6243.2218901694914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697.34399999999994</v>
      </c>
      <c r="K20" s="128">
        <f t="shared" si="1"/>
        <v>0</v>
      </c>
      <c r="L20" s="119">
        <f t="shared" si="1"/>
        <v>0</v>
      </c>
      <c r="M20" s="230">
        <f t="shared" si="2"/>
        <v>5113.8559999999998</v>
      </c>
      <c r="N20" s="277">
        <f t="shared" si="3"/>
        <v>1098.3050847457628</v>
      </c>
      <c r="O20" s="239">
        <f t="shared" si="4"/>
        <v>31.060805423728812</v>
      </c>
      <c r="P20" s="119">
        <f t="shared" si="5"/>
        <v>6243.2218901694914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697.34399999999994</v>
      </c>
      <c r="K21" s="128">
        <f t="shared" si="1"/>
        <v>0</v>
      </c>
      <c r="L21" s="119">
        <f t="shared" si="1"/>
        <v>0</v>
      </c>
      <c r="M21" s="230">
        <f t="shared" si="2"/>
        <v>5113.8559999999998</v>
      </c>
      <c r="N21" s="277">
        <f t="shared" si="3"/>
        <v>1098.3050847457628</v>
      </c>
      <c r="O21" s="239">
        <f t="shared" si="4"/>
        <v>31.060805423728812</v>
      </c>
      <c r="P21" s="119">
        <f t="shared" si="5"/>
        <v>6243.2218901694914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2092.0319999999997</v>
      </c>
      <c r="K25" s="275">
        <f t="shared" si="7"/>
        <v>0</v>
      </c>
      <c r="L25" s="276">
        <f t="shared" si="7"/>
        <v>0</v>
      </c>
      <c r="M25" s="232">
        <f t="shared" si="7"/>
        <v>15341.567999999999</v>
      </c>
      <c r="N25" s="233">
        <f>SUM(N16:N24)</f>
        <v>3294.9152542372885</v>
      </c>
      <c r="O25" s="101">
        <f>SUM(O16:O24)</f>
        <v>93.18241627118644</v>
      </c>
      <c r="P25" s="234">
        <f>SUM(P16:P24)</f>
        <v>18729.665670508475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17433.599999999999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2092.0319999999997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15341.567999999999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18636.48325423729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93.182416271186455</v>
      </c>
    </row>
    <row r="35" spans="2:16" ht="15.75" customHeight="1" thickBot="1" x14ac:dyDescent="0.4">
      <c r="N35" s="375" t="s">
        <v>88</v>
      </c>
      <c r="O35" s="376"/>
      <c r="P35" s="297">
        <f>+P33+P34</f>
        <v>18729.665670508475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46322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46321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46324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46323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2026-10-28T04:45:02Z</dcterms:modified>
</cp:coreProperties>
</file>