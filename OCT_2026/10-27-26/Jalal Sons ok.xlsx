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5ED1FA4-CF07-4794-BE38-97EF760F0991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J7" i="62"/>
  <c r="M20" i="43"/>
  <c r="O20" i="43" s="1"/>
  <c r="P20" i="43" s="1"/>
  <c r="M21" i="43"/>
  <c r="O21" i="43" s="1"/>
  <c r="P21" i="43" s="1"/>
  <c r="K12" i="62"/>
  <c r="M16" i="48"/>
  <c r="M20" i="71"/>
  <c r="O20" i="71" s="1"/>
  <c r="P20" i="71" s="1"/>
  <c r="R20" i="71" s="1"/>
  <c r="M16" i="60"/>
  <c r="O16" i="60" s="1"/>
  <c r="P16" i="60" s="1"/>
  <c r="M16" i="58"/>
  <c r="O16" i="58" s="1"/>
  <c r="P16" i="58" s="1"/>
  <c r="M16" i="59"/>
  <c r="M21" i="51"/>
  <c r="M16" i="66"/>
  <c r="O16" i="66" s="1"/>
  <c r="M16" i="44"/>
  <c r="O16" i="44" s="1"/>
  <c r="M20" i="70"/>
  <c r="O20" i="70" s="1"/>
  <c r="P20" i="70" s="1"/>
  <c r="R20" i="70" s="1"/>
  <c r="M16" i="64"/>
  <c r="M16" i="65"/>
  <c r="M16" i="72"/>
  <c r="O16" i="72" s="1"/>
  <c r="P16" i="72" s="1"/>
  <c r="M18" i="67"/>
  <c r="O18" i="67" s="1"/>
  <c r="P18" i="67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<sst xmlns="http://schemas.openxmlformats.org/spreadsheetml/2006/main" count="3977" uniqueCount="520">
  <si>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</si>
  <si>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</si>
  <si>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</si>
  <si>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</si>
  <si>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</si>
  <si>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</si>
  <si>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</si>
  <si>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</si>
  <si>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</si>
  <si>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</si>
  <si>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</si>
  <si>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</si>
  <si>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</si>
  <si>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</si>
  <si>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</si>
  <si>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</si>
  <si>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</si>
  <si>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</si>
  <si>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</si>
  <si>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</si>
  <si>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</si>
  <si>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</si>
  <si>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</si>
  <si>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</si>
  <si>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</si>
  <si>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</si>
  <si>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</si>
  <si>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</si>
  <si>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</si>
  <si>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</si>
  <si>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</si>
  <si>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</si>
  <si>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</si>
  <si>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</si>
  <si>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</si>
  <si>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</si>
  <si>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</si>
  <si>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</si>
  <si>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</si>
  <si>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</si>
  <si>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</si>
  <si>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</si>
  <si>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</si>
  <si>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</si>
  <si>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</si>
  <si>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</si>
  <si>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</si>
  <si>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</si>
  <si>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</si>
  <si>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</si>
  <si>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</si>
  <si>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</si>
  <si>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</si>
  <si>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</si>
  <si>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</si>
  <si>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</si>
  <si>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</si>
  <si>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</si>
  <si>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</si>
  <si>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</si>
  <si>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</si>
  <si>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</si>
  <si>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</si>
  <si>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</si>
  <si>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</si>
  <si>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</si>
  <si>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</si>
  <si>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</si>
  <si>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</si>
  <si>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</si>
  <si>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</si>
  <si>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</si>
  <si>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</si>
  <si>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</si>
  <si>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</si>
  <si>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</si>
  <si>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</si>
  <si>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</si>
  <si>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</si>
  <si>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</si>
  <si>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</si>
  <si>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</si>
  <si>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</si>
  <si>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</si>
  <si>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</si>
  <si>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</si>
  <si>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</si>
  <si>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</si>
  <si>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</si>
  <si>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</si>
  <si>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</si>
  <si>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</si>
  <si>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</si>
  <si>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</si>
  <si>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</si>
  <si>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</si>
  <si>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</si>
  <si>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</si>
  <si>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</si>
  <si>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</si>
  <si>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</si>
  <si>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</si>
  <si>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</si>
  <si>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</si>
  <si>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</si>
  <si>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</si>
  <si>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</si>
  <si>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</si>
  <si>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</si>
  <si>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</si>
  <si>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</si>
  <si>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</si>
  <si>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</si>
  <si>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</si>
  <si>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</si>
  <si>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</si>
  <si>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</si>
  <si>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</si>
  <si>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</si>
  <si>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</si>
  <si>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</si>
  <si>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</si>
  <si>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</si>
  <si>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</si>
  <si>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</si>
  <si>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</si>
  <si>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</si>
  <si>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</si>
  <si>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</si>
  <si>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</si>
  <si>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</si>
  <si>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</si>
  <si>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</si>
  <si>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</si>
  <si>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</si>
  <si>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</si>
  <si>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</si>
  <si>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</si>
  <si>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</si>
  <si>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</si>
  <si>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</si>
  <si>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</si>
  <si>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</si>
  <si>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</si>
  <si>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</si>
  <si>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</si>
  <si>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</si>
  <si>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</si>
  <si>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</si>
  <si>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</si>
  <si>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</si>
  <si>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</si>
  <si>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</si>
  <si>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</si>
  <si>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</si>
  <si>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</si>
  <si>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</si>
  <si>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</si>
  <si>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</si>
  <si>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</si>
  <si>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</si>
  <si>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</si>
  <si>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</si>
  <si>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</si>
  <si>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</si>
  <si>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</si>
  <si>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</si>
  <si>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</si>
  <si>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</si>
  <si>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</si>
  <si>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</si>
  <si>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</si>
  <si>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</si>
  <si>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</si>
  <si>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</si>
  <si>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</si>
  <si>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</si>
  <si>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</si>
  <si>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</si>
  <si>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</si>
  <si>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</si>
  <si>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</si>
  <si>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</si>
  <si>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</si>
  <si>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</si>
  <si>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</si>
  <si>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</si>
  <si>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</si>
  <si>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</si>
  <si>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</si>
  <si>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</si>
  <si>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</si>
  <si>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</si>
  <si>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</si>
  <si>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</si>
  <si>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</si>
  <si>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</si>
  <si>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</si>
  <si>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</si>
  <si>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</si>
  <si>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</si>
  <si>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</si>
  <si>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</si>
  <si>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</si>
  <si>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</si>
  <si>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</si>
  <si>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</si>
  <si>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</si>
  <si>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</si>
  <si>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</si>
  <si>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</si>
  <si>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</si>
  <si>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</si>
  <si>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</si>
  <si>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</si>
  <si>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</si>
  <si>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</si>
  <si>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</si>
  <si>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</si>
  <si>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</si>
  <si>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</si>
  <si>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</si>
  <si>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</si>
  <si>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</si>
  <si>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</si>
  <si>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</si>
  <si>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</si>
  <si>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</si>
  <si>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</si>
  <si>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</si>
  <si>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</si>
  <si>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</si>
  <si>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</si>
  <si>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</si>
  <si>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</si>
  <si>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</si>
  <si>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</si>
  <si>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</si>
  <si>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</si>
  <si>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</si>
  <si>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</si>
  <si>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</si>
  <si>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</si>
  <si>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</si>
  <si>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</si>
  <si>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</si>
  <si>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</si>
  <si>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</si>
  <si>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</si>
  <si>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</si>
  <si>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</si>
  <si>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</si>
  <si>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</si>
  <si>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</si>
  <si>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</si>
  <si>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</si>
  <si>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</si>
  <si>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</si>
  <si>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</si>
  <si>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</si>
  <si>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</si>
  <si>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</si>
  <si>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</si>
  <si>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</si>
  <si>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</si>
  <si>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</si>
  <si>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</si>
  <si>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</si>
  <si>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</si>
  <si>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</si>
  <si>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</si>
  <si>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</si>
  <si>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</si>
  <si>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</si>
  <si>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</si>
  <si>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</si>
  <si>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</si>
  <si>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</si>
  <si>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</si>
  <si>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</si>
  <si>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</si>
  <si>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</si>
  <si>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</si>
  <si>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</si>
  <si>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</si>
  <si>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</si>
  <si>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</si>
  <si>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</si>
  <si>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</si>
  <si>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</si>
  <si>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</si>
  <si>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</si>
  <si>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</si>
  <si>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</si>
  <si>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</si>
  <si>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</si>
  <si>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</si>
  <si>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</si>
  <si>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</si>
  <si>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</si>
  <si>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</si>
  <si>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</si>
  <si>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</si>
  <si>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</si>
  <si>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</si>
  <si>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</si>
  <si>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</si>
  <si>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</si>
  <si>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</si>
  <si>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</si>
  <si>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</si>
  <si>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</si>
  <si>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</si>
  <si>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</si>
  <si>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</si>
  <si>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</si>
  <si>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</si>
  <si>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</si>
  <si>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</si>
  <si>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</si>
  <si>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</si>
  <si>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</si>
  <si>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</si>
  <si>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</si>
  <si>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</si>
  <si>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</si>
  <si>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</si>
  <si>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</si>
  <si>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</si>
  <si>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</si>
  <si>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</si>
  <si>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</si>
  <si>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</si>
  <si>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</si>
  <si>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</si>
  <si>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</si>
  <si>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</si>
  <si>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</si>
  <si>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</si>
  <si>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</si>
  <si>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</si>
  <si>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</si>
  <si>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</si>
  <si>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</si>
  <si>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</si>
  <si>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</si>
  <si>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</si>
  <si>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</si>
  <si>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</si>
  <si>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</si>
  <si>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</si>
  <si>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</si>
  <si>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</si>
  <si>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</si>
  <si>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</si>
  <si>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</si>
  <si>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</si>
  <si>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</si>
  <si>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</si>
  <si>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</si>
  <si>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</si>
  <si>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</si>
  <si>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</si>
  <si>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</si>
  <si>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</si>
  <si>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</si>
  <si>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</si>
  <si>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</si>
  <si>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</si>
  <si>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</si>
  <si>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</si>
  <si>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</si>
  <si>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</si>
  <si>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</si>
  <si>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</si>
  <si>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</si>
  <si>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</si>
  <si>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</si>
  <si>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</si>
  <si>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</si>
  <si>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</si>
  <si>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</si>
  <si>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</si>
  <si>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</si>
  <si>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</si>
  <si>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</si>
  <si>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</si>
  <si>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</si>
  <si>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</si>
  <si>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</si>
  <si>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</si>
  <si>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</si>
  <si>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</si>
  <si>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</si>
  <si>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</si>
  <si>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</si>
  <si>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</si>
  <si>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</si>
  <si>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</si>
  <si>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</si>
  <si>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</si>
  <si>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</si>
  <si>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</si>
  <si>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</si>
  <si>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</si>
  <si>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</si>
  <si>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</si>
  <si>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</si>
  <si>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</si>
  <si>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</si>
  <si>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</si>
  <si>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</si>
  <si>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</si>
  <si>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</si>
  <si>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</si>
  <si>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</si>
  <si>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</si>
  <si>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</si>
  <si>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</si>
  <si>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</si>
  <si>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</si>
  <si>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</si>
  <si>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</si>
  <si>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</si>
  <si>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</si>
  <si>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</si>
  <si>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</si>
  <si>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</si>
  <si>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</si>
  <si>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</si>
  <si>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</si>
  <si>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</si>
  <si>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</si>
  <si>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</si>
  <si>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</si>
  <si>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</si>
  <si>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</si>
  <si>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</si>
  <si>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</si>
  <si>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</si>
  <si>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</si>
  <si>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</si>
  <si>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</si>
  <si>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</si>
  <si>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</si>
  <si>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</si>
  <si>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</si>
  <si>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</si>
  <si>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</si>
  <si>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</si>
  <si>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</si>
  <si>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</si>
  <si>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</si>
  <si>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</si>
  <si>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</si>
  <si>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</si>
  <si>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</si>
  <si>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</si>
  <si>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</si>
  <si>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</si>
  <si>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</si>
  <si>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</si>
  <si>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</si>
  <si>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</si>
  <si>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</si>
  <si>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</si>
  <si>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</si>
  <si>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</si>
  <si>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</si>
  <si>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</si>
  <si>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</si>
  <si>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</si>
  <si>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</si>
  <si>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</si>
  <si>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</si>
  <si>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</si>
  <si>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</si>
  <si>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</si>
  <si>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</si>
  <si>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</si>
  <si>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</si>
  <si>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</si>
  <si>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</si>
  <si>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</si>
  <si>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</si>
  <si>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</si>
  <si>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</si>
  <si>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</si>
  <si>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</si>
  <si>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</si>
  <si>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</si>
  <si>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</si>
  <si>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</si>
  <si>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</si>
  <si>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</si>
  <si>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</si>
  <si>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</si>
  <si>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</si>
  <si>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</si>
  <si>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</si>
  <si>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</si>
  <si>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</si>
  <si>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</si>
  <si>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</si>
  <si>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</si>
  <si>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</si>
  <si>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</si>
  <si>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</si>
  <si>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</si>
  <si>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</si>
  <si>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</si>
  <si>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</si>
  <si>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</si>
  <si>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</si>
  <si>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 Main Market</t>
  </si>
  <si>
    <t xml:space="preserve">Address: Central Park </t>
  </si>
  <si>
    <t>Invoice No # : 151564</t>
  </si>
  <si>
    <t xml:space="preserve">Address: Chaburji Chowk </t>
  </si>
  <si>
    <t>Invoice No # :185616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</si>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</sst>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" fillId="0" borderId="3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/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f ca="1">TODAY()</f>
        <v>46322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 xml:space="preserve">Jalal Sons </v>
      </c>
      <c r="T3" s="301">
        <f>+'1'!P35</f>
        <v>47027.195553813559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9102.0213152542365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944.32499999999993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5351.1750000000002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32.705027542372882</v>
      </c>
      <c r="P7" s="310">
        <f>M7+N7+O7</f>
        <v>6573.7105360169489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944.32499999999993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5351.1750000000002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32.705027542372882</v>
      </c>
      <c r="P8" s="311">
        <f t="shared" ref="P8:P15" si="2">M8+N8+O8</f>
        <v>6573.7105360169489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944.32499999999993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5351.1750000000002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32.705027542372882</v>
      </c>
      <c r="P9" s="311">
        <f t="shared" si="2"/>
        <v>6573.7105360169489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1743.3599999999997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9879.0400000000009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60.378250847457629</v>
      </c>
      <c r="P10" s="311">
        <f t="shared" si="2"/>
        <v>12136.028420338984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1743.3599999999997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9879.0400000000009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60.378250847457629</v>
      </c>
      <c r="P11" s="311">
        <f t="shared" si="2"/>
        <v>12136.028420338984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1743.3599999999997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9879.0400000000009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60.378250847457629</v>
      </c>
      <c r="P12" s="311">
        <f t="shared" si="2"/>
        <v>12136.028420338984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21</v>
      </c>
      <c r="H16" s="113">
        <f t="shared" ref="H16:M16" si="3">SUM(H7:H15)</f>
        <v>840</v>
      </c>
      <c r="I16" s="114">
        <f t="shared" si="3"/>
        <v>53753.700000000004</v>
      </c>
      <c r="J16" s="274">
        <f>SUM(J7:J15)</f>
        <v>8063.0549999999985</v>
      </c>
      <c r="K16" s="275">
        <f t="shared" si="3"/>
        <v>0</v>
      </c>
      <c r="L16" s="276">
        <f t="shared" si="3"/>
        <v>0</v>
      </c>
      <c r="M16" s="232">
        <f t="shared" si="3"/>
        <v>45690.645000000004</v>
      </c>
      <c r="N16" s="233">
        <f>SUM(N7:N15)</f>
        <v>10159.322033898303</v>
      </c>
      <c r="O16" s="101">
        <f>SUM(O7:O15)</f>
        <v>279.24983516949152</v>
      </c>
      <c r="P16" s="113">
        <f>SUM(P7:P15)</f>
        <v>56129.216869067794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53753.700000000004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8063.0549999999985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45690.645000000004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10159.322033898303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55849.967033898305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279.24983516949152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56129.216869067794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56129.216869067794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D38"/>
  <sheetViews>
    <sheetView tabSelected="1" workbookViewId="0">
      <selection activeCell="J2" sqref="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519</v>
      </c>
    </row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516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46322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46321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500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1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1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944.32499999999993</v>
      </c>
      <c r="K16" s="127">
        <f>$I16*T16</f>
        <v>0</v>
      </c>
      <c r="L16" s="118">
        <f>$I16*U16</f>
        <v>0</v>
      </c>
      <c r="M16" s="229">
        <f>I16-SUM(J16:L16)</f>
        <v>5351.1750000000002</v>
      </c>
      <c r="N16" s="248">
        <f>+(G16*D16+H16)*V16</f>
        <v>1189.8305084745757</v>
      </c>
      <c r="O16" s="238">
        <f>(N16+M16)*$O$15</f>
        <v>32.705027542372882</v>
      </c>
      <c r="P16" s="118">
        <f>M16+N16+O16</f>
        <v>6573.7105360169489</v>
      </c>
      <c r="Q16" s="319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944.32499999999993</v>
      </c>
      <c r="K17" s="128">
        <f>$I17*T17</f>
        <v>0</v>
      </c>
      <c r="L17" s="119">
        <f>$I17*U17</f>
        <v>0</v>
      </c>
      <c r="M17" s="230">
        <f t="shared" ref="M17:M24" si="2">I17-SUM(J17:L17)</f>
        <v>5351.1750000000002</v>
      </c>
      <c r="N17" s="277">
        <f t="shared" ref="N17:N24" si="3">+(G17*D17+H17)*V17</f>
        <v>1189.8305084745757</v>
      </c>
      <c r="O17" s="239">
        <f t="shared" ref="O17:O24" si="4">(N17+M17)*$O$15</f>
        <v>32.705027542372882</v>
      </c>
      <c r="P17" s="119">
        <f t="shared" ref="P17:P24" si="5">M17+N17+O17</f>
        <v>6573.7105360169489</v>
      </c>
      <c r="Q17" s="320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944.32499999999993</v>
      </c>
      <c r="K18" s="128">
        <f t="shared" si="1"/>
        <v>0</v>
      </c>
      <c r="L18" s="119">
        <f t="shared" si="1"/>
        <v>0</v>
      </c>
      <c r="M18" s="230">
        <f t="shared" si="2"/>
        <v>5351.1750000000002</v>
      </c>
      <c r="N18" s="277">
        <f t="shared" si="3"/>
        <v>1189.8305084745757</v>
      </c>
      <c r="O18" s="239">
        <f t="shared" si="4"/>
        <v>32.705027542372882</v>
      </c>
      <c r="P18" s="119">
        <f t="shared" si="5"/>
        <v>6573.7105360169489</v>
      </c>
      <c r="Q18" s="320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1307.5199999999998</v>
      </c>
      <c r="K19" s="128">
        <f t="shared" si="1"/>
        <v>0</v>
      </c>
      <c r="L19" s="119">
        <f t="shared" si="1"/>
        <v>0</v>
      </c>
      <c r="M19" s="230">
        <f t="shared" si="2"/>
        <v>7409.28</v>
      </c>
      <c r="N19" s="277">
        <f t="shared" si="3"/>
        <v>1647.4576271186443</v>
      </c>
      <c r="O19" s="239">
        <f t="shared" si="4"/>
        <v>45.283688135593223</v>
      </c>
      <c r="P19" s="119">
        <f t="shared" si="5"/>
        <v>9102.0213152542365</v>
      </c>
      <c r="Q19" s="320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1307.5199999999998</v>
      </c>
      <c r="K20" s="128">
        <f t="shared" si="1"/>
        <v>0</v>
      </c>
      <c r="L20" s="119">
        <f t="shared" si="1"/>
        <v>0</v>
      </c>
      <c r="M20" s="230">
        <f t="shared" si="2"/>
        <v>7409.28</v>
      </c>
      <c r="N20" s="277">
        <f t="shared" si="3"/>
        <v>1647.4576271186443</v>
      </c>
      <c r="O20" s="239">
        <f t="shared" si="4"/>
        <v>45.283688135593223</v>
      </c>
      <c r="P20" s="119">
        <f t="shared" si="5"/>
        <v>9102.0213152542365</v>
      </c>
      <c r="Q20" s="320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1307.5199999999998</v>
      </c>
      <c r="K21" s="128">
        <f t="shared" si="1"/>
        <v>0</v>
      </c>
      <c r="L21" s="119">
        <f t="shared" si="1"/>
        <v>0</v>
      </c>
      <c r="M21" s="230">
        <f t="shared" si="2"/>
        <v>7409.28</v>
      </c>
      <c r="N21" s="277">
        <f t="shared" si="3"/>
        <v>1647.4576271186443</v>
      </c>
      <c r="O21" s="239">
        <f t="shared" si="4"/>
        <v>45.283688135593223</v>
      </c>
      <c r="P21" s="119">
        <f t="shared" si="5"/>
        <v>9102.0213152542365</v>
      </c>
      <c r="Q21" s="320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45036.899999999994</v>
      </c>
      <c r="J25" s="274">
        <f>SUM(J16:J24)</f>
        <v>6755.5349999999989</v>
      </c>
      <c r="K25" s="275">
        <f t="shared" si="10"/>
        <v>0</v>
      </c>
      <c r="L25" s="276">
        <f t="shared" si="10"/>
        <v>0</v>
      </c>
      <c r="M25" s="232">
        <f t="shared" si="10"/>
        <v>38281.364999999998</v>
      </c>
      <c r="N25" s="233">
        <f>SUM(N16:N24)</f>
        <v>8511.8644067796595</v>
      </c>
      <c r="O25" s="101">
        <f>SUM(O16:O24)</f>
        <v>233.96614703389832</v>
      </c>
      <c r="P25" s="234">
        <f>SUM(P16:P24)</f>
        <v>47027.195553813552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45036.899999999994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6755.5349999999989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38281.364999999998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8511.8644067796595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46793.229406779661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233.96614703389832</v>
      </c>
    </row>
    <row r="35" spans="2:16" ht="15.75" customHeight="1" thickBot="1" x14ac:dyDescent="0.4">
      <c r="N35" s="346" t="s">
        <v>88</v>
      </c>
      <c r="O35" s="347"/>
      <c r="P35" s="297">
        <f>+P33+P34</f>
        <v>47027.195553813559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C27" sqref="C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10" width="8.36328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518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46322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8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7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8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9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0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0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119">
        <f t="shared" si="5"/>
        <v>3034.0071050847455</v>
      </c>
      <c r="Q19" s="320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119">
        <f t="shared" si="5"/>
        <v>3034.0071050847455</v>
      </c>
      <c r="Q20" s="320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435.84</v>
      </c>
      <c r="K21" s="128">
        <f t="shared" si="1"/>
        <v>0</v>
      </c>
      <c r="L21" s="119">
        <f t="shared" si="1"/>
        <v>0</v>
      </c>
      <c r="M21" s="230">
        <f t="shared" si="2"/>
        <v>2469.7599999999998</v>
      </c>
      <c r="N21" s="277">
        <f t="shared" si="3"/>
        <v>549.15254237288138</v>
      </c>
      <c r="O21" s="239">
        <f t="shared" si="4"/>
        <v>15.094562711864405</v>
      </c>
      <c r="P21" s="119">
        <f t="shared" si="5"/>
        <v>3034.0071050847455</v>
      </c>
      <c r="Q21" s="320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1307.52</v>
      </c>
      <c r="K25" s="275">
        <f t="shared" si="7"/>
        <v>0</v>
      </c>
      <c r="L25" s="276">
        <f t="shared" si="7"/>
        <v>0</v>
      </c>
      <c r="M25" s="232">
        <f t="shared" si="7"/>
        <v>7409.2799999999988</v>
      </c>
      <c r="N25" s="233">
        <f>SUM(N16:N24)</f>
        <v>1647.4576271186443</v>
      </c>
      <c r="O25" s="101">
        <f>SUM(O16:O24)</f>
        <v>45.283688135593216</v>
      </c>
      <c r="P25" s="234">
        <f>SUM(P16:P24)</f>
        <v>9102.0213152542365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8716.7999999999993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1307.52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7409.2799999999988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9056.737627118644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45.283688135593223</v>
      </c>
    </row>
    <row r="35" spans="2:16" ht="15.75" customHeight="1" thickBot="1" x14ac:dyDescent="0.4">
      <c r="N35" s="346" t="s">
        <v>88</v>
      </c>
      <c r="O35" s="347"/>
      <c r="P35" s="297">
        <f>+P33+P34</f>
        <v>9102.0213152542365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46323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46322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2026-10-27T10:26:26Z</dcterms:modified>
</cp:coreProperties>
</file>