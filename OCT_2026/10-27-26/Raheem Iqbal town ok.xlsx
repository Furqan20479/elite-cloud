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1ED2683-E95B-48CD-8297-7AE2C4F066F4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8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<sst xmlns="http://schemas.openxmlformats.org/spreadsheetml/2006/main" count="3948" uniqueCount="517">
  <si>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</si>
  <si>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</si>
  <si>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</si>
  <si>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</si>
  <si>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</si>
  <si>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</si>
  <si>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</si>
  <si>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</si>
  <si>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</si>
  <si>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</si>
  <si>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</si>
  <si>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</si>
  <si>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</si>
  <si>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</si>
  <si>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</si>
  <si>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</si>
  <si>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</si>
  <si>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</si>
  <si>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</si>
  <si>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</si>
  <si>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</si>
  <si>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</si>
  <si>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</si>
  <si>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</si>
  <si>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</si>
  <si>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</si>
  <si>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</si>
  <si>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</si>
  <si>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</si>
  <si>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</si>
  <si>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</si>
  <si>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</si>
  <si>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</si>
  <si>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</si>
  <si>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</si>
  <si>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</si>
  <si>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</si>
  <si>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</si>
  <si>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</si>
  <si>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</si>
  <si>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</si>
  <si>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</si>
  <si>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</si>
  <si>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</si>
  <si>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</si>
  <si>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</si>
  <si>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</si>
  <si>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</si>
  <si>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</si>
  <si>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</si>
  <si>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</si>
  <si>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</si>
  <si>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</si>
  <si>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</si>
  <si>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</si>
  <si>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</si>
  <si>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</si>
  <si>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</si>
  <si>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</si>
  <si>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</si>
  <si>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</si>
  <si>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</si>
  <si>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</si>
  <si>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</si>
  <si>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</si>
  <si>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</si>
  <si>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</si>
  <si>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</si>
  <si>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</si>
  <si>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</si>
  <si>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</si>
  <si>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</si>
  <si>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</si>
  <si>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</si>
  <si>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</si>
  <si>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</si>
  <si>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</si>
  <si>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</si>
  <si>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</si>
  <si>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</si>
  <si>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</si>
  <si>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</si>
  <si>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</si>
  <si>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</si>
  <si>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</si>
  <si>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</si>
  <si>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</si>
  <si>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</si>
  <si>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</si>
  <si>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</si>
  <si>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</si>
  <si>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</si>
  <si>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</si>
  <si>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</si>
  <si>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</si>
  <si>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</si>
  <si>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</si>
  <si>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</si>
  <si>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</si>
  <si>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</si>
  <si>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</si>
  <si>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</si>
  <si>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</si>
  <si>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</si>
  <si>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</si>
  <si>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</si>
  <si>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</si>
  <si>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</si>
  <si>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</si>
  <si>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</si>
  <si>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</si>
  <si>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</si>
  <si>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</si>
  <si>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</si>
  <si>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</si>
  <si>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</si>
  <si>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</si>
  <si>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</si>
  <si>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</si>
  <si>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</si>
  <si>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</si>
  <si>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</si>
  <si>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</si>
  <si>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</si>
  <si>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</si>
  <si>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</si>
  <si>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</si>
  <si>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</si>
  <si>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</si>
  <si>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</si>
  <si>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</si>
  <si>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</si>
  <si>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</si>
  <si>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</si>
  <si>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</si>
  <si>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</si>
  <si>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</si>
  <si>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</si>
  <si>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</si>
  <si>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</si>
  <si>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</si>
  <si>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</si>
  <si>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</si>
  <si>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</si>
  <si>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</si>
  <si>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</si>
  <si>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</si>
  <si>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</si>
  <si>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</si>
  <si>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</si>
  <si>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</si>
  <si>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</si>
  <si>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</si>
  <si>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</si>
  <si>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</si>
  <si>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</si>
  <si>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</si>
  <si>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</si>
  <si>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</si>
  <si>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</si>
  <si>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</si>
  <si>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</si>
  <si>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</si>
  <si>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</si>
  <si>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</si>
  <si>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</si>
  <si>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</si>
  <si>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</si>
  <si>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</si>
  <si>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</si>
  <si>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</si>
  <si>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</si>
  <si>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</si>
  <si>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</si>
  <si>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</si>
  <si>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</si>
  <si>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</si>
  <si>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</si>
  <si>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</si>
  <si>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</si>
  <si>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</si>
  <si>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</si>
  <si>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</si>
  <si>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</si>
  <si>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</si>
  <si>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</si>
  <si>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</si>
  <si>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</si>
  <si>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</si>
  <si>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</si>
  <si>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</si>
  <si>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</si>
  <si>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</si>
  <si>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</si>
  <si>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</si>
  <si>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</si>
  <si>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</si>
  <si>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</si>
  <si>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</si>
  <si>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</si>
  <si>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</si>
  <si>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</si>
  <si>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</si>
  <si>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</si>
  <si>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</si>
  <si>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</si>
  <si>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</si>
  <si>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</si>
  <si>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</si>
  <si>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</si>
  <si>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</si>
  <si>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</si>
  <si>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</si>
  <si>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</si>
  <si>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</si>
  <si>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</si>
  <si>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</si>
  <si>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</si>
  <si>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</si>
  <si>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</si>
  <si>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</si>
  <si>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</si>
  <si>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</si>
  <si>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</si>
  <si>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</si>
  <si>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</si>
  <si>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</si>
  <si>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</si>
  <si>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</si>
  <si>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</si>
  <si>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</si>
  <si>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</si>
  <si>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</si>
  <si>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</si>
  <si>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</si>
  <si>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</si>
  <si>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</si>
  <si>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</si>
  <si>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</si>
  <si>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</si>
  <si>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</si>
  <si>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</si>
  <si>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</si>
  <si>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</si>
  <si>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</si>
  <si>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</si>
  <si>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</si>
  <si>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</si>
  <si>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</si>
  <si>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</si>
  <si>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</si>
  <si>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</si>
  <si>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</si>
  <si>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</si>
  <si>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</si>
  <si>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</si>
  <si>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</si>
  <si>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</si>
  <si>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</si>
  <si>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</si>
  <si>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</si>
  <si>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</si>
  <si>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</si>
  <si>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</si>
  <si>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</si>
  <si>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</si>
  <si>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</si>
  <si>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</si>
  <si>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</si>
  <si>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</si>
  <si>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</si>
  <si>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</si>
  <si>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</si>
  <si>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</si>
  <si>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</si>
  <si>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</si>
  <si>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</si>
  <si>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</si>
  <si>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</si>
  <si>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</si>
  <si>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</si>
  <si>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</si>
  <si>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</si>
  <si>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</si>
  <si>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</si>
  <si>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</si>
  <si>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</si>
  <si>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</si>
  <si>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</si>
  <si>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</si>
  <si>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</si>
  <si>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</si>
  <si>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</si>
  <si>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</si>
  <si>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</si>
  <si>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</si>
  <si>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</si>
  <si>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</si>
  <si>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</si>
  <si>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</si>
  <si>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</si>
  <si>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</si>
  <si>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</si>
  <si>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</si>
  <si>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</si>
  <si>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</si>
  <si>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</si>
  <si>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</si>
  <si>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</si>
  <si>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</si>
  <si>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</si>
  <si>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</si>
  <si>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</si>
  <si>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</si>
  <si>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</si>
  <si>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</si>
  <si>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</si>
  <si>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</si>
  <si>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</si>
  <si>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</si>
  <si>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</si>
  <si>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</si>
  <si>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</si>
  <si>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</si>
  <si>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</si>
  <si>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</si>
  <si>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</si>
  <si>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</si>
  <si>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</si>
  <si>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</si>
  <si>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</si>
  <si>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</si>
  <si>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</si>
  <si>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</si>
  <si>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</si>
  <si>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</si>
  <si>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</si>
  <si>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</si>
  <si>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</si>
  <si>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</si>
  <si>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</si>
  <si>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</si>
  <si>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</si>
  <si>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</si>
  <si>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</si>
  <si>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</si>
  <si>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</si>
  <si>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</si>
  <si>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</si>
  <si>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</si>
  <si>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</si>
  <si>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</si>
  <si>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</si>
  <si>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</si>
  <si>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</si>
  <si>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</si>
  <si>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</si>
  <si>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</si>
  <si>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</si>
  <si>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</si>
  <si>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</si>
  <si>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</si>
  <si>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</si>
  <si>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</si>
  <si>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</si>
  <si>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</si>
  <si>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</si>
  <si>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</si>
  <si>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</si>
  <si>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</si>
  <si>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</si>
  <si>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</si>
  <si>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</si>
  <si>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</si>
  <si>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</si>
  <si>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</si>
  <si>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</si>
  <si>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</si>
  <si>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</si>
  <si>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</si>
  <si>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</si>
  <si>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</si>
  <si>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</si>
  <si>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</si>
  <si>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</si>
  <si>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</si>
  <si>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</si>
  <si>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</si>
  <si>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</si>
  <si>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</si>
  <si>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</si>
  <si>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</si>
  <si>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</si>
  <si>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</si>
  <si>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</si>
  <si>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</si>
  <si>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</si>
  <si>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</si>
  <si>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</si>
  <si>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</si>
  <si>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</si>
  <si>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</si>
  <si>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</si>
  <si>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</si>
  <si>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</si>
  <si>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</si>
  <si>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</si>
  <si>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</si>
  <si>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</si>
  <si>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</si>
  <si>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</si>
  <si>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</si>
  <si>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</si>
  <si>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</si>
  <si>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</si>
  <si>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</si>
  <si>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</si>
  <si>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</si>
  <si>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</si>
  <si>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</si>
  <si>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</si>
  <si>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</si>
  <si>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</si>
  <si>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</si>
  <si>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</si>
  <si>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</si>
  <si>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</si>
  <si>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</si>
  <si>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</si>
  <si>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</si>
  <si>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</si>
  <si>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</si>
  <si>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</si>
  <si>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</si>
  <si>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</si>
  <si>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</si>
  <si>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</si>
  <si>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</si>
  <si>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</si>
  <si>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</si>
  <si>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</si>
  <si>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</si>
  <si>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</si>
  <si>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</si>
  <si>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</si>
  <si>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</si>
  <si>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</si>
  <si>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</si>
  <si>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</si>
  <si>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</si>
  <si>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</si>
  <si>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</si>
  <si>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</si>
  <si>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</si>
  <si>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</si>
  <si>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</si>
  <si>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</si>
  <si>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</si>
  <si>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</si>
  <si>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</si>
  <si>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</si>
  <si>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</si>
  <si>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</si>
  <si>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</si>
  <si>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</si>
  <si>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</si>
  <si>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</si>
  <si>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</si>
  <si>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</si>
  <si>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</si>
  <si>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</si>
  <si>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</si>
  <si>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</si>
  <si>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</si>
  <si>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</si>
  <si>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</si>
  <si>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</si>
  <si>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</si>
  <si>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</si>
  <si>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</si>
  <si>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</si>
  <si>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</si>
  <si>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</si>
  <si>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</si>
  <si>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</si>
  <si>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</si>
  <si>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</si>
  <si>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</si>
  <si>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</si>
  <si>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</si>
  <si>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</si>
  <si>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</si>
  <si>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</si>
  <si>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</si>
  <si>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</si>
  <si>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</si>
  <si>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</si>
  <si>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</si>
  <si>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</si>
  <si>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</si>
  <si>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</si>
  <si>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</si>
  <si>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</si>
  <si>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</si>
  <si>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</si>
  <si>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</si>
  <si>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</si>
  <si>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</si>
  <si>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</si>
  <si>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</si>
  <si>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</si>
  <si>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</si>
  <si>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</si>
  <si>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</si>
  <si>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</si>
  <si>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</si>
  <si>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>Invoice No # : 16546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</si>
</sst>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512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46322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Raheem Store</v>
      </c>
      <c r="T3" s="301">
        <f>+'1'!P35</f>
        <v>98703.477330508482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9023.5499999999993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55.033004237288132</v>
      </c>
      <c r="P7" s="310">
        <f>M7+N7+O7</f>
        <v>11061.633851694914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9023.5499999999993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55.033004237288132</v>
      </c>
      <c r="P8" s="311">
        <f t="shared" ref="P8:P15" si="2">M8+N8+O8</f>
        <v>11061.633851694914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240</v>
      </c>
      <c r="I10" s="236">
        <f t="shared" si="0"/>
        <v>17433.599999999999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2440.7040000000002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14992.895999999999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3294.9152542372885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91.439056271186445</v>
      </c>
      <c r="P10" s="311">
        <f t="shared" si="2"/>
        <v>18379.250310508472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360</v>
      </c>
      <c r="I11" s="236">
        <f t="shared" si="0"/>
        <v>26150.400000000001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3661.0560000000005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22489.344000000001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4942.3728813559328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137.15858440677968</v>
      </c>
      <c r="P11" s="311">
        <f t="shared" si="2"/>
        <v>27568.875465762714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4067.8400000000006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24988.16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152.39842711864407</v>
      </c>
      <c r="P12" s="311">
        <f t="shared" si="2"/>
        <v>30632.083850847459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35</v>
      </c>
      <c r="H16" s="113">
        <f t="shared" ref="H16:M16" si="3">SUM(H7:H15)</f>
        <v>1400</v>
      </c>
      <c r="I16" s="114">
        <f t="shared" si="3"/>
        <v>93625</v>
      </c>
      <c r="J16" s="274">
        <f>SUM(J7:J15)</f>
        <v>13107.5</v>
      </c>
      <c r="K16" s="275">
        <f t="shared" si="3"/>
        <v>0</v>
      </c>
      <c r="L16" s="276">
        <f t="shared" si="3"/>
        <v>0</v>
      </c>
      <c r="M16" s="232">
        <f t="shared" si="3"/>
        <v>80517.5</v>
      </c>
      <c r="N16" s="233">
        <f>SUM(N7:N15)</f>
        <v>17694.915254237287</v>
      </c>
      <c r="O16" s="101">
        <f>SUM(O7:O15)</f>
        <v>491.06207627118641</v>
      </c>
      <c r="P16" s="113">
        <f>SUM(P7:P15)</f>
        <v>98703.477330508467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93625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13107.5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0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80517.5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17694.915254237287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98212.41525423729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491.06207627118641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98703.477330508482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98703.477330508482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46321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0</v>
      </c>
      <c r="L16" s="118">
        <f>$I16*U16</f>
        <v>0</v>
      </c>
      <c r="M16" s="229">
        <f>I16-SUM(J16:L16)</f>
        <v>9023.5499999999993</v>
      </c>
      <c r="N16" s="248">
        <f>+(G16*D16+H16)*V16</f>
        <v>1983.0508474576263</v>
      </c>
      <c r="O16" s="238">
        <f>(N16+M16)*$O$15</f>
        <v>55.033004237288132</v>
      </c>
      <c r="P16" s="310">
        <f>M16+N16+O16</f>
        <v>11061.633851694914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0</v>
      </c>
      <c r="L17" s="119">
        <f>$I17*U17</f>
        <v>0</v>
      </c>
      <c r="M17" s="230">
        <f t="shared" ref="M17:M24" si="2">I17-SUM(J17:L17)</f>
        <v>9023.5499999999993</v>
      </c>
      <c r="N17" s="277">
        <f t="shared" ref="N17:N24" si="3">+(G17*D17+H17)*V17</f>
        <v>1983.0508474576263</v>
      </c>
      <c r="O17" s="239">
        <f t="shared" ref="O17:O24" si="4">(N17+M17)*$O$15</f>
        <v>55.033004237288132</v>
      </c>
      <c r="P17" s="311">
        <f t="shared" ref="P17:P24" si="5">M17+N17+O17</f>
        <v>11061.633851694914</v>
      </c>
      <c r="Q17" s="156"/>
      <c r="S17" s="269">
        <f>+S16</f>
        <v>0.14000000000000001</v>
      </c>
      <c r="T17" s="270"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240</v>
      </c>
      <c r="I19" s="236">
        <f t="shared" si="7"/>
        <v>17433.599999999999</v>
      </c>
      <c r="J19" s="272">
        <f t="shared" si="1"/>
        <v>2440.7040000000002</v>
      </c>
      <c r="K19" s="128">
        <f t="shared" si="1"/>
        <v>0</v>
      </c>
      <c r="L19" s="119">
        <f t="shared" si="1"/>
        <v>0</v>
      </c>
      <c r="M19" s="230">
        <f t="shared" si="2"/>
        <v>14992.895999999999</v>
      </c>
      <c r="N19" s="277">
        <f t="shared" si="3"/>
        <v>3294.9152542372885</v>
      </c>
      <c r="O19" s="239">
        <f t="shared" si="4"/>
        <v>91.439056271186445</v>
      </c>
      <c r="P19" s="311">
        <f t="shared" si="5"/>
        <v>18379.250310508472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360</v>
      </c>
      <c r="I20" s="236">
        <f t="shared" si="7"/>
        <v>26150.400000000001</v>
      </c>
      <c r="J20" s="272">
        <f t="shared" si="1"/>
        <v>3661.0560000000005</v>
      </c>
      <c r="K20" s="128">
        <f t="shared" si="1"/>
        <v>0</v>
      </c>
      <c r="L20" s="119">
        <f t="shared" si="1"/>
        <v>0</v>
      </c>
      <c r="M20" s="230">
        <f t="shared" si="2"/>
        <v>22489.344000000001</v>
      </c>
      <c r="N20" s="277">
        <f t="shared" si="3"/>
        <v>4942.3728813559328</v>
      </c>
      <c r="O20" s="239">
        <f t="shared" si="4"/>
        <v>137.15858440677968</v>
      </c>
      <c r="P20" s="311">
        <f t="shared" si="5"/>
        <v>27568.875465762714</v>
      </c>
      <c r="Q20" s="156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4067.8400000000006</v>
      </c>
      <c r="K21" s="128">
        <f t="shared" si="1"/>
        <v>0</v>
      </c>
      <c r="L21" s="119">
        <f t="shared" si="1"/>
        <v>0</v>
      </c>
      <c r="M21" s="230">
        <f t="shared" si="2"/>
        <v>24988.16</v>
      </c>
      <c r="N21" s="277">
        <f t="shared" si="3"/>
        <v>5491.5254237288136</v>
      </c>
      <c r="O21" s="239">
        <f t="shared" si="4"/>
        <v>152.39842711864407</v>
      </c>
      <c r="P21" s="311">
        <f t="shared" si="5"/>
        <v>30632.083850847459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1400</v>
      </c>
      <c r="I25" s="114">
        <f t="shared" ref="I25:M25" si="10">SUM(I16:I24)</f>
        <v>93625</v>
      </c>
      <c r="J25" s="274">
        <f>SUM(J16:J24)</f>
        <v>13107.5</v>
      </c>
      <c r="K25" s="275">
        <f t="shared" si="10"/>
        <v>0</v>
      </c>
      <c r="L25" s="276">
        <f t="shared" si="10"/>
        <v>0</v>
      </c>
      <c r="M25" s="232">
        <f t="shared" si="10"/>
        <v>80517.5</v>
      </c>
      <c r="N25" s="233">
        <f>SUM(N16:N24)</f>
        <v>17694.915254237287</v>
      </c>
      <c r="O25" s="101">
        <f>SUM(O16:O24)</f>
        <v>491.06207627118641</v>
      </c>
      <c r="P25" s="113">
        <f>SUM(P16:P24)</f>
        <v>98703.477330508467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93625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13107.5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80517.5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17694.915254237287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98212.41525423729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491.06207627118647</v>
      </c>
    </row>
    <row r="35" spans="2:16" ht="15.75" customHeight="1" thickBot="1" x14ac:dyDescent="0.4">
      <c r="N35" s="343" t="s">
        <v>88</v>
      </c>
      <c r="O35" s="344"/>
      <c r="P35" s="297">
        <f>+P33+P34</f>
        <v>98703.477330508482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46323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46322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2026-10-27T04:35:50Z</dcterms:modified>
</cp:coreProperties>
</file>