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C3247FB-0D37-4C4A-952B-2B201EC1C69B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5" l="1"/>
  <c r="N5" i="65" s="1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8" l="1"/>
  <c r="K12" i="62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5" i="52" l="1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<sst xmlns="http://schemas.openxmlformats.org/spreadsheetml/2006/main" count="3948" uniqueCount="525">
  <si>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</si>
  <si>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</si>
  <si>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</si>
  <si>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</si>
  <si>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</si>
  <si>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</si>
  <si>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</si>
  <si>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</si>
  <si>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</si>
  <si>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</si>
  <si>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</si>
  <si>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</si>
  <si>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</si>
  <si>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</si>
  <si>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</si>
  <si>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</si>
  <si>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</si>
  <si>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</si>
  <si>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</si>
  <si>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</si>
  <si>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</si>
  <si>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</si>
  <si>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</si>
  <si>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</si>
  <si>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</si>
  <si>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</si>
  <si>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</si>
  <si>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</si>
  <si>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</si>
  <si>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</si>
  <si>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</si>
  <si>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</si>
  <si>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</si>
  <si>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</si>
  <si>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</si>
  <si>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</si>
  <si>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</si>
  <si>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</si>
  <si>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</si>
  <si>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</si>
  <si>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</si>
  <si>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</si>
  <si>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</si>
  <si>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</si>
  <si>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</si>
  <si>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</si>
  <si>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</si>
  <si>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</si>
  <si>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</si>
  <si>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</si>
  <si>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</si>
  <si>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</si>
  <si>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</si>
  <si>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</si>
  <si>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</si>
  <si>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</si>
  <si>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</si>
  <si>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</si>
  <si>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</si>
  <si>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</si>
  <si>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</si>
  <si>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</si>
  <si>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</si>
  <si>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</si>
  <si>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</si>
  <si>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</si>
  <si>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</si>
  <si>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</si>
  <si>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</si>
  <si>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</si>
  <si>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</si>
  <si>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</si>
  <si>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</si>
  <si>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</si>
  <si>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</si>
  <si>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</si>
  <si>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</si>
  <si>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</si>
  <si>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</si>
  <si>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</si>
  <si>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</si>
  <si>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</si>
  <si>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</si>
  <si>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</si>
  <si>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</si>
  <si>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</si>
  <si>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</si>
  <si>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</si>
  <si>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</si>
  <si>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</si>
  <si>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</si>
  <si>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</si>
  <si>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</si>
  <si>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</si>
  <si>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</si>
  <si>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</si>
  <si>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</si>
  <si>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</si>
  <si>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</si>
  <si>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</si>
  <si>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</si>
  <si>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</si>
  <si>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</si>
  <si>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</si>
  <si>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</si>
  <si>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</si>
  <si>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</si>
  <si>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</si>
  <si>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</si>
  <si>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</si>
  <si>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</si>
  <si>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</si>
  <si>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</si>
  <si>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</si>
  <si>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</si>
  <si>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</si>
  <si>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</si>
  <si>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</si>
  <si>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</si>
  <si>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</si>
  <si>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</si>
  <si>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</si>
  <si>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</si>
  <si>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</si>
  <si>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</si>
  <si>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</si>
  <si>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</si>
  <si>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</si>
  <si>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</si>
  <si>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</si>
  <si>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</si>
  <si>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</si>
  <si>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</si>
  <si>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</si>
  <si>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</si>
  <si>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</si>
  <si>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</si>
  <si>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</si>
  <si>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</si>
  <si>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</si>
  <si>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</si>
  <si>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</si>
  <si>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</si>
  <si>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</si>
  <si>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</si>
  <si>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</si>
  <si>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</si>
  <si>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</si>
  <si>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</si>
  <si>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</si>
  <si>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</si>
  <si>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</si>
  <si>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</si>
  <si>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</si>
  <si>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</si>
  <si>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</si>
  <si>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</si>
  <si>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</si>
  <si>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</si>
  <si>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</si>
  <si>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</si>
  <si>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</si>
  <si>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</si>
  <si>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</si>
  <si>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</si>
  <si>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</si>
  <si>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</si>
  <si>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</si>
  <si>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</si>
  <si>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</si>
  <si>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</si>
  <si>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</si>
  <si>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</si>
  <si>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</si>
  <si>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</si>
  <si>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</si>
  <si>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</si>
  <si>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</si>
  <si>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</si>
  <si>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</si>
  <si>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</si>
  <si>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</si>
  <si>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</si>
  <si>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</si>
  <si>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</si>
  <si>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</si>
  <si>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</si>
  <si>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</si>
  <si>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</si>
  <si>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</si>
  <si>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</si>
  <si>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</si>
  <si>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</si>
  <si>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</si>
  <si>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</si>
  <si>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</si>
  <si>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</si>
  <si>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</si>
  <si>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</si>
  <si>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</si>
  <si>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</si>
  <si>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</si>
  <si>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</si>
  <si>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</si>
  <si>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</si>
  <si>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</si>
  <si>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</si>
  <si>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</si>
  <si>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</si>
  <si>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</si>
  <si>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</si>
  <si>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</si>
  <si>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</si>
  <si>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</si>
  <si>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</si>
  <si>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</si>
  <si>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</si>
  <si>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</si>
  <si>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</si>
  <si>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</si>
  <si>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</si>
  <si>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</si>
  <si>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</si>
  <si>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</si>
  <si>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</si>
  <si>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</si>
  <si>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</si>
  <si>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</si>
  <si>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</si>
  <si>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</si>
  <si>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</si>
  <si>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</si>
  <si>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</si>
  <si>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</si>
  <si>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</si>
  <si>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</si>
  <si>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</si>
  <si>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</si>
  <si>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</si>
  <si>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</si>
  <si>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</si>
  <si>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</si>
  <si>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</si>
  <si>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</si>
  <si>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</si>
  <si>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</si>
  <si>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</si>
  <si>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</si>
  <si>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</si>
  <si>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</si>
  <si>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</si>
  <si>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</si>
  <si>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</si>
  <si>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</si>
  <si>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</si>
  <si>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</si>
  <si>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</si>
  <si>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</si>
  <si>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</si>
  <si>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</si>
  <si>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</si>
  <si>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</si>
  <si>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</si>
  <si>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</si>
  <si>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</si>
  <si>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</si>
  <si>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</si>
  <si>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</si>
  <si>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</si>
  <si>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</si>
  <si>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</si>
  <si>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</si>
  <si>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</si>
  <si>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</si>
  <si>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</si>
  <si>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</si>
  <si>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</si>
  <si>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</si>
  <si>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</si>
  <si>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</si>
  <si>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</si>
  <si>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</si>
  <si>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</si>
  <si>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</si>
  <si>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</si>
  <si>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</si>
  <si>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</si>
  <si>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</si>
  <si>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</si>
  <si>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</si>
  <si>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</si>
  <si>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</si>
  <si>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</si>
  <si>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</si>
  <si>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</si>
  <si>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</si>
  <si>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</si>
  <si>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</si>
  <si>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</si>
  <si>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</si>
  <si>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</si>
  <si>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</si>
  <si>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</si>
  <si>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</si>
  <si>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</si>
  <si>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</si>
  <si>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</si>
  <si>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</si>
  <si>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</si>
  <si>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</si>
  <si>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</si>
  <si>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</si>
  <si>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</si>
  <si>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</si>
  <si>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</si>
  <si>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</si>
  <si>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</si>
  <si>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</si>
  <si>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</si>
  <si>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</si>
  <si>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</si>
  <si>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</si>
  <si>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</si>
  <si>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</si>
  <si>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</si>
  <si>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</si>
  <si>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</si>
  <si>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</si>
  <si>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</si>
  <si>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</si>
  <si>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</si>
  <si>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</si>
  <si>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</si>
  <si>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</si>
  <si>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</si>
  <si>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</si>
  <si>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</si>
  <si>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</si>
  <si>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</si>
  <si>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</si>
  <si>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</si>
  <si>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</si>
  <si>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</si>
  <si>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</si>
  <si>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</si>
  <si>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</si>
  <si>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</si>
  <si>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</si>
  <si>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</si>
  <si>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</si>
  <si>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</si>
  <si>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</si>
  <si>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</si>
  <si>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</si>
  <si>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</si>
  <si>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</si>
  <si>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</si>
  <si>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</si>
  <si>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</si>
  <si>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</si>
  <si>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</si>
  <si>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</si>
  <si>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</si>
  <si>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</si>
  <si>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</si>
  <si>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</si>
  <si>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</si>
  <si>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</si>
  <si>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</si>
  <si>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</si>
  <si>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</si>
  <si>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</si>
  <si>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</si>
  <si>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</si>
  <si>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</si>
  <si>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</si>
  <si>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</si>
  <si>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</si>
  <si>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</si>
  <si>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</si>
  <si>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</si>
  <si>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</si>
  <si>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</si>
  <si>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</si>
  <si>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</si>
  <si>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</si>
  <si>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</si>
  <si>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</si>
  <si>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</si>
  <si>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</si>
  <si>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</si>
  <si>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</si>
  <si>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</si>
  <si>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</si>
  <si>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</si>
  <si>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</si>
  <si>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</si>
  <si>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</si>
  <si>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</si>
  <si>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</si>
  <si>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</si>
  <si>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</si>
  <si>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</si>
  <si>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</si>
  <si>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</si>
  <si>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</si>
  <si>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</si>
  <si>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</si>
  <si>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</si>
  <si>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</si>
  <si>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</si>
  <si>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</si>
  <si>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</si>
  <si>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</si>
  <si>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</si>
  <si>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</si>
  <si>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</si>
  <si>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</si>
  <si>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</si>
  <si>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</si>
  <si>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</si>
  <si>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</si>
  <si>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</si>
  <si>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</si>
  <si>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</si>
  <si>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</si>
  <si>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</si>
  <si>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</si>
  <si>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</si>
  <si>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</si>
  <si>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</si>
  <si>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</si>
  <si>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</si>
  <si>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</si>
  <si>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</si>
  <si>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</si>
  <si>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</si>
  <si>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</si>
  <si>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</si>
  <si>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</si>
  <si>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</si>
  <si>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</si>
  <si>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</si>
  <si>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</si>
  <si>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</si>
  <si>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</si>
  <si>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</si>
  <si>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</si>
  <si>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</si>
  <si>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</si>
  <si>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</si>
  <si>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</si>
  <si>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</si>
  <si>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</si>
  <si>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</si>
  <si>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</si>
  <si>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</si>
  <si>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</si>
  <si>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</si>
  <si>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</si>
  <si>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</si>
  <si>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</si>
  <si>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</si>
  <si>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</si>
  <si>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</si>
  <si>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</si>
  <si>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</si>
  <si>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</si>
  <si>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</si>
  <si>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</si>
  <si>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</si>
  <si>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</si>
  <si>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</si>
  <si>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</si>
  <si>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</si>
  <si>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</si>
  <si>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</si>
  <si>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</si>
  <si>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</si>
  <si>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</si>
  <si>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</si>
  <si>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</si>
  <si>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</si>
  <si>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</si>
  <si>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</si>
  <si>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</si>
  <si>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</si>
  <si>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</si>
  <si>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</si>
  <si>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</si>
  <si>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</si>
  <si>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</si>
  <si>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</si>
  <si>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</si>
  <si>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</si>
  <si>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</si>
  <si>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</si>
  <si>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</si>
  <si>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</si>
  <si>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</si>
  <si>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</si>
  <si>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</si>
  <si>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</si>
  <si>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</si>
  <si>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</si>
  <si>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</si>
  <si>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</si>
  <si>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</si>
  <si>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</si>
  <si>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</si>
  <si>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</si>
  <si>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</si>
  <si>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</si>
  <si>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</si>
  <si>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Furqan</t>
  </si>
  <si>
    <t>Address: Gopal Nager</t>
  </si>
  <si>
    <t xml:space="preserve">New Kashmir Bakers </t>
  </si>
  <si>
    <t xml:space="preserve">Fazle Qabeer </t>
  </si>
  <si>
    <t>Husnain Store</t>
  </si>
  <si>
    <t>Ali Gs</t>
  </si>
  <si>
    <t>Hanif Khan GS</t>
  </si>
  <si>
    <t>Address: Nishter Colony Main Baza</t>
  </si>
  <si>
    <t>Maskeen Store</t>
  </si>
  <si>
    <t xml:space="preserve">Al Saeed Bakery </t>
  </si>
  <si>
    <t>Address: Nishter colont Near Shulat Bazar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</si>
</sst>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H7" sqref="H7:H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46322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 xml:space="preserve">New Kashmir Bakers </v>
      </c>
      <c r="T3" s="301">
        <f>+'1'!P35</f>
        <v>1411.2952132881355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Fazle Qabeer </v>
      </c>
      <c r="T4" s="301">
        <f>+'2'!P35</f>
        <v>940.86347552542372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Husnain Store</v>
      </c>
      <c r="T5" s="301">
        <f>+'3'!P35</f>
        <v>1881.7269510508474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Ali Gs</v>
      </c>
      <c r="T6" s="301">
        <f>+'4'!P35</f>
        <v>2247.6212673940672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6</v>
      </c>
      <c r="I7" s="235">
        <f>(G7*D7)*F7+H7*F7</f>
        <v>314.77499999999998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25.181999999999999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11.017125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278.575875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59.491525423728788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1.6903370021186439</v>
      </c>
      <c r="P7" s="310">
        <f>M7+N7+O7</f>
        <v>339.75773742584744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5</v>
      </c>
      <c r="R7" s="313">
        <v>5</v>
      </c>
      <c r="S7" s="300" t="str">
        <f>+'5'!A6:A6</f>
        <v>Hanif Khan GS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6</v>
      </c>
      <c r="I8" s="236">
        <f t="shared" ref="I8:I14" si="0">(G8*D8)*F8+H8*F8</f>
        <v>314.77499999999998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25.181999999999999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11.017125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278.575875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59.491525423728788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1.6903370021186439</v>
      </c>
      <c r="P8" s="311">
        <f t="shared" ref="P8:P15" si="2">M8+N8+O8</f>
        <v>339.75773742584744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11</v>
      </c>
      <c r="R8" s="313">
        <v>6</v>
      </c>
      <c r="S8" s="300" t="str">
        <f>+'6'!A6:A6</f>
        <v>Maskeen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 xml:space="preserve">Al Saeed Bakery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18</v>
      </c>
      <c r="I10" s="236">
        <f t="shared" si="0"/>
        <v>1307.52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104.60160000000002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45.763200000000005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1157.1551999999999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247.11864406779662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7.0213692203389835</v>
      </c>
      <c r="P10" s="311">
        <f t="shared" si="2"/>
        <v>1411.2952132881355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12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24</v>
      </c>
      <c r="I11" s="236">
        <f t="shared" si="0"/>
        <v>1743.3600000000001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139.46880000000002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61.017600000000009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1542.8736000000001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329.49152542372883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9.3618256271186446</v>
      </c>
      <c r="P11" s="311">
        <f t="shared" si="2"/>
        <v>1881.7269510508474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6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32</v>
      </c>
      <c r="I12" s="236">
        <f t="shared" si="0"/>
        <v>2324.48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185.95840000000001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81.356800000000007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2057.1648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439.32203389830511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12.482434169491526</v>
      </c>
      <c r="P12" s="311">
        <f t="shared" si="2"/>
        <v>2508.9692680677967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4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2.15</v>
      </c>
      <c r="H16" s="113">
        <f t="shared" ref="H16:M16" si="3">SUM(H7:H15)</f>
        <v>86</v>
      </c>
      <c r="I16" s="114">
        <f t="shared" si="3"/>
        <v>6004.91</v>
      </c>
      <c r="J16" s="274">
        <f>SUM(J7:J15)</f>
        <v>480.39280000000008</v>
      </c>
      <c r="K16" s="275">
        <f t="shared" si="3"/>
        <v>210.17185000000001</v>
      </c>
      <c r="L16" s="276">
        <f t="shared" si="3"/>
        <v>0</v>
      </c>
      <c r="M16" s="232">
        <f t="shared" si="3"/>
        <v>5314.3453499999996</v>
      </c>
      <c r="N16" s="233">
        <f>SUM(N7:N15)</f>
        <v>1134.9152542372881</v>
      </c>
      <c r="O16" s="101">
        <f>SUM(O7:O15)</f>
        <v>32.246303021186442</v>
      </c>
      <c r="P16" s="113">
        <f>SUM(P7:P15)</f>
        <v>6481.5069072584738</v>
      </c>
      <c r="Q16" s="128">
        <f>SUM(Q7:Q15)</f>
        <v>38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6004.91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480.39280000000008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210.17185000000001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5314.3453500000005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1134.9152542372881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6449.2606042372881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32.246303021186442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6481.5069072584747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6481.5069072584738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9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7.2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7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7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7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18</v>
      </c>
      <c r="I25" s="114">
        <f t="shared" ref="I25:M25" si="10">SUM(I16:I24)</f>
        <v>1307.52</v>
      </c>
      <c r="J25" s="274">
        <f>SUM(J16:J24)</f>
        <v>104.60160000000002</v>
      </c>
      <c r="K25" s="275">
        <f t="shared" si="10"/>
        <v>45.763200000000005</v>
      </c>
      <c r="L25" s="276">
        <f t="shared" si="10"/>
        <v>0</v>
      </c>
      <c r="M25" s="232">
        <f t="shared" si="10"/>
        <v>1157.1552000000001</v>
      </c>
      <c r="N25" s="233">
        <f>SUM(N16:N24)</f>
        <v>247.11864406779662</v>
      </c>
      <c r="O25" s="101">
        <f>SUM(O16:O24)</f>
        <v>7.0213692203389835</v>
      </c>
      <c r="P25" s="234">
        <f>SUM(P16:P24)</f>
        <v>1411.2952132881355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1307.52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104.60160000000002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45.763200000000005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1157.1551999999999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247.11864406779662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1404.2738440677965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7.0213692203389826</v>
      </c>
    </row>
    <row r="35" spans="2:16" ht="15.75" customHeight="1" thickBot="1" x14ac:dyDescent="0.4">
      <c r="N35" s="345" t="s">
        <v>88</v>
      </c>
      <c r="O35" s="346"/>
      <c r="P35" s="297">
        <f>+P33+P34</f>
        <v>1411.2952132881355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>
        <v>6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30.508800000000004</v>
      </c>
      <c r="L25" s="276">
        <f t="shared" si="7"/>
        <v>0</v>
      </c>
      <c r="M25" s="232">
        <f t="shared" si="7"/>
        <v>771.43680000000006</v>
      </c>
      <c r="N25" s="233">
        <f>SUM(N16:N24)</f>
        <v>164.74576271186442</v>
      </c>
      <c r="O25" s="101">
        <f>SUM(O16:O24)</f>
        <v>4.6809128135593223</v>
      </c>
      <c r="P25" s="234">
        <f>SUM(P16:P24)</f>
        <v>940.86347552542372</v>
      </c>
      <c r="Q25" s="239">
        <f>SUM(Q16:Q24)</f>
        <v>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871.68000000000006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69.734400000000008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30.508800000000004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771.43680000000006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936.18256271186442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45" t="s">
        <v>88</v>
      </c>
      <c r="O35" s="346"/>
      <c r="P35" s="297">
        <f>+P33+P34</f>
        <v>940.86347552542372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9" workbookViewId="0">
      <selection activeCell="Q20" sqref="Q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8.7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119">
        <f t="shared" si="5"/>
        <v>940.86347552542372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24</v>
      </c>
      <c r="I25" s="114">
        <f t="shared" si="7"/>
        <v>1743.3600000000001</v>
      </c>
      <c r="J25" s="274">
        <f>SUM(J16:J24)</f>
        <v>139.46880000000002</v>
      </c>
      <c r="K25" s="275">
        <f t="shared" si="7"/>
        <v>61.017600000000009</v>
      </c>
      <c r="L25" s="276">
        <f t="shared" si="7"/>
        <v>0</v>
      </c>
      <c r="M25" s="232">
        <f t="shared" si="7"/>
        <v>1542.8736000000001</v>
      </c>
      <c r="N25" s="233">
        <f>SUM(N16:N24)</f>
        <v>329.49152542372883</v>
      </c>
      <c r="O25" s="101">
        <f>SUM(O16:O24)</f>
        <v>9.3618256271186446</v>
      </c>
      <c r="P25" s="234">
        <f>SUM(P16:P24)</f>
        <v>1881.7269510508474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1743.3600000000001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139.46880000000002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61.017600000000009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1542.8736000000001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329.49152542372883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1872.3651254237288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9.3618256271186446</v>
      </c>
    </row>
    <row r="35" spans="2:16" ht="15.75" customHeight="1" thickBot="1" x14ac:dyDescent="0.4">
      <c r="N35" s="345" t="s">
        <v>88</v>
      </c>
      <c r="O35" s="346"/>
      <c r="P35" s="297">
        <f>+P33+P34</f>
        <v>1881.7269510508474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</v>
      </c>
      <c r="I21" s="236">
        <f t="shared" si="0"/>
        <v>581.12</v>
      </c>
      <c r="J21" s="272">
        <f t="shared" si="1"/>
        <v>46.489600000000003</v>
      </c>
      <c r="K21" s="128">
        <f t="shared" si="1"/>
        <v>20.339200000000002</v>
      </c>
      <c r="L21" s="119">
        <f t="shared" si="1"/>
        <v>0</v>
      </c>
      <c r="M21" s="230">
        <f t="shared" si="2"/>
        <v>514.2912</v>
      </c>
      <c r="N21" s="277">
        <f t="shared" si="3"/>
        <v>109.83050847457628</v>
      </c>
      <c r="O21" s="239">
        <f t="shared" si="4"/>
        <v>3.1206085423728815</v>
      </c>
      <c r="P21" s="119">
        <f t="shared" si="5"/>
        <v>627.24231701694919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32</v>
      </c>
      <c r="I25" s="114">
        <f t="shared" si="7"/>
        <v>2082.35</v>
      </c>
      <c r="J25" s="274">
        <f>SUM(J16:J24)</f>
        <v>166.58799999999999</v>
      </c>
      <c r="K25" s="275">
        <f t="shared" si="7"/>
        <v>72.882250000000013</v>
      </c>
      <c r="L25" s="276">
        <f t="shared" si="7"/>
        <v>0</v>
      </c>
      <c r="M25" s="232">
        <f t="shared" si="7"/>
        <v>1842.8797500000001</v>
      </c>
      <c r="N25" s="233">
        <f>SUM(N16:N24)</f>
        <v>393.5593220338983</v>
      </c>
      <c r="O25" s="101">
        <f>SUM(O16:O24)</f>
        <v>11.182195360169491</v>
      </c>
      <c r="P25" s="234">
        <f>SUM(P16:P24)</f>
        <v>2247.6212673940677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2082.35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166.58799999999999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72.882250000000013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1842.8797499999998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393.5593220338983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2236.4390720338979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11.182195360169489</v>
      </c>
    </row>
    <row r="35" spans="2:16" ht="15.75" customHeight="1" thickBot="1" x14ac:dyDescent="0.4">
      <c r="N35" s="345" t="s">
        <v>88</v>
      </c>
      <c r="O35" s="346"/>
      <c r="P35" s="297">
        <f>+P33+P34</f>
        <v>2247.6212673940672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activeCell="H22" sqref="H17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521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>
        <v>6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4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10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3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12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12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3" workbookViewId="0">
      <selection activeCell="H17" sqref="H16:H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>
        <v>5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>
        <v>5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10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46323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46322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2026-10-27T10:26:08Z</dcterms:modified>
</cp:coreProperties>
</file>