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A48EFF-7D9E-4213-86AD-A9890AC08B8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<sst xmlns="http://schemas.openxmlformats.org/spreadsheetml/2006/main" count="3948" uniqueCount="532">
  <si>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</si>
  <si>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</si>
  <si>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</si>
  <si>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</si>
  <si>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</si>
  <si>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</si>
  <si>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</si>
  <si>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</si>
  <si>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</si>
  <si>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</si>
  <si>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</si>
  <si>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</si>
  <si>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</si>
  <si>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</si>
  <si>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</si>
  <si>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</si>
  <si>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</si>
  <si>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</si>
  <si>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</si>
  <si>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</si>
  <si>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</si>
  <si>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</si>
  <si>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</si>
  <si>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</si>
  <si>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</si>
  <si>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</si>
  <si>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</si>
  <si>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</si>
  <si>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</si>
  <si>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</si>
  <si>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</si>
  <si>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</si>
  <si>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</si>
  <si>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</si>
  <si>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</si>
  <si>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</si>
  <si>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</si>
  <si>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</si>
  <si>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</si>
  <si>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</si>
  <si>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</si>
  <si>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</si>
  <si>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</si>
  <si>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</si>
  <si>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</si>
  <si>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</si>
  <si>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</si>
  <si>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</si>
  <si>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</si>
  <si>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</si>
  <si>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</si>
  <si>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</si>
  <si>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</si>
  <si>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</si>
  <si>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</si>
  <si>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</si>
  <si>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</si>
  <si>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</si>
  <si>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</si>
  <si>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</si>
  <si>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</si>
  <si>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</si>
  <si>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</si>
  <si>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</si>
  <si>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</si>
  <si>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</si>
  <si>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</si>
  <si>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</si>
  <si>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</si>
  <si>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</si>
  <si>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</si>
  <si>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</si>
  <si>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</si>
  <si>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</si>
  <si>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</si>
  <si>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</si>
  <si>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</si>
  <si>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</si>
  <si>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</si>
  <si>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</si>
  <si>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</si>
  <si>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</si>
  <si>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</si>
  <si>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</si>
  <si>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</si>
  <si>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</si>
  <si>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</si>
  <si>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</si>
  <si>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</si>
  <si>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</si>
  <si>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</si>
  <si>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</si>
  <si>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</si>
  <si>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</si>
  <si>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</si>
  <si>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</si>
  <si>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</si>
  <si>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</si>
  <si>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</si>
  <si>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</si>
  <si>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</si>
  <si>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</si>
  <si>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</si>
  <si>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</si>
  <si>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</si>
  <si>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</si>
  <si>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</si>
  <si>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</si>
  <si>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</si>
  <si>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</si>
  <si>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</si>
  <si>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</si>
  <si>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</si>
  <si>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</si>
  <si>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</si>
  <si>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</si>
  <si>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</si>
  <si>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</si>
  <si>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</si>
  <si>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</si>
  <si>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</si>
  <si>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</si>
  <si>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</si>
  <si>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</si>
  <si>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</si>
  <si>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</si>
  <si>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</si>
  <si>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</si>
  <si>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</si>
  <si>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</si>
  <si>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</si>
  <si>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</si>
  <si>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</si>
  <si>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</si>
  <si>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</si>
  <si>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</si>
  <si>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</si>
  <si>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</si>
  <si>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</si>
  <si>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</si>
  <si>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</si>
  <si>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</si>
  <si>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</si>
  <si>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</si>
  <si>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</si>
  <si>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</si>
  <si>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</si>
  <si>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</si>
  <si>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</si>
  <si>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</si>
  <si>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</si>
  <si>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</si>
  <si>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</si>
  <si>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</si>
  <si>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</si>
  <si>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</si>
  <si>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</si>
  <si>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</si>
  <si>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</si>
  <si>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</si>
  <si>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</si>
  <si>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</si>
  <si>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</si>
  <si>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</si>
  <si>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</si>
  <si>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</si>
  <si>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</si>
  <si>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</si>
  <si>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</si>
  <si>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</si>
  <si>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</si>
  <si>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</si>
  <si>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</si>
  <si>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</si>
  <si>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</si>
  <si>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</si>
  <si>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</si>
  <si>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</si>
  <si>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</si>
  <si>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</si>
  <si>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</si>
  <si>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</si>
  <si>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</si>
  <si>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</si>
  <si>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</si>
  <si>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</si>
  <si>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</si>
  <si>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</si>
  <si>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</si>
  <si>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</si>
  <si>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</si>
  <si>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</si>
  <si>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</si>
  <si>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</si>
  <si>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</si>
  <si>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</si>
  <si>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</si>
  <si>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</si>
  <si>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</si>
  <si>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</si>
  <si>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</si>
  <si>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</si>
  <si>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</si>
  <si>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</si>
  <si>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</si>
  <si>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</si>
  <si>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</si>
  <si>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</si>
  <si>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</si>
  <si>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</si>
  <si>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</si>
  <si>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</si>
  <si>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</si>
  <si>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</si>
  <si>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</si>
  <si>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</si>
  <si>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</si>
  <si>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</si>
  <si>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</si>
  <si>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</si>
  <si>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</si>
  <si>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</si>
  <si>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</si>
  <si>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</si>
  <si>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</si>
  <si>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</si>
  <si>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</si>
  <si>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</si>
  <si>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</si>
  <si>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</si>
  <si>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</si>
  <si>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</si>
  <si>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</si>
  <si>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</si>
  <si>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</si>
  <si>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</si>
  <si>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</si>
  <si>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</si>
  <si>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</si>
  <si>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</si>
  <si>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</si>
  <si>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</si>
  <si>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</si>
  <si>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</si>
  <si>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</si>
  <si>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</si>
  <si>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</si>
  <si>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</si>
  <si>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</si>
  <si>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</si>
  <si>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</si>
  <si>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</si>
  <si>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</si>
  <si>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</si>
  <si>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</si>
  <si>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</si>
  <si>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</si>
  <si>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</si>
  <si>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</si>
  <si>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</si>
  <si>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</si>
  <si>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</si>
  <si>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</si>
  <si>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</si>
  <si>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</si>
  <si>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</si>
  <si>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</si>
  <si>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</si>
  <si>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</si>
  <si>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</si>
  <si>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</si>
  <si>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</si>
  <si>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</si>
  <si>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</si>
  <si>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</si>
  <si>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</si>
  <si>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</si>
  <si>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</si>
  <si>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</si>
  <si>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</si>
  <si>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</si>
  <si>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</si>
  <si>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</si>
  <si>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</si>
  <si>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</si>
  <si>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</si>
  <si>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</si>
  <si>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</si>
  <si>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</si>
  <si>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</si>
  <si>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</si>
  <si>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</si>
  <si>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</si>
  <si>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</si>
  <si>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</si>
  <si>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</si>
  <si>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</si>
  <si>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</si>
  <si>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</si>
  <si>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</si>
  <si>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</si>
  <si>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</si>
  <si>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</si>
  <si>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</si>
  <si>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</si>
  <si>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</si>
  <si>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</si>
  <si>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</si>
  <si>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</si>
  <si>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</si>
  <si>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</si>
  <si>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</si>
  <si>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</si>
  <si>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</si>
  <si>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</si>
  <si>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</si>
  <si>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</si>
  <si>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</si>
  <si>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</si>
  <si>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</si>
  <si>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</si>
  <si>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</si>
  <si>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</si>
  <si>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</si>
  <si>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</si>
  <si>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</si>
  <si>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</si>
  <si>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</si>
  <si>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</si>
  <si>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</si>
  <si>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</si>
  <si>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</si>
  <si>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</si>
  <si>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</si>
  <si>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</si>
  <si>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</si>
  <si>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</si>
  <si>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</si>
  <si>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</si>
  <si>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</si>
  <si>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</si>
  <si>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</si>
  <si>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</si>
  <si>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</si>
  <si>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</si>
  <si>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</si>
  <si>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</si>
  <si>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</si>
  <si>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</si>
  <si>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</si>
  <si>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</si>
  <si>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</si>
  <si>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</si>
  <si>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</si>
  <si>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</si>
  <si>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</si>
  <si>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</si>
  <si>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</si>
  <si>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</si>
  <si>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</si>
  <si>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</si>
  <si>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</si>
  <si>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</si>
  <si>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</si>
  <si>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</si>
  <si>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</si>
  <si>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</si>
  <si>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</si>
  <si>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</si>
  <si>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</si>
  <si>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</si>
  <si>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</si>
  <si>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</si>
  <si>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</si>
  <si>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</si>
  <si>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</si>
  <si>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</si>
  <si>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</si>
  <si>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</si>
  <si>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</si>
  <si>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</si>
  <si>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</si>
  <si>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</si>
  <si>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</si>
  <si>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</si>
  <si>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</si>
  <si>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</si>
  <si>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</si>
  <si>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</si>
  <si>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</si>
  <si>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</si>
  <si>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</si>
  <si>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</si>
  <si>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</si>
  <si>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</si>
  <si>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</si>
  <si>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</si>
  <si>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</si>
  <si>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</si>
  <si>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</si>
  <si>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</si>
  <si>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</si>
  <si>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</si>
  <si>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</si>
  <si>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</si>
  <si>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</si>
  <si>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</si>
  <si>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</si>
  <si>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</si>
  <si>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</si>
  <si>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</si>
  <si>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</si>
  <si>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</si>
  <si>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</si>
  <si>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</si>
  <si>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</si>
  <si>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</si>
  <si>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</si>
  <si>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</si>
  <si>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</si>
  <si>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</si>
  <si>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</si>
  <si>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</si>
  <si>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</si>
  <si>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</si>
  <si>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</si>
  <si>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</si>
  <si>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</si>
  <si>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</si>
  <si>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</si>
  <si>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</si>
  <si>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</si>
  <si>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</si>
  <si>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</si>
  <si>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</si>
  <si>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</si>
  <si>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</si>
  <si>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</si>
  <si>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</si>
  <si>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</si>
  <si>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</si>
  <si>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</si>
  <si>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</si>
  <si>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</si>
  <si>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</si>
  <si>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</si>
  <si>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</si>
  <si>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</si>
  <si>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</si>
  <si>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</si>
  <si>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</si>
  <si>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</si>
  <si>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</si>
  <si>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</si>
  <si>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</si>
  <si>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</si>
  <si>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</si>
  <si>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</si>
  <si>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</si>
  <si>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</si>
  <si>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</si>
  <si>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</si>
  <si>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</si>
  <si>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</si>
  <si>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</si>
  <si>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</si>
  <si>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</si>
  <si>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</si>
  <si>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</si>
  <si>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</si>
  <si>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</si>
  <si>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</si>
  <si>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</si>
  <si>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</si>
  <si>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</si>
  <si>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</si>
  <si>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</si>
  <si>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</si>
  <si>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</si>
  <si>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</si>
  <si>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</si>
  <si>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</si>
  <si>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</si>
  <si>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</si>
  <si>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</si>
  <si>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</si>
  <si>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</si>
  <si>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</si>
  <si>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</si>
  <si>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</si>
  <si>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</si>
  <si>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</si>
  <si>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</si>
  <si>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</si>
  <si>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</si>
  <si>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</si>
  <si>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</si>
  <si>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</si>
  <si>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</si>
  <si>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</si>
  <si>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</si>
  <si>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</si>
  <si>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</si>
  <si>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</si>
  <si>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</si>
  <si>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</si>
  <si>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</si>
  <si>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</si>
  <si>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</si>
  <si>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</si>
  <si>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</si>
  <si>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</si>
  <si>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</si>
  <si>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</si>
  <si>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</si>
  <si>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 xml:space="preserve">D- Mart </t>
  </si>
  <si>
    <t xml:space="preserve">Address: Banker Society </t>
  </si>
  <si>
    <t xml:space="preserve">Address: Ali Park </t>
  </si>
  <si>
    <t xml:space="preserve">Rehman </t>
  </si>
  <si>
    <t xml:space="preserve">Shery Mart </t>
  </si>
  <si>
    <t>Bilal Store</t>
  </si>
  <si>
    <t>h.m Store</t>
  </si>
  <si>
    <t>Awan Store</t>
  </si>
  <si>
    <t>Moon Store</t>
  </si>
  <si>
    <t>Raza Store</t>
  </si>
  <si>
    <t>Azeem Store</t>
  </si>
  <si>
    <t>Farooq Store</t>
  </si>
  <si>
    <t>Fareed Store</t>
  </si>
  <si>
    <t>Hikers Store</t>
  </si>
  <si>
    <t>Ms Store</t>
  </si>
  <si>
    <t>Rehman store</t>
  </si>
  <si>
    <t>Rs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</si>
</sst>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D-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Rehman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Shery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Bilal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3">
        <v>5</v>
      </c>
      <c r="S7" s="300" t="str">
        <f>+'5'!A6:A6</f>
        <v>h.m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Awan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Moon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Raza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3">
        <v>9</v>
      </c>
      <c r="S11" s="300" t="str">
        <f>+'9'!A6:A6</f>
        <v>Azeem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50</v>
      </c>
      <c r="R12" s="313">
        <v>10</v>
      </c>
      <c r="S12" s="300" t="str">
        <f>+'10'!A6:A6</f>
        <v>Farooq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Fareed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Hikers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Ms Store</v>
      </c>
      <c r="T15" s="301">
        <f>+'13'!P35</f>
        <v>566.26289570974575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3.5</v>
      </c>
      <c r="H16" s="113">
        <f t="shared" ref="H16:M16" si="3">SUM(H7:H15)</f>
        <v>140</v>
      </c>
      <c r="I16" s="114">
        <f t="shared" si="3"/>
        <v>9766.0499999999993</v>
      </c>
      <c r="J16" s="274">
        <f>SUM(J7:J15)</f>
        <v>781.28400000000011</v>
      </c>
      <c r="K16" s="275">
        <f t="shared" si="3"/>
        <v>341.81175000000007</v>
      </c>
      <c r="L16" s="276">
        <f t="shared" si="3"/>
        <v>0</v>
      </c>
      <c r="M16" s="232">
        <f t="shared" si="3"/>
        <v>8642.9542500000007</v>
      </c>
      <c r="N16" s="233">
        <f>SUM(N7:N15)</f>
        <v>1845.7627118644068</v>
      </c>
      <c r="O16" s="101">
        <f>SUM(O7:O15)</f>
        <v>52.44358480932204</v>
      </c>
      <c r="P16" s="113">
        <f>SUM(P7:P15)</f>
        <v>10541.160546673729</v>
      </c>
      <c r="Q16" s="128">
        <f>SUM(Q7:Q15)</f>
        <v>270</v>
      </c>
      <c r="R16" s="313">
        <v>14</v>
      </c>
      <c r="S16" s="315" t="str">
        <f>+'14'!A6:A6</f>
        <v>Rehman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Rs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9766.0499999999993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781.28400000000011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341.81175000000007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8642.9542499999989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1845.7627118644068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10488.716961864406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52.44358480932204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10541.160546673727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10541.160546673729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80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40</v>
      </c>
      <c r="S17" s="269">
        <f>+S16</f>
        <v>0.1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2026-10-27T10:24:25Z</dcterms:modified>
</cp:coreProperties>
</file>