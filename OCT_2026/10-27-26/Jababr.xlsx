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08A5E3-C3BE-4F5F-8085-0DA62FA17D3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8" i="1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<sst xmlns="http://schemas.openxmlformats.org/spreadsheetml/2006/main" count="3948" uniqueCount="525">
  <si>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</si>
  <si>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</si>
  <si>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</si>
  <si>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</si>
  <si>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</si>
  <si>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</si>
  <si>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</si>
  <si>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</si>
  <si>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</si>
  <si>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</si>
  <si>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</si>
  <si>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</si>
  <si>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</si>
  <si>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</si>
  <si>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</si>
  <si>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</si>
  <si>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</si>
  <si>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</si>
  <si>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</si>
  <si>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</si>
  <si>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</si>
  <si>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</si>
  <si>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</si>
  <si>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</si>
  <si>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</si>
  <si>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</si>
  <si>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</si>
  <si>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</si>
  <si>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</si>
  <si>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</si>
  <si>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</si>
  <si>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</si>
  <si>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</si>
  <si>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</si>
  <si>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</si>
  <si>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</si>
  <si>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</si>
  <si>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</si>
  <si>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</si>
  <si>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</si>
  <si>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</si>
  <si>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</si>
  <si>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</si>
  <si>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</si>
  <si>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</si>
  <si>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</si>
  <si>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</si>
  <si>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</si>
  <si>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</si>
  <si>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</si>
  <si>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</si>
  <si>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</si>
  <si>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</si>
  <si>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</si>
  <si>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</si>
  <si>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</si>
  <si>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</si>
  <si>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</si>
  <si>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</si>
  <si>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</si>
  <si>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</si>
  <si>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</si>
  <si>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</si>
  <si>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</si>
  <si>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</si>
  <si>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</si>
  <si>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</si>
  <si>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</si>
  <si>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</si>
  <si>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</si>
  <si>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</si>
  <si>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</si>
  <si>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</si>
  <si>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</si>
  <si>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</si>
  <si>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</si>
  <si>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</si>
  <si>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</si>
  <si>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</si>
  <si>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</si>
  <si>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</si>
  <si>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</si>
  <si>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</si>
  <si>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</si>
  <si>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</si>
  <si>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</si>
  <si>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</si>
  <si>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</si>
  <si>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</si>
  <si>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</si>
  <si>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</si>
  <si>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</si>
  <si>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</si>
  <si>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</si>
  <si>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</si>
  <si>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</si>
  <si>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</si>
  <si>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</si>
  <si>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</si>
  <si>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</si>
  <si>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</si>
  <si>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</si>
  <si>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</si>
  <si>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</si>
  <si>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</si>
  <si>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</si>
  <si>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</si>
  <si>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</si>
  <si>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</si>
  <si>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</si>
  <si>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</si>
  <si>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</si>
  <si>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</si>
  <si>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</si>
  <si>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</si>
  <si>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</si>
  <si>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</si>
  <si>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</si>
  <si>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</si>
  <si>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</si>
  <si>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</si>
  <si>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</si>
  <si>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</si>
  <si>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</si>
  <si>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</si>
  <si>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</si>
  <si>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</si>
  <si>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</si>
  <si>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</si>
  <si>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</si>
  <si>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</si>
  <si>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</si>
  <si>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</si>
  <si>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</si>
  <si>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</si>
  <si>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</si>
  <si>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</si>
  <si>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</si>
  <si>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</si>
  <si>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</si>
  <si>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</si>
  <si>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</si>
  <si>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</si>
  <si>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</si>
  <si>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</si>
  <si>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</si>
  <si>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</si>
  <si>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</si>
  <si>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</si>
  <si>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</si>
  <si>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</si>
  <si>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</si>
  <si>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</si>
  <si>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</si>
  <si>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</si>
  <si>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</si>
  <si>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</si>
  <si>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</si>
  <si>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</si>
  <si>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</si>
  <si>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</si>
  <si>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</si>
  <si>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</si>
  <si>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</si>
  <si>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</si>
  <si>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</si>
  <si>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</si>
  <si>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</si>
  <si>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</si>
  <si>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</si>
  <si>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</si>
  <si>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</si>
  <si>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</si>
  <si>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</si>
  <si>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</si>
  <si>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</si>
  <si>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</si>
  <si>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</si>
  <si>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</si>
  <si>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</si>
  <si>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</si>
  <si>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</si>
  <si>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</si>
  <si>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</si>
  <si>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</si>
  <si>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</si>
  <si>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</si>
  <si>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</si>
  <si>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</si>
  <si>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</si>
  <si>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</si>
  <si>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</si>
  <si>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</si>
  <si>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</si>
  <si>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</si>
  <si>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</si>
  <si>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</si>
  <si>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</si>
  <si>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</si>
  <si>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</si>
  <si>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</si>
  <si>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</si>
  <si>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</si>
  <si>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</si>
  <si>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</si>
  <si>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</si>
  <si>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</si>
  <si>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</si>
  <si>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</si>
  <si>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</si>
  <si>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</si>
  <si>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</si>
  <si>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</si>
  <si>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</si>
  <si>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</si>
  <si>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</si>
  <si>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</si>
  <si>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</si>
  <si>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</si>
  <si>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</si>
  <si>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</si>
  <si>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</si>
  <si>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</si>
  <si>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</si>
  <si>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</si>
  <si>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</si>
  <si>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</si>
  <si>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</si>
  <si>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</si>
  <si>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</si>
  <si>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</si>
  <si>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</si>
  <si>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</si>
  <si>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</si>
  <si>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</si>
  <si>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</si>
  <si>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</si>
  <si>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</si>
  <si>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</si>
  <si>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</si>
  <si>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</si>
  <si>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</si>
  <si>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</si>
  <si>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</si>
  <si>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</si>
  <si>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</si>
  <si>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</si>
  <si>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</si>
  <si>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</si>
  <si>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</si>
  <si>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</si>
  <si>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</si>
  <si>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</si>
  <si>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</si>
  <si>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</si>
  <si>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</si>
  <si>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</si>
  <si>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</si>
  <si>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</si>
  <si>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</si>
  <si>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</si>
  <si>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</si>
  <si>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</si>
  <si>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</si>
  <si>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</si>
  <si>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</si>
  <si>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</si>
  <si>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</si>
  <si>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</si>
  <si>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</si>
  <si>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</si>
  <si>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</si>
  <si>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</si>
  <si>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</si>
  <si>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</si>
  <si>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</si>
  <si>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</si>
  <si>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</si>
  <si>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</si>
  <si>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</si>
  <si>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</si>
  <si>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</si>
  <si>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</si>
  <si>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</si>
  <si>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</si>
  <si>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</si>
  <si>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</si>
  <si>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</si>
  <si>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</si>
  <si>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</si>
  <si>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</si>
  <si>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</si>
  <si>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</si>
  <si>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</si>
  <si>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</si>
  <si>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</si>
  <si>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</si>
  <si>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</si>
  <si>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</si>
  <si>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</si>
  <si>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</si>
  <si>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</si>
  <si>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</si>
  <si>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</si>
  <si>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</si>
  <si>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</si>
  <si>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</si>
  <si>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</si>
  <si>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</si>
  <si>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</si>
  <si>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</si>
  <si>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</si>
  <si>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</si>
  <si>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</si>
  <si>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</si>
  <si>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</si>
  <si>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</si>
  <si>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</si>
  <si>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</si>
  <si>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</si>
  <si>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</si>
  <si>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</si>
  <si>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</si>
  <si>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</si>
  <si>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</si>
  <si>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</si>
  <si>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</si>
  <si>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</si>
  <si>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</si>
  <si>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</si>
  <si>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</si>
  <si>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</si>
  <si>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</si>
  <si>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</si>
  <si>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</si>
  <si>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</si>
  <si>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</si>
  <si>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</si>
  <si>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</si>
  <si>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</si>
  <si>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</si>
  <si>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</si>
  <si>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</si>
  <si>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</si>
  <si>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</si>
  <si>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</si>
  <si>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</si>
  <si>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</si>
  <si>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</si>
  <si>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</si>
  <si>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</si>
  <si>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</si>
  <si>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</si>
  <si>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</si>
  <si>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</si>
  <si>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</si>
  <si>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</si>
  <si>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</si>
  <si>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</si>
  <si>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</si>
  <si>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</si>
  <si>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</si>
  <si>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</si>
  <si>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</si>
  <si>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</si>
  <si>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</si>
  <si>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</si>
  <si>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</si>
  <si>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</si>
  <si>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</si>
  <si>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</si>
  <si>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</si>
  <si>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</si>
  <si>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</si>
  <si>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</si>
  <si>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</si>
  <si>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</si>
  <si>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</si>
  <si>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</si>
  <si>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</si>
  <si>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</si>
  <si>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</si>
  <si>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</si>
  <si>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</si>
  <si>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</si>
  <si>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</si>
  <si>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</si>
  <si>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</si>
  <si>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</si>
  <si>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</si>
  <si>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</si>
  <si>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</si>
  <si>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</si>
  <si>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</si>
  <si>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</si>
  <si>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</si>
  <si>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</si>
  <si>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</si>
  <si>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</si>
  <si>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</si>
  <si>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</si>
  <si>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</si>
  <si>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</si>
  <si>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</si>
  <si>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</si>
  <si>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</si>
  <si>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</si>
  <si>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</si>
  <si>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</si>
  <si>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</si>
  <si>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</si>
  <si>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</si>
  <si>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</si>
  <si>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</si>
  <si>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</si>
  <si>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</si>
  <si>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</si>
  <si>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</si>
  <si>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</si>
  <si>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</si>
  <si>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</si>
  <si>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</si>
  <si>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</si>
  <si>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</si>
  <si>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</si>
  <si>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</si>
  <si>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</si>
  <si>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</si>
  <si>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</si>
  <si>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</si>
  <si>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</si>
  <si>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</si>
  <si>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</si>
  <si>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</si>
  <si>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</si>
  <si>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</si>
  <si>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</si>
  <si>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</si>
  <si>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</si>
  <si>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</si>
  <si>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</si>
  <si>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</si>
  <si>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</si>
  <si>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</si>
  <si>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</si>
  <si>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</si>
  <si>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</si>
  <si>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</si>
  <si>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</si>
  <si>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</si>
  <si>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</si>
  <si>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</si>
  <si>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</si>
  <si>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</si>
  <si>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</si>
  <si>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</si>
  <si>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</si>
  <si>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</si>
  <si>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</si>
  <si>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</si>
  <si>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</si>
  <si>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</si>
  <si>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</si>
  <si>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</si>
  <si>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</si>
  <si>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</si>
  <si>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</si>
  <si>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</si>
  <si>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</si>
  <si>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</si>
  <si>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</si>
  <si>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</si>
  <si>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</si>
  <si>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</si>
  <si>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</si>
  <si>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</si>
  <si>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</si>
  <si>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</si>
  <si>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</si>
  <si>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</si>
  <si>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</si>
  <si>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</si>
  <si>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</si>
  <si>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</si>
  <si>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</si>
  <si>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</si>
  <si>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</si>
  <si>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</si>
  <si>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</si>
  <si>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</si>
  <si>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</si>
  <si>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</si>
  <si>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</si>
  <si>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</si>
  <si>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</si>
  <si>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</si>
  <si>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</si>
  <si>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</si>
  <si>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</si>
  <si>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</si>
  <si>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</si>
  <si>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</si>
  <si>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</si>
  <si>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</si>
  <si>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</si>
  <si>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</si>
  <si>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</si>
  <si>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</si>
  <si>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</si>
  <si>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</si>
  <si>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</si>
  <si>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</si>
  <si>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</si>
  <si>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</si>
  <si>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</si>
  <si>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Attae haq store</t>
  </si>
  <si>
    <t>Address: Sajid garden</t>
  </si>
  <si>
    <t>SMS Store</t>
  </si>
  <si>
    <t>Classic Store</t>
  </si>
  <si>
    <t>AM Super Store</t>
  </si>
  <si>
    <t xml:space="preserve">Address: Al Hafiz Garden </t>
  </si>
  <si>
    <t xml:space="preserve">Amas Mart </t>
  </si>
  <si>
    <t xml:space="preserve">Smokie Mart </t>
  </si>
  <si>
    <t>Address: Canal Fort</t>
  </si>
  <si>
    <t xml:space="preserve">Dulce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</si>
</sst>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Attae haq store</v>
      </c>
      <c r="T3" s="301">
        <f>+'1'!P35</f>
        <v>6155.6180501694917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SMS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Classic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AM Super Store</v>
      </c>
      <c r="T6" s="301">
        <f>+'4'!P35</f>
        <v>10802.526335847459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Amas Mart </v>
      </c>
      <c r="T7" s="301">
        <f>+'5'!P35</f>
        <v>5401.2631679237293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Smokie Mart </v>
      </c>
      <c r="T8" s="301">
        <f>+'6'!P35</f>
        <v>1176.0793444067797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Dulce Bakery 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</v>
      </c>
      <c r="I10" s="236">
        <f t="shared" si="0"/>
        <v>4939.5200000000004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395.16160000000002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172.88320000000002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4371.4752000000008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26.525172610169495</v>
      </c>
      <c r="P10" s="311">
        <f t="shared" si="2"/>
        <v>5331.5596946440683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168</v>
      </c>
      <c r="I11" s="236">
        <f t="shared" si="0"/>
        <v>12203.52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1034.3936000000001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427.1232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10742.003200000001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2306.4406779661022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65.242219389830524</v>
      </c>
      <c r="P11" s="311">
        <f t="shared" si="2"/>
        <v>13113.686097355934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99</v>
      </c>
      <c r="I12" s="236">
        <f t="shared" si="0"/>
        <v>7191.36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633.4208000000001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251.69760000000002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6306.2415999999994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1359.1525423728815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38.326970711864412</v>
      </c>
      <c r="P12" s="311">
        <f t="shared" si="2"/>
        <v>7703.7211130847454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11.375</v>
      </c>
      <c r="H16" s="113">
        <f t="shared" ref="H16:M16" si="3">SUM(H7:H15)</f>
        <v>455</v>
      </c>
      <c r="I16" s="114">
        <f t="shared" si="3"/>
        <v>30629.9</v>
      </c>
      <c r="J16" s="274">
        <f>SUM(J7:J15)</f>
        <v>2566.616</v>
      </c>
      <c r="K16" s="275">
        <f t="shared" si="3"/>
        <v>1072.0465000000002</v>
      </c>
      <c r="L16" s="276">
        <f t="shared" si="3"/>
        <v>0</v>
      </c>
      <c r="M16" s="232">
        <f t="shared" si="3"/>
        <v>26991.237500000003</v>
      </c>
      <c r="N16" s="233">
        <f>SUM(N7:N15)</f>
        <v>5788.9830508474579</v>
      </c>
      <c r="O16" s="101">
        <f>SUM(O7:O15)</f>
        <v>163.90110275423731</v>
      </c>
      <c r="P16" s="113">
        <f>SUM(P7:P15)</f>
        <v>32944.121653601695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30629.9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2566.616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1072.0465000000002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26991.237499999999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5788.9830508474579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32780.220550847458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163.90110275423731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32944.121653601695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32944.121653601695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581.12</v>
      </c>
      <c r="K25" s="275">
        <f t="shared" si="10"/>
        <v>203.39200000000002</v>
      </c>
      <c r="L25" s="276">
        <f t="shared" si="10"/>
        <v>0</v>
      </c>
      <c r="M25" s="232">
        <f t="shared" si="10"/>
        <v>5026.6880000000001</v>
      </c>
      <c r="N25" s="233">
        <f>SUM(N16:N24)</f>
        <v>1098.3050847457628</v>
      </c>
      <c r="O25" s="101">
        <f>SUM(O16:O24)</f>
        <v>30.624965423728813</v>
      </c>
      <c r="P25" s="234">
        <f>SUM(P16:P24)</f>
        <v>6155.6180501694917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581.12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5026.6880000000001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6124.9930847457626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74" t="s">
        <v>88</v>
      </c>
      <c r="O35" s="375"/>
      <c r="P35" s="297">
        <f>+P33+P34</f>
        <v>6155.6180501694917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119">
        <f t="shared" si="5"/>
        <v>2352.1586888135594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945.7627118644067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1089.5999999999999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87.168000000000006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38.136000000000003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964.29599999999994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1170.2282033898305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74" t="s">
        <v>88</v>
      </c>
      <c r="O35" s="375"/>
      <c r="P35" s="297">
        <f>+P33+P34</f>
        <v>1176.0793444067797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2026-10-26T12:36:38Z</dcterms:modified>
</cp:coreProperties>
</file>