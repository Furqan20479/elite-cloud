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6C7DF42-9081-46AA-9C3D-7A6A8F0F2AF9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<sst xmlns="http://schemas.openxmlformats.org/spreadsheetml/2006/main" count="3948" uniqueCount="532">
  <si>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</si>
  <si>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</si>
  <si>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</si>
  <si>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</si>
  <si>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</si>
  <si>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</si>
  <si>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</si>
  <si>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</si>
  <si>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</si>
  <si>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</si>
  <si>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</si>
  <si>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</si>
  <si>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</si>
  <si>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</si>
  <si>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</si>
  <si>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</si>
  <si>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</si>
  <si>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</si>
  <si>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</si>
  <si>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</si>
  <si>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</si>
  <si>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</si>
  <si>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</si>
  <si>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</si>
  <si>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</si>
  <si>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</si>
  <si>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</si>
  <si>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</si>
  <si>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</si>
  <si>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</si>
  <si>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</si>
  <si>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</si>
  <si>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</si>
  <si>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</si>
  <si>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</si>
  <si>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</si>
  <si>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</si>
  <si>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</si>
  <si>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</si>
  <si>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</si>
  <si>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</si>
  <si>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</si>
  <si>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</si>
  <si>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</si>
  <si>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</si>
  <si>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</si>
  <si>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</si>
  <si>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</si>
  <si>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</si>
  <si>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</si>
  <si>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</si>
  <si>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</si>
  <si>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</si>
  <si>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</si>
  <si>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</si>
  <si>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</si>
  <si>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</si>
  <si>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</si>
  <si>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</si>
  <si>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</si>
  <si>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</si>
  <si>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</si>
  <si>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</si>
  <si>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</si>
  <si>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</si>
  <si>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</si>
  <si>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</si>
  <si>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</si>
  <si>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</si>
  <si>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</si>
  <si>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</si>
  <si>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</si>
  <si>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</si>
  <si>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</si>
  <si>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</si>
  <si>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</si>
  <si>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</si>
  <si>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</si>
  <si>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</si>
  <si>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</si>
  <si>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</si>
  <si>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</si>
  <si>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</si>
  <si>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</si>
  <si>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</si>
  <si>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</si>
  <si>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</si>
  <si>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</si>
  <si>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</si>
  <si>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</si>
  <si>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</si>
  <si>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</si>
  <si>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</si>
  <si>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</si>
  <si>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</si>
  <si>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</si>
  <si>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</si>
  <si>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</si>
  <si>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</si>
  <si>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</si>
  <si>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</si>
  <si>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</si>
  <si>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</si>
  <si>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</si>
  <si>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</si>
  <si>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</si>
  <si>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</si>
  <si>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</si>
  <si>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</si>
  <si>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</si>
  <si>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</si>
  <si>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</si>
  <si>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</si>
  <si>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</si>
  <si>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</si>
  <si>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</si>
  <si>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</si>
  <si>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</si>
  <si>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</si>
  <si>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</si>
  <si>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</si>
  <si>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</si>
  <si>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</si>
  <si>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</si>
  <si>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</si>
  <si>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</si>
  <si>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</si>
  <si>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</si>
  <si>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</si>
  <si>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</si>
  <si>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</si>
  <si>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</si>
  <si>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</si>
  <si>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</si>
  <si>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</si>
  <si>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</si>
  <si>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</si>
  <si>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</si>
  <si>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</si>
  <si>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</si>
  <si>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</si>
  <si>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</si>
  <si>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</si>
  <si>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</si>
  <si>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</si>
  <si>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</si>
  <si>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</si>
  <si>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</si>
  <si>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</si>
  <si>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</si>
  <si>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</si>
  <si>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</si>
  <si>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</si>
  <si>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</si>
  <si>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</si>
  <si>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</si>
  <si>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</si>
  <si>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</si>
  <si>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</si>
  <si>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</si>
  <si>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</si>
  <si>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</si>
  <si>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</si>
  <si>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</si>
  <si>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</si>
  <si>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</si>
  <si>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</si>
  <si>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</si>
  <si>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</si>
  <si>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</si>
  <si>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</si>
  <si>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</si>
  <si>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</si>
  <si>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</si>
  <si>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</si>
  <si>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</si>
  <si>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</si>
  <si>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</si>
  <si>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</si>
  <si>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</si>
  <si>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</si>
  <si>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</si>
  <si>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</si>
  <si>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</si>
  <si>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</si>
  <si>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</si>
  <si>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</si>
  <si>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</si>
  <si>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</si>
  <si>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</si>
  <si>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</si>
  <si>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</si>
  <si>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</si>
  <si>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</si>
  <si>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</si>
  <si>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</si>
  <si>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</si>
  <si>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</si>
  <si>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</si>
  <si>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</si>
  <si>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</si>
  <si>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</si>
  <si>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</si>
  <si>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</si>
  <si>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</si>
  <si>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</si>
  <si>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</si>
  <si>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</si>
  <si>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</si>
  <si>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</si>
  <si>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</si>
  <si>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</si>
  <si>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</si>
  <si>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</si>
  <si>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</si>
  <si>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</si>
  <si>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</si>
  <si>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</si>
  <si>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</si>
  <si>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</si>
  <si>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</si>
  <si>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</si>
  <si>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</si>
  <si>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</si>
  <si>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</si>
  <si>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</si>
  <si>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</si>
  <si>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</si>
  <si>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</si>
  <si>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</si>
  <si>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</si>
  <si>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</si>
  <si>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</si>
  <si>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</si>
  <si>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</si>
  <si>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</si>
  <si>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</si>
  <si>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</si>
  <si>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</si>
  <si>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</si>
  <si>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</si>
  <si>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</si>
  <si>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</si>
  <si>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</si>
  <si>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</si>
  <si>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</si>
  <si>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</si>
  <si>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</si>
  <si>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</si>
  <si>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</si>
  <si>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</si>
  <si>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</si>
  <si>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</si>
  <si>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</si>
  <si>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</si>
  <si>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</si>
  <si>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</si>
  <si>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</si>
  <si>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</si>
  <si>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</si>
  <si>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</si>
  <si>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</si>
  <si>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</si>
  <si>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</si>
  <si>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</si>
  <si>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</si>
  <si>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</si>
  <si>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</si>
  <si>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</si>
  <si>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</si>
  <si>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</si>
  <si>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</si>
  <si>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</si>
  <si>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</si>
  <si>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</si>
  <si>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</si>
  <si>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</si>
  <si>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</si>
  <si>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</si>
  <si>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</si>
  <si>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</si>
  <si>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</si>
  <si>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</si>
  <si>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</si>
  <si>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</si>
  <si>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</si>
  <si>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</si>
  <si>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</si>
  <si>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</si>
  <si>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</si>
  <si>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</si>
  <si>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</si>
  <si>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</si>
  <si>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</si>
  <si>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</si>
  <si>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</si>
  <si>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</si>
  <si>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</si>
  <si>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</si>
  <si>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</si>
  <si>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</si>
  <si>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</si>
  <si>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</si>
  <si>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</si>
  <si>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</si>
  <si>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</si>
  <si>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</si>
  <si>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</si>
  <si>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</si>
  <si>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</si>
  <si>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</si>
  <si>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</si>
  <si>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</si>
  <si>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</si>
  <si>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</si>
  <si>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</si>
  <si>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</si>
  <si>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</si>
  <si>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</si>
  <si>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</si>
  <si>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</si>
  <si>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</si>
  <si>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</si>
  <si>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</si>
  <si>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</si>
  <si>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</si>
  <si>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</si>
  <si>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</si>
  <si>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</si>
  <si>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</si>
  <si>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</si>
  <si>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</si>
  <si>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</si>
  <si>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</si>
  <si>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</si>
  <si>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</si>
  <si>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</si>
  <si>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</si>
  <si>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</si>
  <si>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</si>
  <si>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</si>
  <si>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</si>
  <si>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</si>
  <si>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</si>
  <si>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</si>
  <si>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</si>
  <si>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</si>
  <si>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</si>
  <si>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</si>
  <si>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</si>
  <si>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</si>
  <si>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</si>
  <si>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</si>
  <si>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</si>
  <si>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</si>
  <si>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</si>
  <si>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</si>
  <si>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</si>
  <si>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</si>
  <si>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</si>
  <si>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</si>
  <si>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</si>
  <si>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</si>
  <si>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</si>
  <si>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</si>
  <si>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</si>
  <si>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</si>
  <si>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</si>
  <si>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</si>
  <si>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</si>
  <si>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</si>
  <si>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</si>
  <si>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</si>
  <si>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</si>
  <si>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</si>
  <si>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</si>
  <si>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</si>
  <si>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</si>
  <si>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</si>
  <si>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</si>
  <si>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</si>
  <si>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</si>
  <si>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</si>
  <si>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</si>
  <si>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</si>
  <si>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</si>
  <si>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</si>
  <si>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</si>
  <si>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</si>
  <si>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</si>
  <si>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</si>
  <si>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</si>
  <si>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</si>
  <si>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</si>
  <si>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</si>
  <si>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</si>
  <si>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</si>
  <si>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</si>
  <si>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</si>
  <si>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</si>
  <si>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</si>
  <si>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</si>
  <si>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</si>
  <si>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</si>
  <si>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</si>
  <si>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</si>
  <si>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</si>
  <si>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</si>
  <si>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</si>
  <si>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</si>
  <si>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</si>
  <si>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</si>
  <si>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</si>
  <si>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</si>
  <si>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</si>
  <si>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</si>
  <si>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</si>
  <si>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</si>
  <si>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</si>
  <si>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</si>
  <si>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</si>
  <si>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</si>
  <si>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</si>
  <si>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</si>
  <si>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</si>
  <si>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</si>
  <si>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</si>
  <si>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</si>
  <si>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</si>
  <si>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</si>
  <si>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</si>
  <si>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</si>
  <si>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</si>
  <si>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</si>
  <si>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</si>
  <si>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</si>
  <si>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</si>
  <si>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</si>
  <si>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</si>
  <si>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</si>
  <si>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</si>
  <si>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</si>
  <si>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</si>
  <si>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</si>
  <si>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</si>
  <si>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</si>
  <si>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</si>
  <si>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</si>
  <si>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</si>
  <si>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</si>
  <si>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</si>
  <si>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</si>
  <si>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</si>
  <si>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</si>
  <si>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</si>
  <si>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</si>
  <si>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</si>
  <si>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</si>
  <si>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</si>
  <si>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</si>
  <si>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</si>
  <si>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</si>
  <si>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</si>
  <si>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</si>
  <si>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</si>
  <si>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</si>
  <si>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</si>
  <si>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</si>
  <si>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</si>
  <si>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</si>
  <si>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</si>
  <si>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</si>
  <si>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</si>
  <si>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</si>
  <si>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</si>
  <si>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</si>
  <si>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</si>
  <si>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</si>
  <si>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</si>
  <si>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</si>
  <si>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</si>
  <si>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</si>
  <si>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</si>
  <si>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</si>
  <si>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</si>
  <si>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</si>
  <si>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</si>
  <si>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</si>
  <si>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</si>
  <si>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</si>
  <si>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</si>
  <si>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</si>
  <si>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</si>
  <si>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</si>
  <si>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</si>
  <si>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</si>
  <si>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</si>
  <si>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</si>
  <si>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</si>
  <si>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</si>
  <si>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</si>
  <si>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</si>
  <si>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</si>
  <si>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</si>
  <si>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</si>
  <si>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</si>
  <si>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</si>
  <si>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</si>
  <si>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</si>
  <si>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</si>
  <si>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</si>
  <si>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</si>
  <si>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</si>
  <si>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</si>
  <si>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 xml:space="preserve">Marwa Mart </t>
  </si>
  <si>
    <t xml:space="preserve">Address: Tajbagh </t>
  </si>
  <si>
    <t>Madina Store</t>
  </si>
  <si>
    <t xml:space="preserve">Raya Mart </t>
  </si>
  <si>
    <t>Qasim Store</t>
  </si>
  <si>
    <t>Shahid GS</t>
  </si>
  <si>
    <t>786 Store</t>
  </si>
  <si>
    <t>Shahbaz Store</t>
  </si>
  <si>
    <t xml:space="preserve">Saad Mart </t>
  </si>
  <si>
    <t xml:space="preserve">Ideal Cash &amp; Carry </t>
  </si>
  <si>
    <t>Ahmad Store</t>
  </si>
  <si>
    <t>Karam Store</t>
  </si>
  <si>
    <t>Jameel Store (Sample)</t>
  </si>
  <si>
    <t>Zarar Khan Super Store</t>
  </si>
  <si>
    <t>Khan Super Store</t>
  </si>
  <si>
    <t xml:space="preserve">Top Bakers </t>
  </si>
  <si>
    <t>Mughal Store</t>
  </si>
  <si>
    <t>Al Rehman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</si>
</sst>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F38" sqref="F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46322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Marwa Mart </v>
      </c>
      <c r="T3" s="301">
        <f>+'1'!P35</f>
        <v>12544.846340338983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Madina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Raya Mart 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Qasim Store</v>
      </c>
      <c r="T6" s="301">
        <f>+'4'!P35</f>
        <v>940.86347552542372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Shahid GS</v>
      </c>
      <c r="T7" s="301">
        <f>+'5'!P35</f>
        <v>548.8370273898305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786 Store</v>
      </c>
      <c r="T8" s="301">
        <f>+'6'!P35</f>
        <v>627.24231701694919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Shahbaz Store</v>
      </c>
      <c r="T9" s="301">
        <f>+'7'!P35</f>
        <v>940.86347552542372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157</v>
      </c>
      <c r="I10" s="236">
        <f t="shared" si="0"/>
        <v>11404.48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912.35839999999996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399.15680000000003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10092.9648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2155.4237288135596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61.241942644067805</v>
      </c>
      <c r="P10" s="311">
        <f t="shared" si="2"/>
        <v>12309.630471457627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Saad Mart 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70</v>
      </c>
      <c r="I11" s="236">
        <f t="shared" si="0"/>
        <v>5084.8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177.96800000000002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4500.0479999999998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961.01694915254234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27.305324745762711</v>
      </c>
      <c r="P11" s="311">
        <f t="shared" si="2"/>
        <v>5488.3702738983047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Ideal Cash &amp; Carry </v>
      </c>
      <c r="T11" s="301">
        <f>+'9'!P35</f>
        <v>940.86347552542372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333</v>
      </c>
      <c r="I12" s="236">
        <f t="shared" si="0"/>
        <v>24189.119999999999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1935.1296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846.61920000000009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21407.371199999998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4571.6949152542384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129.89533057627122</v>
      </c>
      <c r="P12" s="311">
        <f t="shared" si="2"/>
        <v>26108.961445830508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Ahmad Store</v>
      </c>
      <c r="T12" s="301">
        <f>+'10'!P35</f>
        <v>470.43173776271186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Jameel Store (Sample)</v>
      </c>
      <c r="T13" s="301">
        <f>+'11'!P35</f>
        <v>235.21586888135593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Karam Store</v>
      </c>
      <c r="T14" s="301">
        <f>+'12'!P35</f>
        <v>3136.2115850847458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Zarar Khan Super Store</v>
      </c>
      <c r="T15" s="301">
        <f>+'13'!P35</f>
        <v>3136.2115850847458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15</v>
      </c>
      <c r="H16" s="113">
        <f t="shared" ref="H16:M16" si="3">SUM(H7:H15)</f>
        <v>600</v>
      </c>
      <c r="I16" s="114">
        <f t="shared" si="3"/>
        <v>42776.899999999994</v>
      </c>
      <c r="J16" s="274">
        <f>SUM(J7:J15)</f>
        <v>3422.152</v>
      </c>
      <c r="K16" s="275">
        <f t="shared" si="3"/>
        <v>1497.1915000000001</v>
      </c>
      <c r="L16" s="276">
        <f t="shared" si="3"/>
        <v>0</v>
      </c>
      <c r="M16" s="232">
        <f t="shared" si="3"/>
        <v>37857.556499999999</v>
      </c>
      <c r="N16" s="233">
        <f>SUM(N7:N15)</f>
        <v>8084.7457627118656</v>
      </c>
      <c r="O16" s="101">
        <f>SUM(O7:O15)</f>
        <v>229.71151131355936</v>
      </c>
      <c r="P16" s="113">
        <f>SUM(P7:P15)</f>
        <v>46172.013774025421</v>
      </c>
      <c r="Q16" s="128">
        <f>SUM(Q7:Q15)</f>
        <v>0</v>
      </c>
      <c r="R16" s="313">
        <v>14</v>
      </c>
      <c r="S16" s="315" t="str">
        <f>+'14'!A6:A6</f>
        <v>Khan Super Store</v>
      </c>
      <c r="T16" s="301">
        <f>+'14'!P35</f>
        <v>2265.051582838983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Top Bakers </v>
      </c>
      <c r="T17" s="301">
        <f>+'15'!P35</f>
        <v>3136.2115850847458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Mughal Store</v>
      </c>
      <c r="T18" s="301">
        <f>+'16'!P35</f>
        <v>6272.4231701694916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42776.899999999994</v>
      </c>
      <c r="R19" s="299">
        <v>17</v>
      </c>
      <c r="S19" s="300" t="str">
        <f>+'17'!A6:A6</f>
        <v>Al Rehman store</v>
      </c>
      <c r="T19" s="301">
        <f>+'17'!P35</f>
        <v>6272.4231701694916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3422.152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1497.1915000000001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37857.556499999992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8084.7457627118656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45942.302262711855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229.71151131355936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46172.013774025414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46172.013774025429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11622.4</v>
      </c>
      <c r="J25" s="274">
        <f>SUM(J16:J24)</f>
        <v>929.79200000000003</v>
      </c>
      <c r="K25" s="275">
        <f t="shared" si="10"/>
        <v>406.78400000000005</v>
      </c>
      <c r="L25" s="276">
        <f t="shared" si="10"/>
        <v>0</v>
      </c>
      <c r="M25" s="232">
        <f t="shared" si="10"/>
        <v>10285.824000000001</v>
      </c>
      <c r="N25" s="233">
        <f>SUM(N16:N24)</f>
        <v>2196.6101694915255</v>
      </c>
      <c r="O25" s="101">
        <f>SUM(O16:O24)</f>
        <v>62.412170847457631</v>
      </c>
      <c r="P25" s="234">
        <f>SUM(P16:P24)</f>
        <v>12544.846340338983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11622.4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929.79200000000003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406.78400000000005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10285.824000000001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12482.434169491526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62.412170847457631</v>
      </c>
    </row>
    <row r="35" spans="2:16" ht="15.75" customHeight="1" thickBot="1" x14ac:dyDescent="0.4">
      <c r="N35" s="374" t="s">
        <v>88</v>
      </c>
      <c r="O35" s="375"/>
      <c r="P35" s="297">
        <f>+P33+P34</f>
        <v>12544.846340338983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7</v>
      </c>
      <c r="I21" s="236">
        <f t="shared" si="0"/>
        <v>508.48</v>
      </c>
      <c r="J21" s="272">
        <f t="shared" si="1"/>
        <v>40.678400000000003</v>
      </c>
      <c r="K21" s="128">
        <f t="shared" si="1"/>
        <v>17.796800000000001</v>
      </c>
      <c r="L21" s="119">
        <f t="shared" si="1"/>
        <v>0</v>
      </c>
      <c r="M21" s="230">
        <f t="shared" si="2"/>
        <v>450.00480000000005</v>
      </c>
      <c r="N21" s="277">
        <f t="shared" si="3"/>
        <v>96.101694915254242</v>
      </c>
      <c r="O21" s="239">
        <f t="shared" si="4"/>
        <v>2.7305324745762714</v>
      </c>
      <c r="P21" s="119">
        <f t="shared" si="5"/>
        <v>548.83702738983061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7</v>
      </c>
      <c r="I25" s="114">
        <f t="shared" si="7"/>
        <v>508.48</v>
      </c>
      <c r="J25" s="274">
        <f>SUM(J16:J24)</f>
        <v>40.678400000000003</v>
      </c>
      <c r="K25" s="275">
        <f t="shared" si="7"/>
        <v>17.796800000000001</v>
      </c>
      <c r="L25" s="276">
        <f t="shared" si="7"/>
        <v>0</v>
      </c>
      <c r="M25" s="232">
        <f t="shared" si="7"/>
        <v>450.00480000000005</v>
      </c>
      <c r="N25" s="233">
        <f>SUM(N16:N24)</f>
        <v>96.101694915254242</v>
      </c>
      <c r="O25" s="101">
        <f>SUM(O16:O24)</f>
        <v>2.7305324745762714</v>
      </c>
      <c r="P25" s="234">
        <f>SUM(P16:P24)</f>
        <v>548.83702738983061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508.48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40.678400000000003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17.796800000000001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450.00479999999999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96.101694915254242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546.10649491525419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2.7305324745762709</v>
      </c>
    </row>
    <row r="35" spans="2:16" ht="15.75" customHeight="1" thickBot="1" x14ac:dyDescent="0.4">
      <c r="N35" s="374" t="s">
        <v>88</v>
      </c>
      <c r="O35" s="375"/>
      <c r="P35" s="297">
        <f>+P33+P34</f>
        <v>548.8370273898305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119">
        <f t="shared" si="5"/>
        <v>627.24231701694919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</v>
      </c>
      <c r="I25" s="114">
        <f t="shared" si="7"/>
        <v>581.12</v>
      </c>
      <c r="J25" s="274">
        <f>SUM(J16:J24)</f>
        <v>46.489600000000003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234">
        <f>SUM(P16:P24)</f>
        <v>627.24231701694919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581.12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46.489600000000003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20.339200000000002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514.2912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624.12170847457628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627.24231701694919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7.6272000000000011</v>
      </c>
      <c r="L25" s="276">
        <f t="shared" si="7"/>
        <v>0</v>
      </c>
      <c r="M25" s="232">
        <f t="shared" si="7"/>
        <v>192.85920000000002</v>
      </c>
      <c r="N25" s="233">
        <f>SUM(N16:N24)</f>
        <v>41.186440677966104</v>
      </c>
      <c r="O25" s="101">
        <f>SUM(O16:O24)</f>
        <v>1.1702282033898306</v>
      </c>
      <c r="P25" s="234">
        <f>SUM(P16:P24)</f>
        <v>235.21586888135593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217.92000000000002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17.433600000000002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7.6272000000000011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192.85920000000002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234.04564067796611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74" t="s">
        <v>88</v>
      </c>
      <c r="O35" s="375"/>
      <c r="P35" s="297">
        <f>+P33+P34</f>
        <v>235.21586888135593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18</v>
      </c>
      <c r="I21" s="236">
        <f t="shared" si="0"/>
        <v>1307.52</v>
      </c>
      <c r="J21" s="272">
        <f t="shared" si="1"/>
        <v>104.6016</v>
      </c>
      <c r="K21" s="128">
        <f t="shared" si="1"/>
        <v>45.763200000000005</v>
      </c>
      <c r="L21" s="119">
        <f t="shared" si="1"/>
        <v>0</v>
      </c>
      <c r="M21" s="230">
        <f t="shared" si="2"/>
        <v>1157.1551999999999</v>
      </c>
      <c r="N21" s="277">
        <f t="shared" si="3"/>
        <v>247.11864406779662</v>
      </c>
      <c r="O21" s="239">
        <f t="shared" si="4"/>
        <v>7.0213692203389826</v>
      </c>
      <c r="P21" s="119">
        <f t="shared" si="5"/>
        <v>1411.2952132881355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2026-10-26T12:11:20Z</dcterms:modified>
</cp:coreProperties>
</file>