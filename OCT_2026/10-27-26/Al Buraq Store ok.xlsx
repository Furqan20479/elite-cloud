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16EC584-3E00-42CD-B9ED-241631B3FB51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4" i="70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4" i="69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4" i="68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4" i="67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4" i="66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4" i="65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4" i="64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4" i="63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4" i="6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4" i="60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4" i="59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4" i="58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4" i="57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4" i="56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4" i="55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4" i="54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4" i="53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4" i="52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4" i="5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4" i="50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4" i="49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4" i="48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4" i="47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4" i="46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4" i="45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4" i="44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4" i="43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17" i="11"/>
  <c r="T24" i="1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J23" i="51"/>
  <c r="L23" i="51"/>
  <c r="K23" i="51"/>
  <c r="M23" i="51" s="1"/>
  <c r="O23" i="51" s="1"/>
  <c r="P23" i="51" s="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M24" i="71" s="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L23" i="69"/>
  <c r="K23" i="69"/>
  <c r="J23" i="69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K24" i="50"/>
  <c r="L24" i="50"/>
  <c r="L24" i="60"/>
  <c r="K24" i="60"/>
  <c r="J24" i="60"/>
  <c r="K24" i="66"/>
  <c r="M24" i="66" s="1"/>
  <c r="O24" i="66" s="1"/>
  <c r="P24" i="66" s="1"/>
  <c r="J24" i="66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M24" i="56" s="1"/>
  <c r="O24" i="56" s="1"/>
  <c r="P24" i="56" s="1"/>
  <c r="L24" i="56"/>
  <c r="L24" i="43"/>
  <c r="K24" i="43"/>
  <c r="J24" i="43"/>
  <c r="K24" i="53"/>
  <c r="M24" i="53" s="1"/>
  <c r="O24" i="53" s="1"/>
  <c r="P24" i="53" s="1"/>
  <c r="L24" i="53"/>
  <c r="J24" i="53"/>
  <c r="J24" i="58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K20" i="53"/>
  <c r="L20" i="53"/>
  <c r="M20" i="53" s="1"/>
  <c r="O20" i="53" s="1"/>
  <c r="P20" i="53" s="1"/>
  <c r="J20" i="53"/>
  <c r="K20" i="43"/>
  <c r="L20" i="43"/>
  <c r="J20" i="43"/>
  <c r="M20" i="43" s="1"/>
  <c r="O20" i="43" s="1"/>
  <c r="P20" i="43" s="1"/>
  <c r="K20" i="57"/>
  <c r="J20" i="57"/>
  <c r="L20" i="57"/>
  <c r="M20" i="57" s="1"/>
  <c r="O20" i="57" s="1"/>
  <c r="P20" i="57" s="1"/>
  <c r="K20" i="61"/>
  <c r="J20" i="61"/>
  <c r="M20" i="61" s="1"/>
  <c r="O20" i="61" s="1"/>
  <c r="P20" i="61" s="1"/>
  <c r="L20" i="6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M23" i="49" s="1"/>
  <c r="O23" i="49" s="1"/>
  <c r="P23" i="49" s="1"/>
  <c r="L23" i="49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3" l="1"/>
  <c r="J7" i="62"/>
  <c r="J25" i="61"/>
  <c r="P29" i="61" s="1"/>
  <c r="M17" i="56"/>
  <c r="O17" i="56" s="1"/>
  <c r="P17" i="56" s="1"/>
  <c r="M16" i="59"/>
  <c r="M21" i="53"/>
  <c r="O21" i="53" s="1"/>
  <c r="P21" i="53" s="1"/>
  <c r="M24" i="50"/>
  <c r="O24" i="50" s="1"/>
  <c r="P24" i="50" s="1"/>
  <c r="M23" i="52"/>
  <c r="O23" i="52" s="1"/>
  <c r="P23" i="52" s="1"/>
  <c r="M24" i="48"/>
  <c r="M23" i="48"/>
  <c r="M24" i="45"/>
  <c r="O24" i="45" s="1"/>
  <c r="P24" i="45" s="1"/>
  <c r="M23" i="64"/>
  <c r="O23" i="64" s="1"/>
  <c r="P23" i="64" s="1"/>
  <c r="M23" i="65"/>
  <c r="M23" i="58"/>
  <c r="O23" i="58" s="1"/>
  <c r="P23" i="58" s="1"/>
  <c r="M23" i="44"/>
  <c r="O23" i="44" s="1"/>
  <c r="P23" i="44" s="1"/>
  <c r="M24" i="44"/>
  <c r="O24" i="44" s="1"/>
  <c r="P24" i="44" s="1"/>
  <c r="M24" i="58"/>
  <c r="O24" i="58" s="1"/>
  <c r="P24" i="58" s="1"/>
  <c r="M24" i="43"/>
  <c r="O24" i="43" s="1"/>
  <c r="P24" i="43" s="1"/>
  <c r="M23" i="66"/>
  <c r="O23" i="66" s="1"/>
  <c r="P23" i="66" s="1"/>
  <c r="M23" i="69"/>
  <c r="O23" i="69" s="1"/>
  <c r="P23" i="69" s="1"/>
  <c r="M23" i="53"/>
  <c r="O23" i="53" s="1"/>
  <c r="P23" i="53" s="1"/>
  <c r="M24" i="63"/>
  <c r="O24" i="63" s="1"/>
  <c r="P24" i="63" s="1"/>
  <c r="M21" i="52"/>
  <c r="O21" i="52" s="1"/>
  <c r="P21" i="52" s="1"/>
  <c r="M21" i="51"/>
  <c r="M20" i="70"/>
  <c r="O20" i="70" s="1"/>
  <c r="P20" i="70" s="1"/>
  <c r="M16" i="64"/>
  <c r="M16" i="65"/>
  <c r="M16" i="48"/>
  <c r="M16" i="60"/>
  <c r="O16" i="60" s="1"/>
  <c r="P16" i="60" s="1"/>
  <c r="M16" i="66"/>
  <c r="M16" i="44"/>
  <c r="M18" i="67"/>
  <c r="O18" i="67" s="1"/>
  <c r="P18" i="67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16" i="55" s="1"/>
  <c r="O18" i="43"/>
  <c r="P18" i="43" s="1"/>
  <c r="O24" i="71"/>
  <c r="P24" i="71"/>
  <c r="O23" i="59"/>
  <c r="P23" i="59" s="1"/>
  <c r="O16" i="67"/>
  <c r="P16" i="67" s="1"/>
  <c r="O24" i="48"/>
  <c r="P24" i="48" s="1"/>
  <c r="O16" i="44"/>
  <c r="O22" i="51"/>
  <c r="P22" i="51" s="1"/>
  <c r="O23" i="60"/>
  <c r="P23" i="60" s="1"/>
  <c r="O16" i="64"/>
  <c r="P16" i="64" s="1"/>
  <c r="O17" i="45"/>
  <c r="P17" i="45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 s="1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21" i="50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M25" i="56"/>
  <c r="O16" i="56"/>
  <c r="O25" i="56" s="1"/>
  <c r="M25" i="55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15" i="62" l="1"/>
  <c r="P15" i="62" s="1"/>
  <c r="O25" i="64"/>
  <c r="P23" i="55"/>
  <c r="P25" i="55" s="1"/>
  <c r="P16" i="70"/>
  <c r="P16" i="53"/>
  <c r="P25" i="53" s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<sst xmlns="http://schemas.openxmlformats.org/spreadsheetml/2006/main" count="3947" uniqueCount="521">
  <si>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</si>
  <si>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</si>
  <si>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</si>
  <si>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</si>
  <si>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</si>
  <si>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</si>
  <si>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</si>
  <si>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</si>
  <si>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</si>
  <si>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</si>
  <si>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</si>
  <si>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</si>
  <si>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</si>
  <si>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</si>
  <si>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</si>
  <si>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</si>
  <si>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</si>
  <si>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</si>
  <si>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</si>
  <si>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</si>
  <si>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</si>
  <si>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</si>
  <si>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</si>
  <si>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</si>
  <si>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</si>
  <si>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</si>
  <si>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</si>
  <si>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</si>
  <si>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</si>
  <si>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</si>
  <si>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</si>
  <si>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</si>
  <si>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</si>
  <si>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</si>
  <si>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</si>
  <si>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</si>
  <si>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</si>
  <si>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</si>
  <si>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</si>
  <si>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</si>
  <si>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</si>
  <si>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</si>
  <si>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</si>
  <si>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</si>
  <si>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</si>
  <si>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</si>
  <si>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</si>
  <si>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</si>
  <si>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</si>
  <si>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</si>
  <si>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</si>
  <si>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</si>
  <si>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</si>
  <si>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</si>
  <si>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</si>
  <si>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</si>
  <si>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</si>
  <si>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</si>
  <si>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</si>
  <si>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</si>
  <si>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</si>
  <si>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</si>
  <si>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</si>
  <si>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</si>
  <si>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</si>
  <si>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</si>
  <si>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</si>
  <si>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</si>
  <si>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</si>
  <si>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</si>
  <si>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</si>
  <si>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</si>
  <si>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</si>
  <si>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</si>
  <si>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</si>
  <si>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</si>
  <si>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</si>
  <si>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</si>
  <si>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</si>
  <si>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</si>
  <si>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</si>
  <si>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</si>
  <si>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</si>
  <si>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</si>
  <si>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</si>
  <si>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</si>
  <si>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</si>
  <si>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</si>
  <si>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</si>
  <si>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</si>
  <si>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</si>
  <si>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</si>
  <si>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</si>
  <si>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</si>
  <si>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</si>
  <si>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</si>
  <si>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</si>
  <si>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</si>
  <si>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</si>
  <si>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</si>
  <si>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</si>
  <si>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</si>
  <si>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</si>
  <si>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</si>
  <si>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</si>
  <si>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</si>
  <si>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</si>
  <si>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</si>
  <si>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</si>
  <si>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</si>
  <si>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</si>
  <si>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</si>
  <si>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</si>
  <si>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</si>
  <si>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</si>
  <si>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</si>
  <si>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</si>
  <si>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</si>
  <si>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</si>
  <si>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</si>
  <si>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</si>
  <si>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</si>
  <si>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</si>
  <si>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</si>
  <si>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</si>
  <si>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</si>
  <si>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</si>
  <si>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</si>
  <si>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</si>
  <si>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</si>
  <si>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</si>
  <si>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</si>
  <si>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</si>
  <si>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</si>
  <si>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</si>
  <si>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</si>
  <si>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</si>
  <si>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</si>
  <si>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</si>
  <si>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</si>
  <si>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</si>
  <si>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</si>
  <si>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</si>
  <si>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</si>
  <si>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</si>
  <si>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</si>
  <si>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</si>
  <si>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</si>
  <si>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</si>
  <si>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</si>
  <si>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</si>
  <si>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</si>
  <si>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</si>
  <si>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</si>
  <si>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</si>
  <si>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</si>
  <si>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</si>
  <si>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</si>
  <si>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</si>
  <si>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</si>
  <si>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</si>
  <si>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</si>
  <si>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</si>
  <si>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</si>
  <si>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</si>
  <si>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</si>
  <si>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</si>
  <si>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</si>
  <si>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</si>
  <si>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</si>
  <si>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</si>
  <si>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</si>
  <si>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</si>
  <si>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</si>
  <si>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</si>
  <si>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</si>
  <si>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</si>
  <si>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</si>
  <si>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</si>
  <si>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</si>
  <si>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</si>
  <si>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</si>
  <si>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</si>
  <si>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</si>
  <si>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</si>
  <si>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</si>
  <si>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</si>
  <si>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</si>
  <si>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</si>
  <si>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</si>
  <si>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</si>
  <si>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</si>
  <si>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</si>
  <si>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</si>
  <si>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</si>
  <si>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</si>
  <si>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</si>
  <si>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</si>
  <si>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</si>
  <si>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</si>
  <si>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</si>
  <si>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</si>
  <si>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</si>
  <si>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</si>
  <si>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</si>
  <si>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</si>
  <si>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</si>
  <si>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</si>
  <si>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</si>
  <si>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</si>
  <si>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</si>
  <si>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</si>
  <si>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</si>
  <si>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</si>
  <si>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</si>
  <si>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</si>
  <si>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</si>
  <si>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</si>
  <si>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</si>
  <si>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</si>
  <si>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</si>
  <si>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</si>
  <si>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</si>
  <si>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</si>
  <si>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</si>
  <si>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</si>
  <si>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</si>
  <si>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</si>
  <si>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</si>
  <si>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</si>
  <si>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</si>
  <si>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</si>
  <si>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</si>
  <si>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</si>
  <si>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</si>
  <si>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</si>
  <si>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</si>
  <si>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</si>
  <si>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</si>
  <si>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</si>
  <si>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</si>
  <si>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</si>
  <si>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</si>
  <si>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</si>
  <si>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</si>
  <si>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</si>
  <si>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</si>
  <si>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</si>
  <si>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</si>
  <si>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</si>
  <si>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</si>
  <si>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</si>
  <si>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</si>
  <si>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</si>
  <si>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</si>
  <si>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</si>
  <si>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</si>
  <si>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</si>
  <si>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</si>
  <si>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</si>
  <si>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</si>
  <si>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</si>
  <si>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</si>
  <si>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</si>
  <si>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</si>
  <si>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</si>
  <si>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</si>
  <si>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</si>
  <si>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</si>
  <si>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</si>
  <si>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</si>
  <si>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</si>
  <si>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</si>
  <si>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</si>
  <si>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</si>
  <si>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</si>
  <si>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</si>
  <si>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</si>
  <si>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</si>
  <si>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</si>
  <si>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</si>
  <si>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</si>
  <si>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</si>
  <si>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</si>
  <si>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</si>
  <si>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</si>
  <si>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</si>
  <si>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</si>
  <si>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</si>
  <si>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</si>
  <si>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</si>
  <si>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</si>
  <si>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</si>
  <si>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</si>
  <si>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</si>
  <si>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</si>
  <si>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</si>
  <si>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</si>
  <si>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</si>
  <si>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</si>
  <si>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</si>
  <si>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</si>
  <si>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</si>
  <si>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</si>
  <si>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</si>
  <si>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</si>
  <si>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</si>
  <si>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</si>
  <si>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</si>
  <si>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</si>
  <si>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</si>
  <si>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</si>
  <si>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</si>
  <si>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</si>
  <si>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</si>
  <si>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</si>
  <si>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</si>
  <si>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</si>
  <si>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</si>
  <si>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</si>
  <si>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</si>
  <si>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</si>
  <si>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</si>
  <si>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</si>
  <si>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</si>
  <si>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</si>
  <si>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</si>
  <si>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</si>
  <si>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</si>
  <si>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</si>
  <si>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</si>
  <si>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</si>
  <si>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</si>
  <si>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</si>
  <si>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</si>
  <si>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</si>
  <si>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</si>
  <si>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</si>
  <si>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</si>
  <si>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</si>
  <si>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</si>
  <si>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</si>
  <si>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</si>
  <si>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</si>
  <si>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</si>
  <si>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</si>
  <si>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</si>
  <si>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</si>
  <si>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</si>
  <si>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</si>
  <si>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</si>
  <si>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</si>
  <si>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</si>
  <si>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</si>
  <si>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</si>
  <si>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</si>
  <si>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</si>
  <si>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</si>
  <si>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</si>
  <si>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</si>
  <si>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</si>
  <si>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</si>
  <si>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</si>
  <si>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</si>
  <si>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</si>
  <si>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</si>
  <si>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</si>
  <si>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</si>
  <si>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</si>
  <si>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</si>
  <si>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</si>
  <si>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</si>
  <si>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</si>
  <si>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</si>
  <si>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</si>
  <si>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</si>
  <si>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</si>
  <si>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</si>
  <si>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</si>
  <si>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</si>
  <si>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</si>
  <si>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</si>
  <si>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</si>
  <si>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</si>
  <si>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</si>
  <si>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</si>
  <si>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</si>
  <si>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</si>
  <si>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</si>
  <si>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</si>
  <si>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</si>
  <si>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</si>
  <si>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</si>
  <si>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</si>
  <si>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</si>
  <si>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</si>
  <si>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</si>
  <si>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</si>
  <si>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</si>
  <si>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</si>
  <si>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</si>
  <si>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</si>
  <si>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</si>
  <si>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</si>
  <si>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</si>
  <si>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</si>
  <si>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</si>
  <si>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</si>
  <si>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</si>
  <si>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</si>
  <si>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</si>
  <si>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</si>
  <si>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</si>
  <si>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</si>
  <si>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</si>
  <si>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</si>
  <si>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</si>
  <si>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</si>
  <si>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</si>
  <si>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</si>
  <si>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</si>
  <si>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</si>
  <si>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</si>
  <si>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</si>
  <si>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</si>
  <si>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</si>
  <si>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</si>
  <si>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</si>
  <si>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</si>
  <si>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</si>
  <si>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</si>
  <si>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</si>
  <si>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</si>
  <si>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</si>
  <si>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</si>
  <si>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</si>
  <si>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</si>
  <si>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</si>
  <si>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</si>
  <si>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</si>
  <si>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</si>
  <si>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</si>
  <si>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</si>
  <si>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</si>
  <si>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</si>
  <si>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</si>
  <si>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</si>
  <si>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</si>
  <si>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</si>
  <si>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</si>
  <si>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</si>
  <si>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</si>
  <si>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</si>
  <si>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</si>
  <si>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</si>
  <si>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</si>
  <si>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</si>
  <si>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</si>
  <si>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</si>
  <si>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</si>
  <si>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</si>
  <si>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</si>
  <si>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</si>
  <si>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</si>
  <si>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</si>
  <si>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</si>
  <si>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</si>
  <si>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</si>
  <si>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</si>
  <si>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</si>
  <si>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</si>
  <si>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</si>
  <si>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</si>
  <si>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</si>
  <si>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</si>
  <si>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</si>
  <si>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</si>
  <si>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</si>
  <si>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</si>
  <si>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</si>
  <si>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</si>
  <si>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</si>
  <si>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</si>
  <si>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</si>
  <si>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</si>
  <si>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</si>
  <si>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</si>
  <si>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</si>
  <si>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</si>
  <si>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</si>
  <si>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</si>
  <si>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</si>
  <si>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</si>
  <si>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</si>
  <si>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</si>
  <si>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</si>
  <si>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</si>
  <si>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</si>
  <si>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</si>
  <si>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</si>
  <si>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</si>
  <si>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</si>
  <si>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</si>
  <si>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</si>
  <si>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</si>
  <si>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</si>
  <si>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</si>
  <si>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</si>
  <si>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</si>
  <si>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</si>
  <si>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</si>
  <si>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</si>
  <si>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</si>
  <si>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</si>
  <si>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Shakoor</t>
  </si>
  <si>
    <t>Al Buraq Departmental Store (Samnabad)</t>
  </si>
  <si>
    <t>NTN #: 9555497-8</t>
  </si>
  <si>
    <t>Invoice No # :0001</t>
  </si>
  <si>
    <t>Al Buraq Departmental Store (Sanda)</t>
  </si>
  <si>
    <t xml:space="preserve">Address: Sanda </t>
  </si>
  <si>
    <t>Invoice No # :0002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</si>
</sst>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4" t="s">
        <v>91</v>
      </c>
      <c r="B2" s="394"/>
      <c r="C2" s="394"/>
      <c r="E2" s="386" t="s">
        <v>498</v>
      </c>
      <c r="F2" s="387"/>
      <c r="G2" s="387"/>
      <c r="H2" s="384" t="s">
        <v>514</v>
      </c>
      <c r="I2" s="384"/>
      <c r="J2" s="385"/>
      <c r="R2" s="381" t="s">
        <v>497</v>
      </c>
      <c r="S2" s="382"/>
      <c r="T2" s="383"/>
    </row>
    <row r="3" spans="1:20 16377:16378" ht="21.75" customHeight="1" thickBot="1" x14ac:dyDescent="0.4">
      <c r="A3" s="395" t="s">
        <v>92</v>
      </c>
      <c r="B3" s="395"/>
      <c r="C3" s="395"/>
      <c r="E3" s="390" t="s">
        <v>508</v>
      </c>
      <c r="F3" s="391"/>
      <c r="G3" s="391"/>
      <c r="H3" s="388">
        <v>46322</v>
      </c>
      <c r="I3" s="388"/>
      <c r="J3" s="389"/>
      <c r="K3" s="396" t="s">
        <v>43</v>
      </c>
      <c r="L3" s="396"/>
      <c r="M3" s="396"/>
      <c r="N3" s="395"/>
      <c r="O3" s="395"/>
      <c r="P3" s="395"/>
      <c r="R3" s="299">
        <v>1</v>
      </c>
      <c r="S3" s="300" t="str">
        <f>+'1'!A6:A6</f>
        <v>Al Buraq Departmental Store (Samnabad)</v>
      </c>
      <c r="T3" s="301">
        <f>+'1'!P35</f>
        <v>62432.218901694912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Al Buraq Departmental Store (Sanda)</v>
      </c>
      <c r="T4" s="301">
        <f>+'2'!P35</f>
        <v>18729.665670508475</v>
      </c>
      <c r="XEX4" t="s">
        <v>105</v>
      </c>
    </row>
    <row r="5" spans="1:20 16377:16378" ht="21.75" customHeight="1" thickBot="1" x14ac:dyDescent="0.4">
      <c r="A5" s="346" t="s">
        <v>51</v>
      </c>
      <c r="B5" s="347"/>
      <c r="C5" s="350" t="s">
        <v>90</v>
      </c>
      <c r="D5" s="115" t="s">
        <v>52</v>
      </c>
      <c r="E5" s="352" t="s">
        <v>58</v>
      </c>
      <c r="F5" s="353"/>
      <c r="G5" s="354" t="s">
        <v>54</v>
      </c>
      <c r="H5" s="355"/>
      <c r="I5" s="356" t="s">
        <v>77</v>
      </c>
      <c r="J5" s="393" t="s">
        <v>55</v>
      </c>
      <c r="K5" s="354"/>
      <c r="L5" s="355"/>
      <c r="M5" s="347" t="s">
        <v>84</v>
      </c>
      <c r="N5" s="392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Al Buraq Departmental Store (Samnabad)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8"/>
      <c r="B6" s="349"/>
      <c r="C6" s="35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7"/>
      <c r="J6" s="143" t="s">
        <v>59</v>
      </c>
      <c r="K6" s="144" t="s">
        <v>39</v>
      </c>
      <c r="L6" s="145" t="s">
        <v>493</v>
      </c>
      <c r="M6" s="349"/>
      <c r="N6" s="357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Al Buraq Departmental Store (Samnabad)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40</v>
      </c>
      <c r="R7" s="313">
        <v>5</v>
      </c>
      <c r="S7" s="300" t="str">
        <f>+'5'!A6:A6</f>
        <v>Al Buraq Departmental Store (Samnabad)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40</v>
      </c>
      <c r="R8" s="313">
        <v>6</v>
      </c>
      <c r="S8" s="300" t="str">
        <f>+'6'!A6:A6</f>
        <v>Al Buraq Departmental Store (Samnabad)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Al Buraq Departmental Store (Samnabad)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697.34399999999994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5113.8559999999998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31.060805423728812</v>
      </c>
      <c r="P10" s="311">
        <f t="shared" si="2"/>
        <v>6243.2218901694914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Al Buraq Departmental Store (Samnabad)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697.34399999999994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5113.8559999999998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31.060805423728812</v>
      </c>
      <c r="P11" s="311">
        <f t="shared" si="2"/>
        <v>6243.2218901694914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Al Buraq Departmental Store (Samnabad)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880</v>
      </c>
      <c r="I12" s="236">
        <f t="shared" si="0"/>
        <v>63923.199999999997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7670.7839999999997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56252.415999999997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12081.355932203391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341.66885966101694</v>
      </c>
      <c r="P12" s="311">
        <f t="shared" si="2"/>
        <v>68675.440791864399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Al Buraq Departmental Store (Samnabad)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Al Buraq Departmental Store (Samnabad)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Al Buraq Departmental Store (Samnabad)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Al Buraq Departmental Store (Samnabad)</v>
      </c>
      <c r="T15" s="301">
        <f>+'13'!P35</f>
        <v>0</v>
      </c>
    </row>
    <row r="16" spans="1:20 16377:16378" ht="21.75" customHeight="1" thickBot="1" x14ac:dyDescent="0.4">
      <c r="A16" s="397">
        <f>COUNT(A7:A15)</f>
        <v>0</v>
      </c>
      <c r="B16" s="358"/>
      <c r="C16" s="358" t="s">
        <v>40</v>
      </c>
      <c r="D16" s="358"/>
      <c r="E16" s="358"/>
      <c r="F16" s="359"/>
      <c r="G16" s="117">
        <f>H16/40</f>
        <v>26</v>
      </c>
      <c r="H16" s="113">
        <f t="shared" ref="H16:M16" si="3">SUM(H7:H15)</f>
        <v>1040</v>
      </c>
      <c r="I16" s="114">
        <f t="shared" si="3"/>
        <v>75545.599999999991</v>
      </c>
      <c r="J16" s="274">
        <f>SUM(J7:J15)</f>
        <v>9065.4719999999998</v>
      </c>
      <c r="K16" s="275">
        <f t="shared" si="3"/>
        <v>0</v>
      </c>
      <c r="L16" s="276">
        <f t="shared" si="3"/>
        <v>0</v>
      </c>
      <c r="M16" s="232">
        <f t="shared" si="3"/>
        <v>66480.127999999997</v>
      </c>
      <c r="N16" s="233">
        <f>SUM(N7:N15)</f>
        <v>14277.966101694916</v>
      </c>
      <c r="O16" s="101">
        <f>SUM(O7:O15)</f>
        <v>403.79047050847458</v>
      </c>
      <c r="P16" s="113">
        <f>SUM(P7:P15)</f>
        <v>81161.884572203388</v>
      </c>
      <c r="Q16" s="128">
        <f>SUM(Q7:Q15)</f>
        <v>80</v>
      </c>
      <c r="R16" s="313">
        <v>14</v>
      </c>
      <c r="S16" s="315" t="str">
        <f>+'14'!A6:A6</f>
        <v>Al Buraq Departmental Store (Samnabad)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Al Buraq Departmental Store (Samnabad)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Al Buraq Departmental Store (Samnabad)</v>
      </c>
      <c r="T18" s="301">
        <f>+'16'!P35</f>
        <v>0</v>
      </c>
    </row>
    <row r="19" spans="1:20" ht="21.75" customHeight="1" x14ac:dyDescent="0.35">
      <c r="B19" s="360" t="s">
        <v>64</v>
      </c>
      <c r="C19" s="361"/>
      <c r="D19" s="361"/>
      <c r="E19" s="361"/>
      <c r="F19" s="361"/>
      <c r="G19" s="361"/>
      <c r="H19" s="361"/>
      <c r="I19" s="361"/>
      <c r="J19" s="361"/>
      <c r="K19" s="361"/>
      <c r="L19" s="362"/>
      <c r="N19" s="369" t="s">
        <v>60</v>
      </c>
      <c r="O19" s="370"/>
      <c r="P19" s="139">
        <f>I16</f>
        <v>75545.599999999991</v>
      </c>
      <c r="R19" s="299">
        <v>17</v>
      </c>
      <c r="S19" s="300" t="str">
        <f>+'17'!A6:A6</f>
        <v>Al Buraq Departmental Store (Samnabad)</v>
      </c>
      <c r="T19" s="301">
        <f>+'17'!P35</f>
        <v>0</v>
      </c>
    </row>
    <row r="20" spans="1:20" ht="21.75" customHeight="1" x14ac:dyDescent="0.35">
      <c r="B20" s="363"/>
      <c r="C20" s="364"/>
      <c r="D20" s="364"/>
      <c r="E20" s="364"/>
      <c r="F20" s="364"/>
      <c r="G20" s="364"/>
      <c r="H20" s="364"/>
      <c r="I20" s="364"/>
      <c r="J20" s="364"/>
      <c r="K20" s="364"/>
      <c r="L20" s="365"/>
      <c r="N20" s="371" t="s">
        <v>85</v>
      </c>
      <c r="O20" s="372"/>
      <c r="P20" s="140">
        <f>+J16</f>
        <v>9065.4719999999998</v>
      </c>
      <c r="R20" s="299">
        <v>18</v>
      </c>
      <c r="S20" s="300" t="str">
        <f>+'18'!A6:A6</f>
        <v>Al Buraq Departmental Store (Samnabad)</v>
      </c>
      <c r="T20" s="301">
        <f>+'18'!P35</f>
        <v>0</v>
      </c>
    </row>
    <row r="21" spans="1:20" ht="21.75" customHeight="1" x14ac:dyDescent="0.35">
      <c r="B21" s="363"/>
      <c r="C21" s="364"/>
      <c r="D21" s="364"/>
      <c r="E21" s="364"/>
      <c r="F21" s="364"/>
      <c r="G21" s="364"/>
      <c r="H21" s="364"/>
      <c r="I21" s="364"/>
      <c r="J21" s="364"/>
      <c r="K21" s="364"/>
      <c r="L21" s="365"/>
      <c r="N21" s="371" t="s">
        <v>86</v>
      </c>
      <c r="O21" s="372"/>
      <c r="P21" s="140">
        <f>+K16+L16</f>
        <v>0</v>
      </c>
      <c r="R21" s="299">
        <v>19</v>
      </c>
      <c r="S21" s="300" t="str">
        <f>+'19'!A6:A6</f>
        <v>Al Buraq Departmental Store (Samnabad)</v>
      </c>
      <c r="T21" s="301">
        <f>+'19'!P35</f>
        <v>0</v>
      </c>
    </row>
    <row r="22" spans="1:20" ht="21.75" customHeight="1" x14ac:dyDescent="0.35">
      <c r="B22" s="363"/>
      <c r="C22" s="364"/>
      <c r="D22" s="364"/>
      <c r="E22" s="364"/>
      <c r="F22" s="364"/>
      <c r="G22" s="364"/>
      <c r="H22" s="364"/>
      <c r="I22" s="364"/>
      <c r="J22" s="364"/>
      <c r="K22" s="364"/>
      <c r="L22" s="365"/>
      <c r="M22" s="131"/>
      <c r="N22" s="371" t="s">
        <v>87</v>
      </c>
      <c r="O22" s="372"/>
      <c r="P22" s="140">
        <f>P19-P20-P21</f>
        <v>66480.127999999997</v>
      </c>
      <c r="R22" s="299">
        <v>20</v>
      </c>
      <c r="S22" s="300" t="str">
        <f>+'20'!A6:A6</f>
        <v>Al Buraq Departmental Store (Samnabad)</v>
      </c>
      <c r="T22" s="301">
        <f>+'20'!P35</f>
        <v>0</v>
      </c>
    </row>
    <row r="23" spans="1:20" ht="21.75" customHeight="1" x14ac:dyDescent="0.35">
      <c r="B23" s="363"/>
      <c r="C23" s="364"/>
      <c r="D23" s="364"/>
      <c r="E23" s="364"/>
      <c r="F23" s="364"/>
      <c r="G23" s="364"/>
      <c r="H23" s="364"/>
      <c r="I23" s="364"/>
      <c r="J23" s="364"/>
      <c r="K23" s="364"/>
      <c r="L23" s="365"/>
      <c r="M23" s="131"/>
      <c r="N23" s="136" t="s">
        <v>61</v>
      </c>
      <c r="O23" s="133">
        <v>0.18</v>
      </c>
      <c r="P23" s="140">
        <f>+N16</f>
        <v>14277.966101694916</v>
      </c>
      <c r="R23" s="299">
        <v>21</v>
      </c>
      <c r="S23" s="300" t="str">
        <f>+'21'!A6:A6</f>
        <v>Al Buraq Departmental Store (Samnabad)</v>
      </c>
      <c r="T23" s="301">
        <f>+'21'!P35</f>
        <v>0</v>
      </c>
    </row>
    <row r="24" spans="1:20" ht="21.75" customHeight="1" x14ac:dyDescent="0.35">
      <c r="B24" s="363"/>
      <c r="C24" s="364"/>
      <c r="D24" s="364"/>
      <c r="E24" s="364"/>
      <c r="F24" s="364"/>
      <c r="G24" s="364"/>
      <c r="H24" s="364"/>
      <c r="I24" s="364"/>
      <c r="J24" s="364"/>
      <c r="K24" s="364"/>
      <c r="L24" s="365"/>
      <c r="M24" s="131"/>
      <c r="N24" s="373" t="s">
        <v>76</v>
      </c>
      <c r="O24" s="374"/>
      <c r="P24" s="140">
        <f>P22+P23</f>
        <v>80758.094101694907</v>
      </c>
      <c r="R24" s="299">
        <v>22</v>
      </c>
      <c r="S24" s="300" t="str">
        <f>+'22'!A6:A6</f>
        <v>Al Buraq Departmental Store (Samnabad)</v>
      </c>
      <c r="T24" s="301">
        <f>+'22'!P35</f>
        <v>0</v>
      </c>
    </row>
    <row r="25" spans="1:20" ht="21.75" customHeight="1" thickBot="1" x14ac:dyDescent="0.4">
      <c r="B25" s="366"/>
      <c r="C25" s="367"/>
      <c r="D25" s="367"/>
      <c r="E25" s="367"/>
      <c r="F25" s="367"/>
      <c r="G25" s="367"/>
      <c r="H25" s="367"/>
      <c r="I25" s="367"/>
      <c r="J25" s="367"/>
      <c r="K25" s="367"/>
      <c r="L25" s="368"/>
      <c r="M25" s="99"/>
      <c r="N25" s="138" t="s">
        <v>83</v>
      </c>
      <c r="O25" s="137" t="e">
        <f>IF(#REF!="Filer",0.5%,2.5%)</f>
        <v>#REF!</v>
      </c>
      <c r="P25" s="140">
        <f>+O16</f>
        <v>403.79047050847458</v>
      </c>
      <c r="R25" s="299">
        <v>23</v>
      </c>
      <c r="S25" s="300" t="str">
        <f>+'23'!A6:A6</f>
        <v>Al Buraq Departmental Store (Samnabad)</v>
      </c>
      <c r="T25" s="301">
        <f>+'23'!P35</f>
        <v>0</v>
      </c>
    </row>
    <row r="26" spans="1:20" ht="21.75" customHeight="1" thickBot="1" x14ac:dyDescent="0.4">
      <c r="N26" s="375" t="s">
        <v>88</v>
      </c>
      <c r="O26" s="376"/>
      <c r="P26" s="297">
        <f>+P24+P25</f>
        <v>81161.884572203388</v>
      </c>
      <c r="R26" s="299">
        <v>24</v>
      </c>
      <c r="S26" s="300" t="str">
        <f>+'24'!A6:A6</f>
        <v>Al Buraq Departmental Store (Samnabad)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7"/>
      <c r="D27" s="377"/>
      <c r="E27" s="377"/>
      <c r="F27" s="377"/>
      <c r="G27" s="377"/>
      <c r="H27" s="377"/>
      <c r="I27" s="378"/>
      <c r="J27" s="379"/>
      <c r="K27" s="380"/>
      <c r="R27" s="299">
        <v>25</v>
      </c>
      <c r="S27" s="300" t="str">
        <f>+'25'!A6:A6</f>
        <v>Al Buraq Departmental Store (Samnabad)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Al Buraq Departmental Store (Samnabad)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Al Buraq Departmental Store (Samnabad)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Al Buraq Departmental Store (Samnabad)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81161.884572203388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H12" sqref="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517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Summary!H3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7.2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800</v>
      </c>
      <c r="I21" s="236">
        <f t="shared" si="7"/>
        <v>58112</v>
      </c>
      <c r="J21" s="272">
        <f t="shared" si="1"/>
        <v>6973.44</v>
      </c>
      <c r="K21" s="128">
        <f t="shared" si="1"/>
        <v>0</v>
      </c>
      <c r="L21" s="119">
        <f t="shared" si="1"/>
        <v>0</v>
      </c>
      <c r="M21" s="230">
        <f t="shared" si="2"/>
        <v>51138.559999999998</v>
      </c>
      <c r="N21" s="277">
        <f t="shared" si="3"/>
        <v>10983.050847457627</v>
      </c>
      <c r="O21" s="239">
        <f t="shared" si="4"/>
        <v>310.60805423728812</v>
      </c>
      <c r="P21" s="119">
        <f t="shared" si="5"/>
        <v>62432.218901694912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" si="8">SUM(G16:G24)</f>
        <v>0</v>
      </c>
      <c r="H25" s="113">
        <f t="shared" ref="H25" si="9">SUM(H16:H24)</f>
        <v>800</v>
      </c>
      <c r="I25" s="114">
        <f t="shared" ref="I25:M25" si="10">SUM(I16:I24)</f>
        <v>58112</v>
      </c>
      <c r="J25" s="274">
        <f>SUM(J16:J24)</f>
        <v>6973.44</v>
      </c>
      <c r="K25" s="275">
        <f t="shared" si="10"/>
        <v>0</v>
      </c>
      <c r="L25" s="276">
        <f t="shared" si="10"/>
        <v>0</v>
      </c>
      <c r="M25" s="232">
        <f t="shared" si="10"/>
        <v>51138.559999999998</v>
      </c>
      <c r="N25" s="233">
        <f>SUM(N16:N24)</f>
        <v>10983.050847457627</v>
      </c>
      <c r="O25" s="101">
        <f>SUM(O16:O24)</f>
        <v>310.60805423728812</v>
      </c>
      <c r="P25" s="234">
        <f>SUM(P16:P24)</f>
        <v>62432.218901694912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58112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6973.44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51138.559999999998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10983.050847457627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62121.610847457625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310.60805423728812</v>
      </c>
    </row>
    <row r="35" spans="2:16" ht="15.75" customHeight="1" thickBot="1" x14ac:dyDescent="0.4">
      <c r="N35" s="375" t="s">
        <v>88</v>
      </c>
      <c r="O35" s="376"/>
      <c r="P35" s="297">
        <f>+P33+P34</f>
        <v>62432.218901694912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H17" sqref="H16: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520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5" customHeight="1" x14ac:dyDescent="0.4">
      <c r="A6" s="401" t="s">
        <v>518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519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>
        <v>40</v>
      </c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40</v>
      </c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697.34399999999994</v>
      </c>
      <c r="K19" s="128">
        <f t="shared" si="1"/>
        <v>0</v>
      </c>
      <c r="L19" s="119">
        <f t="shared" si="1"/>
        <v>0</v>
      </c>
      <c r="M19" s="230">
        <f t="shared" si="2"/>
        <v>5113.8559999999998</v>
      </c>
      <c r="N19" s="277">
        <f t="shared" si="3"/>
        <v>1098.3050847457628</v>
      </c>
      <c r="O19" s="239">
        <f t="shared" si="4"/>
        <v>31.060805423728812</v>
      </c>
      <c r="P19" s="119">
        <f t="shared" si="5"/>
        <v>6243.2218901694914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697.34399999999994</v>
      </c>
      <c r="K20" s="128">
        <f t="shared" si="1"/>
        <v>0</v>
      </c>
      <c r="L20" s="119">
        <f t="shared" si="1"/>
        <v>0</v>
      </c>
      <c r="M20" s="230">
        <f t="shared" si="2"/>
        <v>5113.8559999999998</v>
      </c>
      <c r="N20" s="277">
        <f t="shared" si="3"/>
        <v>1098.3050847457628</v>
      </c>
      <c r="O20" s="239">
        <f t="shared" si="4"/>
        <v>31.060805423728812</v>
      </c>
      <c r="P20" s="119">
        <f t="shared" si="5"/>
        <v>6243.2218901694914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697.34399999999994</v>
      </c>
      <c r="K21" s="128">
        <f t="shared" si="1"/>
        <v>0</v>
      </c>
      <c r="L21" s="119">
        <f t="shared" si="1"/>
        <v>0</v>
      </c>
      <c r="M21" s="230">
        <f t="shared" si="2"/>
        <v>5113.8559999999998</v>
      </c>
      <c r="N21" s="277">
        <f t="shared" si="3"/>
        <v>1098.3050847457628</v>
      </c>
      <c r="O21" s="239">
        <f t="shared" si="4"/>
        <v>31.060805423728812</v>
      </c>
      <c r="P21" s="119">
        <f t="shared" si="5"/>
        <v>6243.2218901694914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240</v>
      </c>
      <c r="I25" s="114">
        <f t="shared" si="7"/>
        <v>17433.599999999999</v>
      </c>
      <c r="J25" s="274">
        <f>SUM(J16:J24)</f>
        <v>2092.0319999999997</v>
      </c>
      <c r="K25" s="275">
        <f t="shared" si="7"/>
        <v>0</v>
      </c>
      <c r="L25" s="276">
        <f t="shared" si="7"/>
        <v>0</v>
      </c>
      <c r="M25" s="232">
        <f t="shared" si="7"/>
        <v>15341.567999999999</v>
      </c>
      <c r="N25" s="233">
        <f>SUM(N16:N24)</f>
        <v>3294.9152542372885</v>
      </c>
      <c r="O25" s="101">
        <f>SUM(O16:O24)</f>
        <v>93.18241627118644</v>
      </c>
      <c r="P25" s="234">
        <f>SUM(P16:P24)</f>
        <v>18729.665670508475</v>
      </c>
      <c r="Q25" s="239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17433.599999999999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2092.0319999999997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15341.567999999999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3294.9152542372885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18636.48325423729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93.182416271186455</v>
      </c>
    </row>
    <row r="35" spans="2:16" ht="15.75" customHeight="1" thickBot="1" x14ac:dyDescent="0.4">
      <c r="N35" s="375" t="s">
        <v>88</v>
      </c>
      <c r="O35" s="376"/>
      <c r="P35" s="297">
        <f>+P33+P34</f>
        <v>18729.665670508475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8.7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'1'!N4:P5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8.7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4" t="s">
        <v>91</v>
      </c>
      <c r="B2" s="394"/>
      <c r="C2" s="394"/>
    </row>
    <row r="3" spans="1:18 16382:16383" ht="15" customHeight="1" x14ac:dyDescent="0.35">
      <c r="A3" s="395" t="s">
        <v>92</v>
      </c>
      <c r="B3" s="395"/>
      <c r="C3" s="395"/>
      <c r="F3" s="85"/>
      <c r="G3" s="1"/>
      <c r="J3" s="396" t="s">
        <v>43</v>
      </c>
      <c r="K3" s="396"/>
      <c r="L3" s="396"/>
      <c r="M3" s="395"/>
      <c r="N3" s="395"/>
      <c r="O3" s="395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5" t="s">
        <v>65</v>
      </c>
      <c r="B4" s="395"/>
      <c r="C4" s="395"/>
      <c r="F4" s="85"/>
      <c r="G4" s="1"/>
      <c r="J4" s="396" t="s">
        <v>44</v>
      </c>
      <c r="K4" s="396"/>
      <c r="L4" s="396"/>
      <c r="M4" s="399">
        <f ca="1">TODAY()+1</f>
        <v>46323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00" t="s">
        <v>93</v>
      </c>
      <c r="B5" s="400"/>
      <c r="C5" s="400"/>
      <c r="F5" s="85"/>
      <c r="G5" s="1"/>
      <c r="J5" s="396" t="s">
        <v>45</v>
      </c>
      <c r="K5" s="396"/>
      <c r="L5" s="396"/>
      <c r="M5" s="399">
        <f ca="1">M4-1</f>
        <v>46322</v>
      </c>
      <c r="N5" s="395"/>
      <c r="O5" s="395"/>
      <c r="Q5" s="85"/>
      <c r="R5" s="1"/>
    </row>
    <row r="6" spans="1:18 16382:16383" ht="15" customHeight="1" x14ac:dyDescent="0.35">
      <c r="A6" s="396" t="s">
        <v>94</v>
      </c>
      <c r="B6" s="396"/>
      <c r="C6" s="396"/>
      <c r="F6" s="85"/>
      <c r="G6" s="86"/>
      <c r="J6" s="396" t="s">
        <v>69</v>
      </c>
      <c r="K6" s="396"/>
      <c r="L6" s="396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6" t="s">
        <v>73</v>
      </c>
      <c r="B7" s="396"/>
      <c r="C7" s="396"/>
      <c r="F7" s="85"/>
      <c r="G7" s="86"/>
      <c r="J7" s="396" t="s">
        <v>66</v>
      </c>
      <c r="K7" s="396"/>
      <c r="L7" s="396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2" t="s">
        <v>95</v>
      </c>
      <c r="B8" s="402"/>
      <c r="C8" s="402"/>
      <c r="F8" s="85"/>
      <c r="G8" s="86"/>
      <c r="J8" s="396" t="s">
        <v>67</v>
      </c>
      <c r="K8" s="396"/>
      <c r="L8" s="396"/>
      <c r="M8" s="398" t="s">
        <v>71</v>
      </c>
      <c r="N8" s="398"/>
      <c r="O8" s="398"/>
      <c r="Q8" s="85"/>
      <c r="R8" s="86"/>
    </row>
    <row r="9" spans="1:18 16382:16383" x14ac:dyDescent="0.35">
      <c r="A9" s="402" t="s">
        <v>96</v>
      </c>
      <c r="B9" s="402"/>
      <c r="C9" s="402"/>
      <c r="F9" s="85"/>
      <c r="G9" s="86"/>
      <c r="J9" s="396" t="s">
        <v>68</v>
      </c>
      <c r="K9" s="396"/>
      <c r="L9" s="396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402" t="s">
        <v>97</v>
      </c>
      <c r="B10" s="402"/>
      <c r="C10" s="402"/>
      <c r="F10" s="85"/>
      <c r="G10" s="1"/>
      <c r="J10" s="396" t="s">
        <v>46</v>
      </c>
      <c r="K10" s="396"/>
      <c r="L10" s="396"/>
      <c r="M10" s="395" t="s">
        <v>47</v>
      </c>
      <c r="N10" s="395"/>
      <c r="O10" s="395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6" t="s">
        <v>48</v>
      </c>
      <c r="K11" s="396"/>
      <c r="L11" s="396"/>
      <c r="M11" s="395" t="s">
        <v>49</v>
      </c>
      <c r="N11" s="395"/>
      <c r="O11" s="395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6" t="s">
        <v>50</v>
      </c>
      <c r="K12" s="396"/>
      <c r="L12" s="396"/>
      <c r="M12" s="395"/>
      <c r="N12" s="395"/>
      <c r="O12" s="395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6" t="s">
        <v>51</v>
      </c>
      <c r="B14" s="347"/>
      <c r="C14" s="350" t="s">
        <v>90</v>
      </c>
      <c r="D14" s="88" t="s">
        <v>52</v>
      </c>
      <c r="E14" s="95" t="s">
        <v>74</v>
      </c>
      <c r="F14" s="115" t="s">
        <v>53</v>
      </c>
      <c r="G14" s="393" t="s">
        <v>54</v>
      </c>
      <c r="H14" s="355"/>
      <c r="I14" s="356" t="s">
        <v>77</v>
      </c>
      <c r="J14" s="354" t="s">
        <v>55</v>
      </c>
      <c r="K14" s="355"/>
      <c r="L14" s="35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8"/>
      <c r="B15" s="349"/>
      <c r="C15" s="35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7"/>
      <c r="J15" s="144" t="s">
        <v>39</v>
      </c>
      <c r="K15" s="145" t="s">
        <v>59</v>
      </c>
      <c r="L15" s="357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2"/>
      <c r="M28" s="369" t="s">
        <v>60</v>
      </c>
      <c r="N28" s="370"/>
      <c r="O28" s="139">
        <f>I25</f>
        <v>1452.8</v>
      </c>
    </row>
    <row r="29" spans="1:18 16383:16383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5"/>
      <c r="M29" s="371" t="s">
        <v>85</v>
      </c>
      <c r="N29" s="372"/>
      <c r="O29" s="140">
        <f>K25</f>
        <v>0</v>
      </c>
    </row>
    <row r="30" spans="1:18 16383:16383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5"/>
      <c r="M30" s="371" t="s">
        <v>86</v>
      </c>
      <c r="N30" s="372"/>
      <c r="O30" s="140">
        <f>J25</f>
        <v>50.848000000000006</v>
      </c>
    </row>
    <row r="31" spans="1:18 16383:16383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5"/>
      <c r="L31" s="131"/>
      <c r="M31" s="371" t="s">
        <v>87</v>
      </c>
      <c r="N31" s="372"/>
      <c r="O31" s="140">
        <f>O28-O29-O30</f>
        <v>1401.952</v>
      </c>
    </row>
    <row r="32" spans="1:18 16383:16383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5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5"/>
      <c r="L33" s="131"/>
      <c r="M33" s="373" t="s">
        <v>76</v>
      </c>
      <c r="N33" s="374"/>
      <c r="O33" s="140">
        <f>O31+O32</f>
        <v>1710.3814400000001</v>
      </c>
    </row>
    <row r="34" spans="2:15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8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5" t="s">
        <v>88</v>
      </c>
      <c r="N35" s="376"/>
      <c r="O35" s="141">
        <f>O28-O29+O31+O34</f>
        <v>2897.511536</v>
      </c>
    </row>
    <row r="36" spans="2:15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6" t="s">
        <v>439</v>
      </c>
      <c r="E1" s="338" t="s">
        <v>58</v>
      </c>
      <c r="F1" s="338"/>
      <c r="G1" s="339" t="s">
        <v>440</v>
      </c>
      <c r="H1" s="339"/>
      <c r="I1" s="407" t="s">
        <v>441</v>
      </c>
      <c r="J1" s="407"/>
      <c r="K1" s="407" t="s">
        <v>442</v>
      </c>
      <c r="L1" s="407"/>
      <c r="M1" s="403" t="s">
        <v>484</v>
      </c>
      <c r="N1" s="404"/>
      <c r="O1" s="405"/>
    </row>
    <row r="2" spans="3:24" ht="29" x14ac:dyDescent="0.35">
      <c r="C2" s="338"/>
      <c r="D2" s="406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10" t="s">
        <v>58</v>
      </c>
      <c r="F7" s="410"/>
      <c r="G7" s="411" t="s">
        <v>440</v>
      </c>
      <c r="H7" s="339"/>
      <c r="I7" s="340" t="s">
        <v>441</v>
      </c>
      <c r="J7" s="341"/>
      <c r="K7" s="340" t="s">
        <v>442</v>
      </c>
      <c r="L7" s="341"/>
      <c r="M7" s="403" t="s">
        <v>484</v>
      </c>
      <c r="N7" s="404"/>
      <c r="O7" s="405"/>
      <c r="P7" s="256" t="s">
        <v>475</v>
      </c>
      <c r="Q7" s="242" t="s">
        <v>473</v>
      </c>
      <c r="R7" s="406" t="s">
        <v>475</v>
      </c>
      <c r="S7" s="406" t="s">
        <v>485</v>
      </c>
      <c r="T7" s="412" t="s">
        <v>486</v>
      </c>
      <c r="U7" s="412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6"/>
      <c r="S8" s="406"/>
      <c r="T8" s="411"/>
      <c r="U8" s="41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3" t="s">
        <v>484</v>
      </c>
      <c r="N13" s="404"/>
      <c r="O13" s="405"/>
      <c r="P13" s="256" t="s">
        <v>475</v>
      </c>
      <c r="Q13" s="242" t="s">
        <v>473</v>
      </c>
      <c r="R13" s="406" t="s">
        <v>475</v>
      </c>
      <c r="S13" s="406" t="s">
        <v>485</v>
      </c>
      <c r="T13" s="412" t="s">
        <v>486</v>
      </c>
      <c r="U13" s="412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6"/>
      <c r="S14" s="406"/>
      <c r="T14" s="411"/>
      <c r="U14" s="41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3" t="s">
        <v>484</v>
      </c>
      <c r="N20" s="404"/>
      <c r="O20" s="405"/>
      <c r="P20" s="256" t="s">
        <v>475</v>
      </c>
      <c r="Q20" s="242" t="s">
        <v>473</v>
      </c>
      <c r="R20" s="406" t="s">
        <v>475</v>
      </c>
      <c r="S20" s="406" t="s">
        <v>485</v>
      </c>
      <c r="T20" s="412" t="s">
        <v>486</v>
      </c>
      <c r="U20" s="412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6"/>
      <c r="S21" s="406"/>
      <c r="T21" s="411"/>
      <c r="U21" s="41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3" t="s">
        <v>484</v>
      </c>
      <c r="N27" s="404"/>
      <c r="O27" s="405"/>
      <c r="P27" s="256" t="s">
        <v>475</v>
      </c>
      <c r="Q27" s="242" t="s">
        <v>473</v>
      </c>
      <c r="R27" s="406" t="s">
        <v>475</v>
      </c>
      <c r="S27" s="406" t="s">
        <v>485</v>
      </c>
      <c r="T27" s="412" t="s">
        <v>486</v>
      </c>
      <c r="U27" s="412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6"/>
      <c r="S28" s="406"/>
      <c r="T28" s="411"/>
      <c r="U28" s="41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6" t="s">
        <v>439</v>
      </c>
      <c r="D1" s="338" t="s">
        <v>58</v>
      </c>
      <c r="E1" s="338"/>
      <c r="F1" s="339" t="s">
        <v>440</v>
      </c>
      <c r="G1" s="339"/>
      <c r="H1" s="407" t="s">
        <v>441</v>
      </c>
      <c r="I1" s="407"/>
      <c r="J1" s="407" t="s">
        <v>442</v>
      </c>
      <c r="K1" s="407"/>
      <c r="L1" s="403" t="s">
        <v>484</v>
      </c>
      <c r="M1" s="404"/>
      <c r="N1" s="405"/>
    </row>
    <row r="2" spans="2:17" ht="29" x14ac:dyDescent="0.35">
      <c r="B2" s="338"/>
      <c r="C2" s="406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5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5"/>
      <c r="G60" s="160" t="s">
        <v>195</v>
      </c>
      <c r="H60" s="161" t="s">
        <v>100</v>
      </c>
    </row>
    <row r="61" spans="5:8" x14ac:dyDescent="0.35">
      <c r="E61" s="159" t="s">
        <v>192</v>
      </c>
      <c r="F61" s="415"/>
      <c r="G61" s="160" t="s">
        <v>196</v>
      </c>
      <c r="H61" s="161" t="s">
        <v>98</v>
      </c>
    </row>
    <row r="62" spans="5:8" x14ac:dyDescent="0.35">
      <c r="E62" s="159" t="s">
        <v>192</v>
      </c>
      <c r="F62" s="415"/>
      <c r="G62" s="160" t="s">
        <v>197</v>
      </c>
      <c r="H62" s="161" t="s">
        <v>101</v>
      </c>
    </row>
    <row r="63" spans="5:8" x14ac:dyDescent="0.35">
      <c r="E63" s="159" t="s">
        <v>192</v>
      </c>
      <c r="F63" s="415"/>
      <c r="G63" s="160" t="s">
        <v>198</v>
      </c>
      <c r="H63" s="161" t="s">
        <v>102</v>
      </c>
    </row>
    <row r="64" spans="5:8" x14ac:dyDescent="0.35">
      <c r="E64" s="159" t="s">
        <v>192</v>
      </c>
      <c r="F64" s="415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5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5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5"/>
      <c r="G121" s="160" t="s">
        <v>273</v>
      </c>
      <c r="H121" s="161" t="s">
        <v>98</v>
      </c>
    </row>
    <row r="122" spans="5:8" x14ac:dyDescent="0.35">
      <c r="E122" s="159" t="s">
        <v>269</v>
      </c>
      <c r="F122" s="415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5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5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5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5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5"/>
      <c r="G241" s="160" t="s">
        <v>432</v>
      </c>
      <c r="H241" s="161" t="s">
        <v>98</v>
      </c>
    </row>
    <row r="242" spans="5:8" x14ac:dyDescent="0.35">
      <c r="E242" s="159" t="s">
        <v>428</v>
      </c>
      <c r="F242" s="415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5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5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2026-10-27T11:32:09Z</dcterms:modified>
</cp:coreProperties>
</file>