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3AF1724-D0C8-4B48-BD83-CD8AEF48808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8" i="1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<sst xmlns="http://schemas.openxmlformats.org/spreadsheetml/2006/main" count="3948" uniqueCount="525">
  <si>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</si>
  <si>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</si>
  <si>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</si>
  <si>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</si>
  <si>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</si>
  <si>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</si>
  <si>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</si>
  <si>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</si>
  <si>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</si>
  <si>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</si>
  <si>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</si>
  <si>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</si>
  <si>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</si>
  <si>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</si>
  <si>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</si>
  <si>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</si>
  <si>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</si>
  <si>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</si>
  <si>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</si>
  <si>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</si>
  <si>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</si>
  <si>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</si>
  <si>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</si>
  <si>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</si>
  <si>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</si>
  <si>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</si>
  <si>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</si>
  <si>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</si>
  <si>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</si>
  <si>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</si>
  <si>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</si>
  <si>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</si>
  <si>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</si>
  <si>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</si>
  <si>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</si>
  <si>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</si>
  <si>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</si>
  <si>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</si>
  <si>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</si>
  <si>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</si>
  <si>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</si>
  <si>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</si>
  <si>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</si>
  <si>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</si>
  <si>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</si>
  <si>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</si>
  <si>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</si>
  <si>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</si>
  <si>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</si>
  <si>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</si>
  <si>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</si>
  <si>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</si>
  <si>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</si>
  <si>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</si>
  <si>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</si>
  <si>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</si>
  <si>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</si>
  <si>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</si>
  <si>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</si>
  <si>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</si>
  <si>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</si>
  <si>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</si>
  <si>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</si>
  <si>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</si>
  <si>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</si>
  <si>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</si>
  <si>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</si>
  <si>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</si>
  <si>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</si>
  <si>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</si>
  <si>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</si>
  <si>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</si>
  <si>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</si>
  <si>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</si>
  <si>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</si>
  <si>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</si>
  <si>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</si>
  <si>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</si>
  <si>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</si>
  <si>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</si>
  <si>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</si>
  <si>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</si>
  <si>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</si>
  <si>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</si>
  <si>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</si>
  <si>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</si>
  <si>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</si>
  <si>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</si>
  <si>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</si>
  <si>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</si>
  <si>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</si>
  <si>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</si>
  <si>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</si>
  <si>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</si>
  <si>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</si>
  <si>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</si>
  <si>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</si>
  <si>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</si>
  <si>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</si>
  <si>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</si>
  <si>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</si>
  <si>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</si>
  <si>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</si>
  <si>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</si>
  <si>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</si>
  <si>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</si>
  <si>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</si>
  <si>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</si>
  <si>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</si>
  <si>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</si>
  <si>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</si>
  <si>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</si>
  <si>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</si>
  <si>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</si>
  <si>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</si>
  <si>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</si>
  <si>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</si>
  <si>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</si>
  <si>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</si>
  <si>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</si>
  <si>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</si>
  <si>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</si>
  <si>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</si>
  <si>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</si>
  <si>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</si>
  <si>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</si>
  <si>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</si>
  <si>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</si>
  <si>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</si>
  <si>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</si>
  <si>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</si>
  <si>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</si>
  <si>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</si>
  <si>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</si>
  <si>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</si>
  <si>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</si>
  <si>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</si>
  <si>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</si>
  <si>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</si>
  <si>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</si>
  <si>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</si>
  <si>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</si>
  <si>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</si>
  <si>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</si>
  <si>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</si>
  <si>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</si>
  <si>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</si>
  <si>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</si>
  <si>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</si>
  <si>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</si>
  <si>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</si>
  <si>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</si>
  <si>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</si>
  <si>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</si>
  <si>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</si>
  <si>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</si>
  <si>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</si>
  <si>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</si>
  <si>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</si>
  <si>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</si>
  <si>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</si>
  <si>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</si>
  <si>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</si>
  <si>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</si>
  <si>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</si>
  <si>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</si>
  <si>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</si>
  <si>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</si>
  <si>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</si>
  <si>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</si>
  <si>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</si>
  <si>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</si>
  <si>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</si>
  <si>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</si>
  <si>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</si>
  <si>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</si>
  <si>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</si>
  <si>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</si>
  <si>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</si>
  <si>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</si>
  <si>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</si>
  <si>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</si>
  <si>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</si>
  <si>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</si>
  <si>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</si>
  <si>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</si>
  <si>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</si>
  <si>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</si>
  <si>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</si>
  <si>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</si>
  <si>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</si>
  <si>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</si>
  <si>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</si>
  <si>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</si>
  <si>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</si>
  <si>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</si>
  <si>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</si>
  <si>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</si>
  <si>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</si>
  <si>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</si>
  <si>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</si>
  <si>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</si>
  <si>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</si>
  <si>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</si>
  <si>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</si>
  <si>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</si>
  <si>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</si>
  <si>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</si>
  <si>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</si>
  <si>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</si>
  <si>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</si>
  <si>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</si>
  <si>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</si>
  <si>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</si>
  <si>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</si>
  <si>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</si>
  <si>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</si>
  <si>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</si>
  <si>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</si>
  <si>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</si>
  <si>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</si>
  <si>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</si>
  <si>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</si>
  <si>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</si>
  <si>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</si>
  <si>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</si>
  <si>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</si>
  <si>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</si>
  <si>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</si>
  <si>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</si>
  <si>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</si>
  <si>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</si>
  <si>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</si>
  <si>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</si>
  <si>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</si>
  <si>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</si>
  <si>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</si>
  <si>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</si>
  <si>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</si>
  <si>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</si>
  <si>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</si>
  <si>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</si>
  <si>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</si>
  <si>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</si>
  <si>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</si>
  <si>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</si>
  <si>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</si>
  <si>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</si>
  <si>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</si>
  <si>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</si>
  <si>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</si>
  <si>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</si>
  <si>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</si>
  <si>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</si>
  <si>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</si>
  <si>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</si>
  <si>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</si>
  <si>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</si>
  <si>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</si>
  <si>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</si>
  <si>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</si>
  <si>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</si>
  <si>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</si>
  <si>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</si>
  <si>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</si>
  <si>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</si>
  <si>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</si>
  <si>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</si>
  <si>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</si>
  <si>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</si>
  <si>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</si>
  <si>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</si>
  <si>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</si>
  <si>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</si>
  <si>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</si>
  <si>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</si>
  <si>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</si>
  <si>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</si>
  <si>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</si>
  <si>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</si>
  <si>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</si>
  <si>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</si>
  <si>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</si>
  <si>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</si>
  <si>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</si>
  <si>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</si>
  <si>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</si>
  <si>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</si>
  <si>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</si>
  <si>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</si>
  <si>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</si>
  <si>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</si>
  <si>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</si>
  <si>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</si>
  <si>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</si>
  <si>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</si>
  <si>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</si>
  <si>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</si>
  <si>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</si>
  <si>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</si>
  <si>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</si>
  <si>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</si>
  <si>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</si>
  <si>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</si>
  <si>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</si>
  <si>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</si>
  <si>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</si>
  <si>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</si>
  <si>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</si>
  <si>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</si>
  <si>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</si>
  <si>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</si>
  <si>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</si>
  <si>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</si>
  <si>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</si>
  <si>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</si>
  <si>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</si>
  <si>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</si>
  <si>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</si>
  <si>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</si>
  <si>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</si>
  <si>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</si>
  <si>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</si>
  <si>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</si>
  <si>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</si>
  <si>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</si>
  <si>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</si>
  <si>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</si>
  <si>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</si>
  <si>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</si>
  <si>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</si>
  <si>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</si>
  <si>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</si>
  <si>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</si>
  <si>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</si>
  <si>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</si>
  <si>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</si>
  <si>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</si>
  <si>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</si>
  <si>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</si>
  <si>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</si>
  <si>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</si>
  <si>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</si>
  <si>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</si>
  <si>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</si>
  <si>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</si>
  <si>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</si>
  <si>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</si>
  <si>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</si>
  <si>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</si>
  <si>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</si>
  <si>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</si>
  <si>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</si>
  <si>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</si>
  <si>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</si>
  <si>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</si>
  <si>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</si>
  <si>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</si>
  <si>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</si>
  <si>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</si>
  <si>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</si>
  <si>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</si>
  <si>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</si>
  <si>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</si>
  <si>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</si>
  <si>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</si>
  <si>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</si>
  <si>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</si>
  <si>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</si>
  <si>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</si>
  <si>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</si>
  <si>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</si>
  <si>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</si>
  <si>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</si>
  <si>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</si>
  <si>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</si>
  <si>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</si>
  <si>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</si>
  <si>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</si>
  <si>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</si>
  <si>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</si>
  <si>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</si>
  <si>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</si>
  <si>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</si>
  <si>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</si>
  <si>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</si>
  <si>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</si>
  <si>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</si>
  <si>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</si>
  <si>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</si>
  <si>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</si>
  <si>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</si>
  <si>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</si>
  <si>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</si>
  <si>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</si>
  <si>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</si>
  <si>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</si>
  <si>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</si>
  <si>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</si>
  <si>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</si>
  <si>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</si>
  <si>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</si>
  <si>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</si>
  <si>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</si>
  <si>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</si>
  <si>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</si>
  <si>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</si>
  <si>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</si>
  <si>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</si>
  <si>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</si>
  <si>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</si>
  <si>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</si>
  <si>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</si>
  <si>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</si>
  <si>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</si>
  <si>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</si>
  <si>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</si>
  <si>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</si>
  <si>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</si>
  <si>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</si>
  <si>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</si>
  <si>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</si>
  <si>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</si>
  <si>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</si>
  <si>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</si>
  <si>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</si>
  <si>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</si>
  <si>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</si>
  <si>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</si>
  <si>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</si>
  <si>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</si>
  <si>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</si>
  <si>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</si>
  <si>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</si>
  <si>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</si>
  <si>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</si>
  <si>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</si>
  <si>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</si>
  <si>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</si>
  <si>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</si>
  <si>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</si>
  <si>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</si>
  <si>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</si>
  <si>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</si>
  <si>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</si>
  <si>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</si>
  <si>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</si>
  <si>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</si>
  <si>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</si>
  <si>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</si>
  <si>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</si>
  <si>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</si>
  <si>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</si>
  <si>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</si>
  <si>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</si>
  <si>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</si>
  <si>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</si>
  <si>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</si>
  <si>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</si>
  <si>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</si>
  <si>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</si>
  <si>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</si>
  <si>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</si>
  <si>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</si>
  <si>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</si>
  <si>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</si>
  <si>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</si>
  <si>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</si>
  <si>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</si>
  <si>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</si>
  <si>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</si>
  <si>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</si>
  <si>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</si>
  <si>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</si>
  <si>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</si>
  <si>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</si>
  <si>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</si>
  <si>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</si>
  <si>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</si>
  <si>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</si>
  <si>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</si>
  <si>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</si>
  <si>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</si>
  <si>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</si>
  <si>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</si>
  <si>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</si>
  <si>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</si>
  <si>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</si>
  <si>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</si>
  <si>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</si>
  <si>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</si>
  <si>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</si>
  <si>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</si>
  <si>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</si>
  <si>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</si>
  <si>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</si>
  <si>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</si>
  <si>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</si>
  <si>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</si>
  <si>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</si>
  <si>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</si>
  <si>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</si>
  <si>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</si>
  <si>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</si>
  <si>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</si>
  <si>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</si>
  <si>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</si>
  <si>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</si>
  <si>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</si>
  <si>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</si>
  <si>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</si>
  <si>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</si>
  <si>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</si>
  <si>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</si>
  <si>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</si>
  <si>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Attae haq store</t>
  </si>
  <si>
    <t>Address: Sajid garden</t>
  </si>
  <si>
    <t>SMS Store</t>
  </si>
  <si>
    <t>Classic Store</t>
  </si>
  <si>
    <t>AM Super Store</t>
  </si>
  <si>
    <t xml:space="preserve">Address: Al Hafiz Garden </t>
  </si>
  <si>
    <t xml:space="preserve">Amas Mart </t>
  </si>
  <si>
    <t xml:space="preserve">Smokie Mart </t>
  </si>
  <si>
    <t>Address: Canal Fort</t>
  </si>
  <si>
    <t xml:space="preserve">Dulce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</si>
</sst>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Attae haq store</v>
      </c>
      <c r="T3" s="301">
        <f>+'1'!P35</f>
        <v>6155.6180501694917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SMS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Classic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AM Super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 xml:space="preserve">Amas Mart </v>
      </c>
      <c r="T7" s="301">
        <f>+'5'!P35</f>
        <v>5401.2631679237293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 xml:space="preserve">Smokie Mart </v>
      </c>
      <c r="T8" s="301">
        <f>+'6'!P35</f>
        <v>1176.0793444067797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Dulce Bakery 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395.16160000000002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4371.4752000000008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26.525172610169495</v>
      </c>
      <c r="P10" s="311">
        <f t="shared" si="2"/>
        <v>5331.5596946440683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128</v>
      </c>
      <c r="I11" s="236">
        <f t="shared" si="0"/>
        <v>9297.92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801.94560000000013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325.42720000000003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8170.5472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1757.2881355932204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49.639176677966105</v>
      </c>
      <c r="P11" s="311">
        <f t="shared" si="2"/>
        <v>9977.4745122711847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59</v>
      </c>
      <c r="I12" s="236">
        <f t="shared" si="0"/>
        <v>4285.76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400.97280000000001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150.00160000000002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3734.7856000000002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810.00000000000011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22.723928000000001</v>
      </c>
      <c r="P12" s="311">
        <f t="shared" si="2"/>
        <v>4567.5095280000005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7.375</v>
      </c>
      <c r="H16" s="113">
        <f t="shared" ref="H16:M16" si="3">SUM(H7:H15)</f>
        <v>295</v>
      </c>
      <c r="I16" s="114">
        <f t="shared" si="3"/>
        <v>20621.7</v>
      </c>
      <c r="J16" s="274">
        <f>SUM(J7:J15)</f>
        <v>1765.96</v>
      </c>
      <c r="K16" s="275">
        <f t="shared" si="3"/>
        <v>721.75950000000012</v>
      </c>
      <c r="L16" s="276">
        <f t="shared" si="3"/>
        <v>0</v>
      </c>
      <c r="M16" s="232">
        <f t="shared" si="3"/>
        <v>18133.980500000001</v>
      </c>
      <c r="N16" s="233">
        <f>SUM(N7:N15)</f>
        <v>3897.4576271186443</v>
      </c>
      <c r="O16" s="101">
        <f>SUM(O7:O15)</f>
        <v>110.15719063559322</v>
      </c>
      <c r="P16" s="113">
        <f>SUM(P7:P15)</f>
        <v>22141.59531775424</v>
      </c>
      <c r="Q16" s="128">
        <f>SUM(Q7:Q15)</f>
        <v>160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20621.7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1765.96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721.75950000000012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18133.980500000001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3897.4576271186443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22031.438127118647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110.15719063559322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22141.59531775424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22141.59531775424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581.12</v>
      </c>
      <c r="K25" s="275">
        <f t="shared" si="10"/>
        <v>203.39200000000002</v>
      </c>
      <c r="L25" s="276">
        <f t="shared" si="10"/>
        <v>0</v>
      </c>
      <c r="M25" s="232">
        <f t="shared" si="10"/>
        <v>5026.6880000000001</v>
      </c>
      <c r="N25" s="233">
        <f>SUM(N16:N24)</f>
        <v>1098.3050847457628</v>
      </c>
      <c r="O25" s="101">
        <f>SUM(O16:O24)</f>
        <v>30.624965423728813</v>
      </c>
      <c r="P25" s="234">
        <f>SUM(P16:P24)</f>
        <v>6155.6180501694917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581.12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5026.6880000000001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6124.9930847457626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45" t="s">
        <v>88</v>
      </c>
      <c r="O35" s="346"/>
      <c r="P35" s="297">
        <f>+P33+P34</f>
        <v>6155.6180501694917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945.7627118644067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2026-10-27T10:52:20Z</dcterms:modified>
</cp:coreProperties>
</file>