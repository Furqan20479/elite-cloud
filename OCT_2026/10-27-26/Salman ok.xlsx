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959F478-3634-420B-BE85-5D37DFDDFD6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<sst xmlns="http://schemas.openxmlformats.org/spreadsheetml/2006/main" count="3948" uniqueCount="532">
  <si>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</si>
  <si>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</si>
  <si>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</si>
  <si>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</si>
  <si>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</si>
  <si>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</si>
  <si>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</si>
  <si>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</si>
  <si>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</si>
  <si>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</si>
  <si>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</si>
  <si>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</si>
  <si>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</si>
  <si>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</si>
  <si>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</si>
  <si>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</si>
  <si>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</si>
  <si>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</si>
  <si>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</si>
  <si>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</si>
  <si>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</si>
  <si>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</si>
  <si>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</si>
  <si>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</si>
  <si>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</si>
  <si>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</si>
  <si>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</si>
  <si>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</si>
  <si>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</si>
  <si>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</si>
  <si>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</si>
  <si>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</si>
  <si>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</si>
  <si>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</si>
  <si>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</si>
  <si>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</si>
  <si>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</si>
  <si>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</si>
  <si>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</si>
  <si>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</si>
  <si>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</si>
  <si>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</si>
  <si>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</si>
  <si>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</si>
  <si>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</si>
  <si>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</si>
  <si>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</si>
  <si>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</si>
  <si>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</si>
  <si>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</si>
  <si>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</si>
  <si>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</si>
  <si>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</si>
  <si>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</si>
  <si>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</si>
  <si>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</si>
  <si>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</si>
  <si>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</si>
  <si>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</si>
  <si>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</si>
  <si>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</si>
  <si>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</si>
  <si>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</si>
  <si>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</si>
  <si>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</si>
  <si>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</si>
  <si>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</si>
  <si>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</si>
  <si>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</si>
  <si>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</si>
  <si>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</si>
  <si>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</si>
  <si>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</si>
  <si>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</si>
  <si>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</si>
  <si>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</si>
  <si>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</si>
  <si>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</si>
  <si>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</si>
  <si>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</si>
  <si>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</si>
  <si>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</si>
  <si>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</si>
  <si>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</si>
  <si>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</si>
  <si>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</si>
  <si>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</si>
  <si>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</si>
  <si>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</si>
  <si>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</si>
  <si>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</si>
  <si>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</si>
  <si>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</si>
  <si>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</si>
  <si>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</si>
  <si>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</si>
  <si>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</si>
  <si>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</si>
  <si>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</si>
  <si>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</si>
  <si>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</si>
  <si>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</si>
  <si>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</si>
  <si>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</si>
  <si>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</si>
  <si>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</si>
  <si>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</si>
  <si>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</si>
  <si>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</si>
  <si>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</si>
  <si>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</si>
  <si>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</si>
  <si>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</si>
  <si>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</si>
  <si>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</si>
  <si>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</si>
  <si>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</si>
  <si>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</si>
  <si>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</si>
  <si>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</si>
  <si>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</si>
  <si>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</si>
  <si>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</si>
  <si>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</si>
  <si>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</si>
  <si>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</si>
  <si>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</si>
  <si>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</si>
  <si>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</si>
  <si>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</si>
  <si>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</si>
  <si>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</si>
  <si>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</si>
  <si>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</si>
  <si>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</si>
  <si>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</si>
  <si>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</si>
  <si>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</si>
  <si>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</si>
  <si>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</si>
  <si>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</si>
  <si>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</si>
  <si>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</si>
  <si>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</si>
  <si>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</si>
  <si>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</si>
  <si>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</si>
  <si>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</si>
  <si>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</si>
  <si>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</si>
  <si>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</si>
  <si>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</si>
  <si>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</si>
  <si>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</si>
  <si>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</si>
  <si>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</si>
  <si>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</si>
  <si>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</si>
  <si>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</si>
  <si>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</si>
  <si>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</si>
  <si>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</si>
  <si>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</si>
  <si>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</si>
  <si>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</si>
  <si>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</si>
  <si>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</si>
  <si>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</si>
  <si>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</si>
  <si>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</si>
  <si>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</si>
  <si>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</si>
  <si>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</si>
  <si>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</si>
  <si>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</si>
  <si>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</si>
  <si>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</si>
  <si>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</si>
  <si>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</si>
  <si>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</si>
  <si>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</si>
  <si>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</si>
  <si>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</si>
  <si>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</si>
  <si>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</si>
  <si>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</si>
  <si>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</si>
  <si>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</si>
  <si>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</si>
  <si>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</si>
  <si>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</si>
  <si>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</si>
  <si>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</si>
  <si>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</si>
  <si>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</si>
  <si>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</si>
  <si>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</si>
  <si>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</si>
  <si>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</si>
  <si>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</si>
  <si>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</si>
  <si>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</si>
  <si>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</si>
  <si>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</si>
  <si>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</si>
  <si>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</si>
  <si>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</si>
  <si>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</si>
  <si>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</si>
  <si>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</si>
  <si>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</si>
  <si>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</si>
  <si>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</si>
  <si>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</si>
  <si>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</si>
  <si>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</si>
  <si>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</si>
  <si>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</si>
  <si>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</si>
  <si>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</si>
  <si>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</si>
  <si>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</si>
  <si>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</si>
  <si>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</si>
  <si>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</si>
  <si>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</si>
  <si>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</si>
  <si>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</si>
  <si>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</si>
  <si>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</si>
  <si>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</si>
  <si>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</si>
  <si>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</si>
  <si>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</si>
  <si>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</si>
  <si>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</si>
  <si>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</si>
  <si>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</si>
  <si>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</si>
  <si>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</si>
  <si>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</si>
  <si>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</si>
  <si>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</si>
  <si>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</si>
  <si>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</si>
  <si>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</si>
  <si>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</si>
  <si>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</si>
  <si>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</si>
  <si>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</si>
  <si>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</si>
  <si>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</si>
  <si>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</si>
  <si>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</si>
  <si>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</si>
  <si>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</si>
  <si>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</si>
  <si>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</si>
  <si>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</si>
  <si>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</si>
  <si>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</si>
  <si>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</si>
  <si>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</si>
  <si>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</si>
  <si>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</si>
  <si>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</si>
  <si>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</si>
  <si>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</si>
  <si>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</si>
  <si>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</si>
  <si>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</si>
  <si>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</si>
  <si>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</si>
  <si>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</si>
  <si>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</si>
  <si>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</si>
  <si>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</si>
  <si>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</si>
  <si>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</si>
  <si>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</si>
  <si>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</si>
  <si>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</si>
  <si>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</si>
  <si>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</si>
  <si>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</si>
  <si>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</si>
  <si>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</si>
  <si>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</si>
  <si>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</si>
  <si>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</si>
  <si>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</si>
  <si>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</si>
  <si>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</si>
  <si>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</si>
  <si>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</si>
  <si>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</si>
  <si>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</si>
  <si>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</si>
  <si>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</si>
  <si>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</si>
  <si>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</si>
  <si>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</si>
  <si>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</si>
  <si>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</si>
  <si>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</si>
  <si>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</si>
  <si>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</si>
  <si>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</si>
  <si>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</si>
  <si>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</si>
  <si>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</si>
  <si>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</si>
  <si>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</si>
  <si>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</si>
  <si>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</si>
  <si>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</si>
  <si>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</si>
  <si>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</si>
  <si>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</si>
  <si>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</si>
  <si>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</si>
  <si>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</si>
  <si>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</si>
  <si>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</si>
  <si>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</si>
  <si>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</si>
  <si>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</si>
  <si>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</si>
  <si>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</si>
  <si>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</si>
  <si>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</si>
  <si>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</si>
  <si>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</si>
  <si>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</si>
  <si>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</si>
  <si>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</si>
  <si>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</si>
  <si>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</si>
  <si>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</si>
  <si>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</si>
  <si>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</si>
  <si>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</si>
  <si>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</si>
  <si>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</si>
  <si>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</si>
  <si>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</si>
  <si>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</si>
  <si>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</si>
  <si>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</si>
  <si>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</si>
  <si>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</si>
  <si>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</si>
  <si>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</si>
  <si>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</si>
  <si>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</si>
  <si>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</si>
  <si>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</si>
  <si>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</si>
  <si>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</si>
  <si>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</si>
  <si>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</si>
  <si>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</si>
  <si>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</si>
  <si>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</si>
  <si>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</si>
  <si>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</si>
  <si>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</si>
  <si>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</si>
  <si>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</si>
  <si>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</si>
  <si>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</si>
  <si>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</si>
  <si>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</si>
  <si>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</si>
  <si>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</si>
  <si>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</si>
  <si>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</si>
  <si>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</si>
  <si>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</si>
  <si>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</si>
  <si>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</si>
  <si>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</si>
  <si>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</si>
  <si>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</si>
  <si>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</si>
  <si>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</si>
  <si>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</si>
  <si>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</si>
  <si>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</si>
  <si>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</si>
  <si>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</si>
  <si>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</si>
  <si>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</si>
  <si>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</si>
  <si>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</si>
  <si>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</si>
  <si>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</si>
  <si>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</si>
  <si>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</si>
  <si>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</si>
  <si>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</si>
  <si>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</si>
  <si>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</si>
  <si>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</si>
  <si>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</si>
  <si>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</si>
  <si>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</si>
  <si>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</si>
  <si>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</si>
  <si>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</si>
  <si>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</si>
  <si>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</si>
  <si>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</si>
  <si>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</si>
  <si>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</si>
  <si>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</si>
  <si>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</si>
  <si>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</si>
  <si>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</si>
  <si>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</si>
  <si>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</si>
  <si>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</si>
  <si>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</si>
  <si>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</si>
  <si>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</si>
  <si>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</si>
  <si>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</si>
  <si>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</si>
  <si>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</si>
  <si>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</si>
  <si>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</si>
  <si>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</si>
  <si>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</si>
  <si>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</si>
  <si>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</si>
  <si>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</si>
  <si>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</si>
  <si>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</si>
  <si>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</si>
  <si>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</si>
  <si>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</si>
  <si>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</si>
  <si>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</si>
  <si>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</si>
  <si>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</si>
  <si>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</si>
  <si>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</si>
  <si>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</si>
  <si>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</si>
  <si>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</si>
  <si>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</si>
  <si>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</si>
  <si>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</si>
  <si>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</si>
  <si>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</si>
  <si>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</si>
  <si>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</si>
  <si>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</si>
  <si>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</si>
  <si>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</si>
  <si>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</si>
  <si>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</si>
  <si>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</si>
  <si>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</si>
  <si>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</si>
  <si>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</si>
  <si>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</si>
  <si>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</si>
  <si>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</si>
  <si>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</si>
  <si>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</si>
  <si>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</si>
  <si>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</si>
  <si>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</si>
  <si>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</si>
  <si>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</si>
  <si>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</si>
  <si>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</si>
  <si>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</si>
  <si>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</si>
  <si>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</si>
  <si>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</si>
  <si>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</si>
  <si>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</si>
  <si>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</si>
  <si>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</si>
  <si>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</si>
  <si>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</si>
  <si>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</si>
  <si>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</si>
  <si>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</si>
  <si>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</si>
  <si>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</si>
  <si>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</si>
  <si>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</si>
  <si>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</si>
  <si>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</si>
  <si>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</si>
  <si>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</si>
  <si>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</si>
  <si>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</si>
  <si>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</si>
  <si>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</si>
  <si>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</si>
  <si>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</si>
  <si>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</si>
  <si>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</si>
  <si>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</si>
  <si>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</si>
  <si>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</si>
  <si>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</si>
  <si>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</si>
  <si>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</si>
  <si>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</si>
  <si>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Marwa Mart </t>
  </si>
  <si>
    <t xml:space="preserve">Address: Tajbagh </t>
  </si>
  <si>
    <t>Madina Store</t>
  </si>
  <si>
    <t xml:space="preserve">Raya Mart </t>
  </si>
  <si>
    <t>Qasim Store</t>
  </si>
  <si>
    <t>Shahid GS</t>
  </si>
  <si>
    <t>786 Store</t>
  </si>
  <si>
    <t>Shahbaz Store</t>
  </si>
  <si>
    <t xml:space="preserve">Saad Mart </t>
  </si>
  <si>
    <t xml:space="preserve">Ideal Cash &amp; Carry </t>
  </si>
  <si>
    <t>Ahmad Store</t>
  </si>
  <si>
    <t>Karam Store</t>
  </si>
  <si>
    <t>Jameel Store (Sample)</t>
  </si>
  <si>
    <t>Zarar Khan Super Store</t>
  </si>
  <si>
    <t>Khan Super Store</t>
  </si>
  <si>
    <t xml:space="preserve">Top Bakers </t>
  </si>
  <si>
    <t>Mughal Store</t>
  </si>
  <si>
    <t>Al Rehman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</si>
</sst>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1" workbookViewId="0">
      <selection activeCell="E29" sqref="E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Marwa Mart </v>
      </c>
      <c r="T3" s="301">
        <f>+'1'!P35</f>
        <v>12544.846340338983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Madina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Raya Mart 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Qasim Store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Shahid GS</v>
      </c>
      <c r="T7" s="301">
        <f>+'5'!P35</f>
        <v>548.8370273898305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786 Store</v>
      </c>
      <c r="T8" s="301">
        <f>+'6'!P35</f>
        <v>627.24231701694919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Shahbaz Store</v>
      </c>
      <c r="T9" s="301">
        <f>+'7'!P35</f>
        <v>940.86347552542372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116</v>
      </c>
      <c r="I10" s="236">
        <f t="shared" si="0"/>
        <v>8426.24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674.0992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294.91840000000002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7457.2223999999997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1592.5423728813562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45.248823864406788</v>
      </c>
      <c r="P10" s="311">
        <f t="shared" si="2"/>
        <v>9095.0135967457627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41</v>
      </c>
      <c r="R10" s="313">
        <v>8</v>
      </c>
      <c r="S10" s="300" t="str">
        <f>+'8'!A6:A6</f>
        <v xml:space="preserve">Saad Mart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70</v>
      </c>
      <c r="I11" s="236">
        <f t="shared" si="0"/>
        <v>5084.8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177.96800000000002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4500.0479999999998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961.01694915254234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27.305324745762711</v>
      </c>
      <c r="P11" s="311">
        <f t="shared" si="2"/>
        <v>5488.3702738983047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Ideal Cash &amp; Carry 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292</v>
      </c>
      <c r="I12" s="236">
        <f t="shared" si="0"/>
        <v>21210.880000000001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1696.8704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742.38080000000002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18771.628800000002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4008.8135593220341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113.90221179661017</v>
      </c>
      <c r="P12" s="311">
        <f t="shared" si="2"/>
        <v>22894.344571118643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41</v>
      </c>
      <c r="R12" s="313">
        <v>10</v>
      </c>
      <c r="S12" s="300" t="str">
        <f>+'10'!A6:A6</f>
        <v>Ahmad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Jameel Store (Sample)</v>
      </c>
      <c r="T13" s="301">
        <f>+'11'!P35</f>
        <v>235.21586888135593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Karam Store</v>
      </c>
      <c r="T14" s="301">
        <f>+'12'!P35</f>
        <v>3057.8062954576271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Zarar Khan Super Store</v>
      </c>
      <c r="T15" s="301">
        <f>+'13'!P35</f>
        <v>3136.2115850847458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12.95</v>
      </c>
      <c r="H16" s="113">
        <f t="shared" ref="H16:M16" si="3">SUM(H7:H15)</f>
        <v>518</v>
      </c>
      <c r="I16" s="114">
        <f t="shared" si="3"/>
        <v>36820.42</v>
      </c>
      <c r="J16" s="274">
        <f>SUM(J7:J15)</f>
        <v>2945.6336000000001</v>
      </c>
      <c r="K16" s="275">
        <f t="shared" si="3"/>
        <v>1288.7147</v>
      </c>
      <c r="L16" s="276">
        <f t="shared" si="3"/>
        <v>0</v>
      </c>
      <c r="M16" s="232">
        <f t="shared" si="3"/>
        <v>32586.0717</v>
      </c>
      <c r="N16" s="233">
        <f>SUM(N7:N15)</f>
        <v>6958.9830508474579</v>
      </c>
      <c r="O16" s="101">
        <f>SUM(O7:O15)</f>
        <v>197.72527375423729</v>
      </c>
      <c r="P16" s="113">
        <f>SUM(P7:P15)</f>
        <v>39742.780024601692</v>
      </c>
      <c r="Q16" s="128">
        <f>SUM(Q7:Q15)</f>
        <v>82</v>
      </c>
      <c r="R16" s="313">
        <v>14</v>
      </c>
      <c r="S16" s="315" t="str">
        <f>+'14'!A6:A6</f>
        <v>Khan Super Store</v>
      </c>
      <c r="T16" s="301">
        <f>+'14'!P35</f>
        <v>2265.051582838983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Top Bakers </v>
      </c>
      <c r="T17" s="301">
        <f>+'15'!P35</f>
        <v>3057.8062954576271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Mughal Store</v>
      </c>
      <c r="T18" s="301">
        <f>+'16'!P35</f>
        <v>6272.4231701694916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36820.42</v>
      </c>
      <c r="R19" s="299">
        <v>17</v>
      </c>
      <c r="S19" s="300" t="str">
        <f>+'17'!A6:A6</f>
        <v>Al Rehman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2945.6336000000001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1288.7147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32586.071699999997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6958.9830508474579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39545.054750847456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197.72527375423729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39742.780024601692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39742.7800246017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11622.4</v>
      </c>
      <c r="J25" s="274">
        <f>SUM(J16:J24)</f>
        <v>929.79200000000003</v>
      </c>
      <c r="K25" s="275">
        <f t="shared" si="10"/>
        <v>406.78400000000005</v>
      </c>
      <c r="L25" s="276">
        <f t="shared" si="10"/>
        <v>0</v>
      </c>
      <c r="M25" s="232">
        <f t="shared" si="10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11622.4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929.79200000000003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406.78400000000005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10285.824000000001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12482.434169491526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45" t="s">
        <v>88</v>
      </c>
      <c r="O35" s="346"/>
      <c r="P35" s="297">
        <f>+P33+P34</f>
        <v>12544.846340338983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119">
        <f t="shared" si="5"/>
        <v>548.83702738983061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7</v>
      </c>
      <c r="I25" s="114">
        <f t="shared" si="7"/>
        <v>508.48</v>
      </c>
      <c r="J25" s="274">
        <f>SUM(J16:J24)</f>
        <v>40.678400000000003</v>
      </c>
      <c r="K25" s="275">
        <f t="shared" si="7"/>
        <v>17.796800000000001</v>
      </c>
      <c r="L25" s="276">
        <f t="shared" si="7"/>
        <v>0</v>
      </c>
      <c r="M25" s="232">
        <f t="shared" si="7"/>
        <v>450.00480000000005</v>
      </c>
      <c r="N25" s="233">
        <f>SUM(N16:N24)</f>
        <v>96.101694915254242</v>
      </c>
      <c r="O25" s="101">
        <f>SUM(O16:O24)</f>
        <v>2.7305324745762714</v>
      </c>
      <c r="P25" s="234">
        <f>SUM(P16:P24)</f>
        <v>548.83702738983061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508.48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40.678400000000003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17.796800000000001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450.00479999999999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96.101694915254242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546.10649491525419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2.7305324745762709</v>
      </c>
    </row>
    <row r="35" spans="2:16" ht="15.75" customHeight="1" thickBot="1" x14ac:dyDescent="0.4">
      <c r="N35" s="345" t="s">
        <v>88</v>
      </c>
      <c r="O35" s="346"/>
      <c r="P35" s="297">
        <f>+P33+P34</f>
        <v>548.8370273898305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234">
        <f>SUM(P16:P24)</f>
        <v>235.21586888135593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217.92000000000002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17.433600000000002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7.6272000000000011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192.85920000000002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234.04564067796611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5" t="s">
        <v>88</v>
      </c>
      <c r="O35" s="346"/>
      <c r="P35" s="297">
        <f>+P33+P34</f>
        <v>235.21586888135593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8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39</v>
      </c>
      <c r="I21" s="236">
        <f t="shared" si="0"/>
        <v>2832.96</v>
      </c>
      <c r="J21" s="272">
        <f t="shared" si="1"/>
        <v>226.63679999999999</v>
      </c>
      <c r="K21" s="128">
        <f t="shared" si="1"/>
        <v>99.153600000000012</v>
      </c>
      <c r="L21" s="119">
        <f t="shared" si="1"/>
        <v>0</v>
      </c>
      <c r="M21" s="230">
        <f t="shared" si="2"/>
        <v>2507.1696000000002</v>
      </c>
      <c r="N21" s="277">
        <f t="shared" si="3"/>
        <v>535.42372881355936</v>
      </c>
      <c r="O21" s="239">
        <f t="shared" si="4"/>
        <v>15.212966644067796</v>
      </c>
      <c r="P21" s="119">
        <f t="shared" si="5"/>
        <v>3057.8062954576271</v>
      </c>
      <c r="Q21" s="319">
        <v>1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39</v>
      </c>
      <c r="I25" s="114">
        <f t="shared" si="7"/>
        <v>2832.96</v>
      </c>
      <c r="J25" s="274">
        <f>SUM(J16:J24)</f>
        <v>226.63679999999999</v>
      </c>
      <c r="K25" s="275">
        <f t="shared" si="7"/>
        <v>99.153600000000012</v>
      </c>
      <c r="L25" s="276">
        <f t="shared" si="7"/>
        <v>0</v>
      </c>
      <c r="M25" s="232">
        <f t="shared" si="7"/>
        <v>2507.1696000000002</v>
      </c>
      <c r="N25" s="233">
        <f>SUM(N16:N24)</f>
        <v>535.42372881355936</v>
      </c>
      <c r="O25" s="101">
        <f>SUM(O16:O24)</f>
        <v>15.212966644067796</v>
      </c>
      <c r="P25" s="234">
        <f>SUM(P16:P24)</f>
        <v>3057.8062954576271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2832.96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226.63679999999999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99.153600000000012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2507.1695999999997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535.42372881355936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3042.5933288135593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15.212966644067796</v>
      </c>
    </row>
    <row r="35" spans="2:16" ht="15.75" customHeight="1" thickBot="1" x14ac:dyDescent="0.4">
      <c r="N35" s="345" t="s">
        <v>88</v>
      </c>
      <c r="O35" s="346"/>
      <c r="P35" s="297">
        <f>+P33+P34</f>
        <v>3057.8062954576271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18</v>
      </c>
      <c r="I21" s="236">
        <f t="shared" si="0"/>
        <v>1307.52</v>
      </c>
      <c r="J21" s="272">
        <f t="shared" si="1"/>
        <v>104.6016</v>
      </c>
      <c r="K21" s="128">
        <f t="shared" si="1"/>
        <v>45.763200000000005</v>
      </c>
      <c r="L21" s="119">
        <f t="shared" si="1"/>
        <v>0</v>
      </c>
      <c r="M21" s="230">
        <f t="shared" si="2"/>
        <v>1157.1551999999999</v>
      </c>
      <c r="N21" s="277">
        <f t="shared" si="3"/>
        <v>247.11864406779662</v>
      </c>
      <c r="O21" s="239">
        <f t="shared" si="4"/>
        <v>7.0213692203389826</v>
      </c>
      <c r="P21" s="119">
        <f t="shared" si="5"/>
        <v>1411.2952132881355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8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9</v>
      </c>
      <c r="I19" s="236">
        <f t="shared" si="0"/>
        <v>653.76</v>
      </c>
      <c r="J19" s="272">
        <f t="shared" si="1"/>
        <v>52.300800000000002</v>
      </c>
      <c r="K19" s="128">
        <f t="shared" si="1"/>
        <v>22.881600000000002</v>
      </c>
      <c r="L19" s="119">
        <f t="shared" si="1"/>
        <v>0</v>
      </c>
      <c r="M19" s="230">
        <f t="shared" si="2"/>
        <v>578.57759999999996</v>
      </c>
      <c r="N19" s="277">
        <f t="shared" si="3"/>
        <v>123.55932203389831</v>
      </c>
      <c r="O19" s="239">
        <f t="shared" si="4"/>
        <v>3.5106846101694913</v>
      </c>
      <c r="P19" s="119">
        <f t="shared" si="5"/>
        <v>705.64760664406776</v>
      </c>
      <c r="Q19" s="319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39</v>
      </c>
      <c r="I25" s="114">
        <f t="shared" si="7"/>
        <v>2832.96</v>
      </c>
      <c r="J25" s="274">
        <f>SUM(J16:J24)</f>
        <v>226.63679999999999</v>
      </c>
      <c r="K25" s="275">
        <f t="shared" si="7"/>
        <v>99.153600000000012</v>
      </c>
      <c r="L25" s="276">
        <f t="shared" si="7"/>
        <v>0</v>
      </c>
      <c r="M25" s="232">
        <f t="shared" si="7"/>
        <v>2507.1696000000002</v>
      </c>
      <c r="N25" s="233">
        <f>SUM(N16:N24)</f>
        <v>535.42372881355936</v>
      </c>
      <c r="O25" s="101">
        <f>SUM(O16:O24)</f>
        <v>15.212966644067798</v>
      </c>
      <c r="P25" s="234">
        <f>SUM(P16:P24)</f>
        <v>3057.8062954576271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2832.96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226.63679999999999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99.153600000000012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2507.1695999999997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535.42372881355936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3042.5933288135593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15.212966644067796</v>
      </c>
    </row>
    <row r="35" spans="2:16" ht="15.75" customHeight="1" thickBot="1" x14ac:dyDescent="0.4">
      <c r="N35" s="345" t="s">
        <v>88</v>
      </c>
      <c r="O35" s="346"/>
      <c r="P35" s="297">
        <f>+P33+P34</f>
        <v>3057.8062954576271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2026-10-27T10:54:59Z</dcterms:modified>
</cp:coreProperties>
</file>