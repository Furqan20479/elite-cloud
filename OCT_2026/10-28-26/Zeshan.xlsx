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FC0347C-930B-472C-9A85-2E54C88AFE6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<sst xmlns="http://schemas.openxmlformats.org/spreadsheetml/2006/main" count="3948" uniqueCount="525">
  <si>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</si>
  <si>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</si>
  <si>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</si>
  <si>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</si>
  <si>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</si>
  <si>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</si>
  <si>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</si>
  <si>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</si>
  <si>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</si>
  <si>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</si>
  <si>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</si>
  <si>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</si>
  <si>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</si>
  <si>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</si>
  <si>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</si>
  <si>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</si>
  <si>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</si>
  <si>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</si>
  <si>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</si>
  <si>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</si>
  <si>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</si>
  <si>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</si>
  <si>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</si>
  <si>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</si>
  <si>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</si>
  <si>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</si>
  <si>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</si>
  <si>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</si>
  <si>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</si>
  <si>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</si>
  <si>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</si>
  <si>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</si>
  <si>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</si>
  <si>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</si>
  <si>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</si>
  <si>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</si>
  <si>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</si>
  <si>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</si>
  <si>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</si>
  <si>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</si>
  <si>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</si>
  <si>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</si>
  <si>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</si>
  <si>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</si>
  <si>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</si>
  <si>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</si>
  <si>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</si>
  <si>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</si>
  <si>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</si>
  <si>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</si>
  <si>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</si>
  <si>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</si>
  <si>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</si>
  <si>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</si>
  <si>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</si>
  <si>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</si>
  <si>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</si>
  <si>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</si>
  <si>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</si>
  <si>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</si>
  <si>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</si>
  <si>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</si>
  <si>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</si>
  <si>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</si>
  <si>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</si>
  <si>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</si>
  <si>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</si>
  <si>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</si>
  <si>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</si>
  <si>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</si>
  <si>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</si>
  <si>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</si>
  <si>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</si>
  <si>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</si>
  <si>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</si>
  <si>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</si>
  <si>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</si>
  <si>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</si>
  <si>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</si>
  <si>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</si>
  <si>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</si>
  <si>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</si>
  <si>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</si>
  <si>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</si>
  <si>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</si>
  <si>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</si>
  <si>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</si>
  <si>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</si>
  <si>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</si>
  <si>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</si>
  <si>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</si>
  <si>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</si>
  <si>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</si>
  <si>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</si>
  <si>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</si>
  <si>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</si>
  <si>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</si>
  <si>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</si>
  <si>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</si>
  <si>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</si>
  <si>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</si>
  <si>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</si>
  <si>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</si>
  <si>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</si>
  <si>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</si>
  <si>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</si>
  <si>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</si>
  <si>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</si>
  <si>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</si>
  <si>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</si>
  <si>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</si>
  <si>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</si>
  <si>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</si>
  <si>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</si>
  <si>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</si>
  <si>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</si>
  <si>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</si>
  <si>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</si>
  <si>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</si>
  <si>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</si>
  <si>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</si>
  <si>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</si>
  <si>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</si>
  <si>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</si>
  <si>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</si>
  <si>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</si>
  <si>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</si>
  <si>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</si>
  <si>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</si>
  <si>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</si>
  <si>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</si>
  <si>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</si>
  <si>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</si>
  <si>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</si>
  <si>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</si>
  <si>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</si>
  <si>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</si>
  <si>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</si>
  <si>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</si>
  <si>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</si>
  <si>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</si>
  <si>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</si>
  <si>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</si>
  <si>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</si>
  <si>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</si>
  <si>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</si>
  <si>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</si>
  <si>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</si>
  <si>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</si>
  <si>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</si>
  <si>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</si>
  <si>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</si>
  <si>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</si>
  <si>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</si>
  <si>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</si>
  <si>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</si>
  <si>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</si>
  <si>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</si>
  <si>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</si>
  <si>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</si>
  <si>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</si>
  <si>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</si>
  <si>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</si>
  <si>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</si>
  <si>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</si>
  <si>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</si>
  <si>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</si>
  <si>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</si>
  <si>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</si>
  <si>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</si>
  <si>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</si>
  <si>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</si>
  <si>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</si>
  <si>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</si>
  <si>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</si>
  <si>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</si>
  <si>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</si>
  <si>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</si>
  <si>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</si>
  <si>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</si>
  <si>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</si>
  <si>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</si>
  <si>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</si>
  <si>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</si>
  <si>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</si>
  <si>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</si>
  <si>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</si>
  <si>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</si>
  <si>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</si>
  <si>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</si>
  <si>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</si>
  <si>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</si>
  <si>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</si>
  <si>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</si>
  <si>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</si>
  <si>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</si>
  <si>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</si>
  <si>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</si>
  <si>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</si>
  <si>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</si>
  <si>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</si>
  <si>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</si>
  <si>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</si>
  <si>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</si>
  <si>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</si>
  <si>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</si>
  <si>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</si>
  <si>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</si>
  <si>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</si>
  <si>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</si>
  <si>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</si>
  <si>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</si>
  <si>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</si>
  <si>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</si>
  <si>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</si>
  <si>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</si>
  <si>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</si>
  <si>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</si>
  <si>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</si>
  <si>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</si>
  <si>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</si>
  <si>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</si>
  <si>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</si>
  <si>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</si>
  <si>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</si>
  <si>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</si>
  <si>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</si>
  <si>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</si>
  <si>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</si>
  <si>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</si>
  <si>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</si>
  <si>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</si>
  <si>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</si>
  <si>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</si>
  <si>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</si>
  <si>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</si>
  <si>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</si>
  <si>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</si>
  <si>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</si>
  <si>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</si>
  <si>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</si>
  <si>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</si>
  <si>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</si>
  <si>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</si>
  <si>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</si>
  <si>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</si>
  <si>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</si>
  <si>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</si>
  <si>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</si>
  <si>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</si>
  <si>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</si>
  <si>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</si>
  <si>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</si>
  <si>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</si>
  <si>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</si>
  <si>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</si>
  <si>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</si>
  <si>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</si>
  <si>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</si>
  <si>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</si>
  <si>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</si>
  <si>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</si>
  <si>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</si>
  <si>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</si>
  <si>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</si>
  <si>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</si>
  <si>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</si>
  <si>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</si>
  <si>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</si>
  <si>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</si>
  <si>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</si>
  <si>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</si>
  <si>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</si>
  <si>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</si>
  <si>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</si>
  <si>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</si>
  <si>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</si>
  <si>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</si>
  <si>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</si>
  <si>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</si>
  <si>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</si>
  <si>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</si>
  <si>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</si>
  <si>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</si>
  <si>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</si>
  <si>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</si>
  <si>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</si>
  <si>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</si>
  <si>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</si>
  <si>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</si>
  <si>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</si>
  <si>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</si>
  <si>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</si>
  <si>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</si>
  <si>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</si>
  <si>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</si>
  <si>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</si>
  <si>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</si>
  <si>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</si>
  <si>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</si>
  <si>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</si>
  <si>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</si>
  <si>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</si>
  <si>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</si>
  <si>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</si>
  <si>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</si>
  <si>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</si>
  <si>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</si>
  <si>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</si>
  <si>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</si>
  <si>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</si>
  <si>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</si>
  <si>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</si>
  <si>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</si>
  <si>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</si>
  <si>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</si>
  <si>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</si>
  <si>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</si>
  <si>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</si>
  <si>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</si>
  <si>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</si>
  <si>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</si>
  <si>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</si>
  <si>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</si>
  <si>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</si>
  <si>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</si>
  <si>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</si>
  <si>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</si>
  <si>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</si>
  <si>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</si>
  <si>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</si>
  <si>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</si>
  <si>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</si>
  <si>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</si>
  <si>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</si>
  <si>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</si>
  <si>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</si>
  <si>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</si>
  <si>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</si>
  <si>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</si>
  <si>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</si>
  <si>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</si>
  <si>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</si>
  <si>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</si>
  <si>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</si>
  <si>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</si>
  <si>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</si>
  <si>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</si>
  <si>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</si>
  <si>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</si>
  <si>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</si>
  <si>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</si>
  <si>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</si>
  <si>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</si>
  <si>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</si>
  <si>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</si>
  <si>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</si>
  <si>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</si>
  <si>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</si>
  <si>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</si>
  <si>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</si>
  <si>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</si>
  <si>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</si>
  <si>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</si>
  <si>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</si>
  <si>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</si>
  <si>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</si>
  <si>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</si>
  <si>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</si>
  <si>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</si>
  <si>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</si>
  <si>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</si>
  <si>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</si>
  <si>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</si>
  <si>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</si>
  <si>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</si>
  <si>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</si>
  <si>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</si>
  <si>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</si>
  <si>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</si>
  <si>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</si>
  <si>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</si>
  <si>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</si>
  <si>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</si>
  <si>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</si>
  <si>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</si>
  <si>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</si>
  <si>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</si>
  <si>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</si>
  <si>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</si>
  <si>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</si>
  <si>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</si>
  <si>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</si>
  <si>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</si>
  <si>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</si>
  <si>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</si>
  <si>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</si>
  <si>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</si>
  <si>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</si>
  <si>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</si>
  <si>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</si>
  <si>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</si>
  <si>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</si>
  <si>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</si>
  <si>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</si>
  <si>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</si>
  <si>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</si>
  <si>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</si>
  <si>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</si>
  <si>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</si>
  <si>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</si>
  <si>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</si>
  <si>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</si>
  <si>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</si>
  <si>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</si>
  <si>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</si>
  <si>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</si>
  <si>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</si>
  <si>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</si>
  <si>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</si>
  <si>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</si>
  <si>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</si>
  <si>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</si>
  <si>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</si>
  <si>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</si>
  <si>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</si>
  <si>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</si>
  <si>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</si>
  <si>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</si>
  <si>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</si>
  <si>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</si>
  <si>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</si>
  <si>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</si>
  <si>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</si>
  <si>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</si>
  <si>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</si>
  <si>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</si>
  <si>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</si>
  <si>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</si>
  <si>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</si>
  <si>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</si>
  <si>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</si>
  <si>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</si>
  <si>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</si>
  <si>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</si>
  <si>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</si>
  <si>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</si>
  <si>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</si>
  <si>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</si>
  <si>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</si>
  <si>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</si>
  <si>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</si>
  <si>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</si>
  <si>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</si>
  <si>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</si>
  <si>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</si>
  <si>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</si>
  <si>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</si>
  <si>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</si>
  <si>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</si>
  <si>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</si>
  <si>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</si>
  <si>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</si>
  <si>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</si>
  <si>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</si>
  <si>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</si>
  <si>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</si>
  <si>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</si>
  <si>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</si>
  <si>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</si>
  <si>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</si>
  <si>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</si>
  <si>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</si>
  <si>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</si>
  <si>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</si>
  <si>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</si>
  <si>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</si>
  <si>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</si>
  <si>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</si>
  <si>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</si>
  <si>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</si>
  <si>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</si>
  <si>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</si>
  <si>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</si>
  <si>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</si>
  <si>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</si>
  <si>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</si>
  <si>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</si>
  <si>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</si>
  <si>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</si>
  <si>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</si>
  <si>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</si>
  <si>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</si>
  <si>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</si>
  <si>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</si>
  <si>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</si>
  <si>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</si>
  <si>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</si>
  <si>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</si>
  <si>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</si>
  <si>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</si>
  <si>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</si>
  <si>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</si>
  <si>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</si>
  <si>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</si>
  <si>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</si>
  <si>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</si>
  <si>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</si>
  <si>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</si>
  <si>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</si>
  <si>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</si>
  <si>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</si>
  <si>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</si>
  <si>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</si>
  <si>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</si>
  <si>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786 Store</t>
  </si>
  <si>
    <t xml:space="preserve">Sharif Mart </t>
  </si>
  <si>
    <t>Kashmir Baker</t>
  </si>
  <si>
    <t>Qadri Store</t>
  </si>
  <si>
    <t>Nishat Store</t>
  </si>
  <si>
    <t>Rana store</t>
  </si>
  <si>
    <t>Bilal Store</t>
  </si>
  <si>
    <t xml:space="preserve">D Mart </t>
  </si>
  <si>
    <t xml:space="preserve">Address: Bankers Society </t>
  </si>
  <si>
    <t>Address: 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</si>
</sst>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I36" sqref="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786 Store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Sharif Mart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Kashmir Baker</v>
      </c>
      <c r="T5" s="301">
        <f>+'3'!P35</f>
        <v>18291.646470508473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Qadri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Nishat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Rana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Bilal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255</v>
      </c>
      <c r="I10" s="236">
        <f t="shared" si="0"/>
        <v>18523.2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1888.6399999999999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648.31200000000001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15986.248000000001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3500.8474576271187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97.435477288135601</v>
      </c>
      <c r="P10" s="311">
        <f t="shared" si="2"/>
        <v>19584.530934915256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D Mart </v>
      </c>
      <c r="T10" s="301">
        <f>+'8'!P35</f>
        <v>15902.042273771185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110</v>
      </c>
      <c r="I11" s="236">
        <f t="shared" si="0"/>
        <v>7990.4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784.51199999999994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279.66400000000004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6926.2240000000002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1510.1694915254238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42.181967457627117</v>
      </c>
      <c r="P11" s="311">
        <f t="shared" si="2"/>
        <v>8478.5754589830522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155</v>
      </c>
      <c r="I12" s="236">
        <f t="shared" si="0"/>
        <v>11259.2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394.07200000000006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9819.112000000001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2127.9661016949158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59.73539050847458</v>
      </c>
      <c r="P12" s="311">
        <f t="shared" si="2"/>
        <v>12006.813492203391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16</v>
      </c>
      <c r="H16" s="113">
        <f t="shared" ref="H16:M16" si="3">SUM(H7:H15)</f>
        <v>640</v>
      </c>
      <c r="I16" s="114">
        <f t="shared" si="3"/>
        <v>44068.3</v>
      </c>
      <c r="J16" s="274">
        <f>SUM(J7:J15)</f>
        <v>4348.7179999999998</v>
      </c>
      <c r="K16" s="275">
        <f t="shared" si="3"/>
        <v>1542.3905000000002</v>
      </c>
      <c r="L16" s="276">
        <f t="shared" si="3"/>
        <v>0</v>
      </c>
      <c r="M16" s="232">
        <f t="shared" si="3"/>
        <v>38177.191500000001</v>
      </c>
      <c r="N16" s="233">
        <f>SUM(N7:N15)</f>
        <v>8328.8135593220341</v>
      </c>
      <c r="O16" s="101">
        <f>SUM(O7:O15)</f>
        <v>232.53002529661018</v>
      </c>
      <c r="P16" s="113">
        <f>SUM(P7:P15)</f>
        <v>46738.535084618648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44068.3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4348.7179999999998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1542.3905000000002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38177.191500000001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8328.8135593220341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46506.005059322037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232.53002529661018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46738.535084618648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46738.535084618641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7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7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464.89599999999996</v>
      </c>
      <c r="K25" s="275">
        <f t="shared" si="10"/>
        <v>203.392</v>
      </c>
      <c r="L25" s="276">
        <f t="shared" si="10"/>
        <v>0</v>
      </c>
      <c r="M25" s="232">
        <f t="shared" si="10"/>
        <v>5142.9119999999994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B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1278.4639999999999</v>
      </c>
      <c r="K19" s="128">
        <f t="shared" si="1"/>
        <v>406.78400000000005</v>
      </c>
      <c r="L19" s="119">
        <f t="shared" si="1"/>
        <v>0</v>
      </c>
      <c r="M19" s="230">
        <f t="shared" si="2"/>
        <v>9937.152</v>
      </c>
      <c r="N19" s="277">
        <f t="shared" si="3"/>
        <v>2196.6101694915255</v>
      </c>
      <c r="O19" s="239">
        <f t="shared" si="4"/>
        <v>60.668810847457628</v>
      </c>
      <c r="P19" s="119">
        <f t="shared" si="5"/>
        <v>12194.430980338982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1917.6959999999999</v>
      </c>
      <c r="K25" s="275">
        <f t="shared" si="7"/>
        <v>610.17600000000004</v>
      </c>
      <c r="L25" s="276">
        <f t="shared" si="7"/>
        <v>0</v>
      </c>
      <c r="M25" s="232">
        <f t="shared" si="7"/>
        <v>14905.728000000001</v>
      </c>
      <c r="N25" s="233">
        <f>SUM(N16:N24)</f>
        <v>3294.9152542372881</v>
      </c>
      <c r="O25" s="101">
        <f>SUM(O16:O24)</f>
        <v>91.003216271186446</v>
      </c>
      <c r="P25" s="234">
        <f>SUM(P16:P24)</f>
        <v>18291.646470508473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17433.599999999999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1917.6959999999999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610.17600000000004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14905.727999999999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3294.9152542372881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18200.643254237286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91.003216271186432</v>
      </c>
    </row>
    <row r="35" spans="2:16" ht="15.75" customHeight="1" thickBot="1" x14ac:dyDescent="0.4">
      <c r="N35" s="374" t="s">
        <v>88</v>
      </c>
      <c r="O35" s="375"/>
      <c r="P35" s="297">
        <f>+P33+P34</f>
        <v>18291.646470508473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118">
        <f>M16+N16+O16</f>
        <v>4445.7434656779651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1501.23</v>
      </c>
      <c r="K25" s="275">
        <f t="shared" si="7"/>
        <v>525.43050000000005</v>
      </c>
      <c r="L25" s="276">
        <f t="shared" si="7"/>
        <v>0</v>
      </c>
      <c r="M25" s="232">
        <f t="shared" si="7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12985.639500000001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15822.92763559322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4" t="s">
        <v>88</v>
      </c>
      <c r="O35" s="375"/>
      <c r="P35" s="297">
        <f>+P33+P34</f>
        <v>15902.042273771185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Zeshan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2026-10-27T11:39:57Z</dcterms:modified>
</cp:coreProperties>
</file>