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0D47916-A21A-49F4-A1FC-C2EA7D96ED5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<sst xmlns="http://schemas.openxmlformats.org/spreadsheetml/2006/main" count="3948" uniqueCount="525">
  <si>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</si>
  <si>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</si>
  <si>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</si>
  <si>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</si>
  <si>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</si>
  <si>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</si>
  <si>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</si>
  <si>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</si>
  <si>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</si>
  <si>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</si>
  <si>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</si>
  <si>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</si>
  <si>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</si>
  <si>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</si>
  <si>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</si>
  <si>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</si>
  <si>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</si>
  <si>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</si>
  <si>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</si>
  <si>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</si>
  <si>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</si>
  <si>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</si>
  <si>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</si>
  <si>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</si>
  <si>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</si>
  <si>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</si>
  <si>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</si>
  <si>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</si>
  <si>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</si>
  <si>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</si>
  <si>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</si>
  <si>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</si>
  <si>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</si>
  <si>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</si>
  <si>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</si>
  <si>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</si>
  <si>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</si>
  <si>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</si>
  <si>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</si>
  <si>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</si>
  <si>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</si>
  <si>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</si>
  <si>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</si>
  <si>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</si>
  <si>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</si>
  <si>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</si>
  <si>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</si>
  <si>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</si>
  <si>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</si>
  <si>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</si>
  <si>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</si>
  <si>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</si>
  <si>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</si>
  <si>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</si>
  <si>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</si>
  <si>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</si>
  <si>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</si>
  <si>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</si>
  <si>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</si>
  <si>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</si>
  <si>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</si>
  <si>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</si>
  <si>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</si>
  <si>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</si>
  <si>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</si>
  <si>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</si>
  <si>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</si>
  <si>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</si>
  <si>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</si>
  <si>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</si>
  <si>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</si>
  <si>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</si>
  <si>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</si>
  <si>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</si>
  <si>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</si>
  <si>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</si>
  <si>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</si>
  <si>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</si>
  <si>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</si>
  <si>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</si>
  <si>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</si>
  <si>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</si>
  <si>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</si>
  <si>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</si>
  <si>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</si>
  <si>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</si>
  <si>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</si>
  <si>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</si>
  <si>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</si>
  <si>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</si>
  <si>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</si>
  <si>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</si>
  <si>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</si>
  <si>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</si>
  <si>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</si>
  <si>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</si>
  <si>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</si>
  <si>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</si>
  <si>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</si>
  <si>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</si>
  <si>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</si>
  <si>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</si>
  <si>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</si>
  <si>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</si>
  <si>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</si>
  <si>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</si>
  <si>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</si>
  <si>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</si>
  <si>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</si>
  <si>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</si>
  <si>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</si>
  <si>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</si>
  <si>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</si>
  <si>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</si>
  <si>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</si>
  <si>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</si>
  <si>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</si>
  <si>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</si>
  <si>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</si>
  <si>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</si>
  <si>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</si>
  <si>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</si>
  <si>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</si>
  <si>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</si>
  <si>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</si>
  <si>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</si>
  <si>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</si>
  <si>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</si>
  <si>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</si>
  <si>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</si>
  <si>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</si>
  <si>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</si>
  <si>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</si>
  <si>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</si>
  <si>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</si>
  <si>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</si>
  <si>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</si>
  <si>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</si>
  <si>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</si>
  <si>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</si>
  <si>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</si>
  <si>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</si>
  <si>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</si>
  <si>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</si>
  <si>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</si>
  <si>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</si>
  <si>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</si>
  <si>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</si>
  <si>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</si>
  <si>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</si>
  <si>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</si>
  <si>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</si>
  <si>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</si>
  <si>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</si>
  <si>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</si>
  <si>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</si>
  <si>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</si>
  <si>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</si>
  <si>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</si>
  <si>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</si>
  <si>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</si>
  <si>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</si>
  <si>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</si>
  <si>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</si>
  <si>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</si>
  <si>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</si>
  <si>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</si>
  <si>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</si>
  <si>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</si>
  <si>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</si>
  <si>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</si>
  <si>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</si>
  <si>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</si>
  <si>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</si>
  <si>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</si>
  <si>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</si>
  <si>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</si>
  <si>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</si>
  <si>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</si>
  <si>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</si>
  <si>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</si>
  <si>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</si>
  <si>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</si>
  <si>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</si>
  <si>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</si>
  <si>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</si>
  <si>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</si>
  <si>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</si>
  <si>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</si>
  <si>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</si>
  <si>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</si>
  <si>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</si>
  <si>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</si>
  <si>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</si>
  <si>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</si>
  <si>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</si>
  <si>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</si>
  <si>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</si>
  <si>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</si>
  <si>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</si>
  <si>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</si>
  <si>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</si>
  <si>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</si>
  <si>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</si>
  <si>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</si>
  <si>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</si>
  <si>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</si>
  <si>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</si>
  <si>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</si>
  <si>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</si>
  <si>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</si>
  <si>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</si>
  <si>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</si>
  <si>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</si>
  <si>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</si>
  <si>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</si>
  <si>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</si>
  <si>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</si>
  <si>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</si>
  <si>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</si>
  <si>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</si>
  <si>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</si>
  <si>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</si>
  <si>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</si>
  <si>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</si>
  <si>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</si>
  <si>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</si>
  <si>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</si>
  <si>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</si>
  <si>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</si>
  <si>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</si>
  <si>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</si>
  <si>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</si>
  <si>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</si>
  <si>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</si>
  <si>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</si>
  <si>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</si>
  <si>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</si>
  <si>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</si>
  <si>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</si>
  <si>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</si>
  <si>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</si>
  <si>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</si>
  <si>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</si>
  <si>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</si>
  <si>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</si>
  <si>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</si>
  <si>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</si>
  <si>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</si>
  <si>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</si>
  <si>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</si>
  <si>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</si>
  <si>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</si>
  <si>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</si>
  <si>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</si>
  <si>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</si>
  <si>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</si>
  <si>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</si>
  <si>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</si>
  <si>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</si>
  <si>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</si>
  <si>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</si>
  <si>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</si>
  <si>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</si>
  <si>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</si>
  <si>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</si>
  <si>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</si>
  <si>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</si>
  <si>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</si>
  <si>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</si>
  <si>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</si>
  <si>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</si>
  <si>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</si>
  <si>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</si>
  <si>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</si>
  <si>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</si>
  <si>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</si>
  <si>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</si>
  <si>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</si>
  <si>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</si>
  <si>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</si>
  <si>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</si>
  <si>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</si>
  <si>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</si>
  <si>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</si>
  <si>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</si>
  <si>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</si>
  <si>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</si>
  <si>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</si>
  <si>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</si>
  <si>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</si>
  <si>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</si>
  <si>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</si>
  <si>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</si>
  <si>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</si>
  <si>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</si>
  <si>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</si>
  <si>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</si>
  <si>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</si>
  <si>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</si>
  <si>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</si>
  <si>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</si>
  <si>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</si>
  <si>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</si>
  <si>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</si>
  <si>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</si>
  <si>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</si>
  <si>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</si>
  <si>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</si>
  <si>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</si>
  <si>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</si>
  <si>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</si>
  <si>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</si>
  <si>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</si>
  <si>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</si>
  <si>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</si>
  <si>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</si>
  <si>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</si>
  <si>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</si>
  <si>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</si>
  <si>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</si>
  <si>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</si>
  <si>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</si>
  <si>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</si>
  <si>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</si>
  <si>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</si>
  <si>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</si>
  <si>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</si>
  <si>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</si>
  <si>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</si>
  <si>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</si>
  <si>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</si>
  <si>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</si>
  <si>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</si>
  <si>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</si>
  <si>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</si>
  <si>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</si>
  <si>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</si>
  <si>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</si>
  <si>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</si>
  <si>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</si>
  <si>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</si>
  <si>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</si>
  <si>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</si>
  <si>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</si>
  <si>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</si>
  <si>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</si>
  <si>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</si>
  <si>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</si>
  <si>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</si>
  <si>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</si>
  <si>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</si>
  <si>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</si>
  <si>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</si>
  <si>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</si>
  <si>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</si>
  <si>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</si>
  <si>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</si>
  <si>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</si>
  <si>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</si>
  <si>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</si>
  <si>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</si>
  <si>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</si>
  <si>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</si>
  <si>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</si>
  <si>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</si>
  <si>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</si>
  <si>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</si>
  <si>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</si>
  <si>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</si>
  <si>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</si>
  <si>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</si>
  <si>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</si>
  <si>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</si>
  <si>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</si>
  <si>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</si>
  <si>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</si>
  <si>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</si>
  <si>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</si>
  <si>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</si>
  <si>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</si>
  <si>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</si>
  <si>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</si>
  <si>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</si>
  <si>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</si>
  <si>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</si>
  <si>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</si>
  <si>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</si>
  <si>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</si>
  <si>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</si>
  <si>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</si>
  <si>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</si>
  <si>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</si>
  <si>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</si>
  <si>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</si>
  <si>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</si>
  <si>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</si>
  <si>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</si>
  <si>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</si>
  <si>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</si>
  <si>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</si>
  <si>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</si>
  <si>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</si>
  <si>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</si>
  <si>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</si>
  <si>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</si>
  <si>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</si>
  <si>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</si>
  <si>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</si>
  <si>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</si>
  <si>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</si>
  <si>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</si>
  <si>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</si>
  <si>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</si>
  <si>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</si>
  <si>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</si>
  <si>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</si>
  <si>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</si>
  <si>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</si>
  <si>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</si>
  <si>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</si>
  <si>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</si>
  <si>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</si>
  <si>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</si>
  <si>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</si>
  <si>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</si>
  <si>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</si>
  <si>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</si>
  <si>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</si>
  <si>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</si>
  <si>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</si>
  <si>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</si>
  <si>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</si>
  <si>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</si>
  <si>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</si>
  <si>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</si>
  <si>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</si>
  <si>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</si>
  <si>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</si>
  <si>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</si>
  <si>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</si>
  <si>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</si>
  <si>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</si>
  <si>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</si>
  <si>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</si>
  <si>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</si>
  <si>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</si>
  <si>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</si>
  <si>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</si>
  <si>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</si>
  <si>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</si>
  <si>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</si>
  <si>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</si>
  <si>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</si>
  <si>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</si>
  <si>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</si>
  <si>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</si>
  <si>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</si>
  <si>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</si>
  <si>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</si>
  <si>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</si>
  <si>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</si>
  <si>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</si>
  <si>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</si>
  <si>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</si>
  <si>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</si>
  <si>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</si>
  <si>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</si>
  <si>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</si>
  <si>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</si>
  <si>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</si>
  <si>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</si>
  <si>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</si>
  <si>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</si>
  <si>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</si>
  <si>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</si>
  <si>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</si>
  <si>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</si>
  <si>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</si>
  <si>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</si>
  <si>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</si>
  <si>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</si>
  <si>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</si>
  <si>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</si>
  <si>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</si>
  <si>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</si>
  <si>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</si>
  <si>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</si>
  <si>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</si>
  <si>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</si>
  <si>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</si>
  <si>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</si>
  <si>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</si>
  <si>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</si>
  <si>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</si>
  <si>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</si>
  <si>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</si>
  <si>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</si>
  <si>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</si>
  <si>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</si>
  <si>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</si>
  <si>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</si>
  <si>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</si>
  <si>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</si>
  <si>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</si>
  <si>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</si>
  <si>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</si>
  <si>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</si>
  <si>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</si>
  <si>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</si>
  <si>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</si>
  <si>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</si>
  <si>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</si>
  <si>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</si>
  <si>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Zeshan </t>
  </si>
  <si>
    <t>786 Store</t>
  </si>
  <si>
    <t xml:space="preserve">Sharif Mart </t>
  </si>
  <si>
    <t>Kashmir Baker</t>
  </si>
  <si>
    <t>Qadri Store</t>
  </si>
  <si>
    <t>Nishat Store</t>
  </si>
  <si>
    <t>Rana store</t>
  </si>
  <si>
    <t>Bilal Store</t>
  </si>
  <si>
    <t xml:space="preserve">D Mart </t>
  </si>
  <si>
    <t xml:space="preserve">Address: Bankers Society </t>
  </si>
  <si>
    <t>Address: Nishat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</si>
</sst>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786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Sharif Mart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Kashmir Baker</v>
      </c>
      <c r="T5" s="301">
        <f>+'3'!P35</f>
        <v>18291.646470508473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Qadri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419.70000000000005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3630.4049999999997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22.118126694915251</v>
      </c>
      <c r="P7" s="310">
        <f>M7+N7+O7</f>
        <v>4445.7434656779651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Nishat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Rana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Bilal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245</v>
      </c>
      <c r="I10" s="236">
        <f t="shared" si="0"/>
        <v>17796.8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1830.528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622.88800000000003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15343.383999999998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3363.5593220338983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93.534716610169497</v>
      </c>
      <c r="P10" s="311">
        <f t="shared" si="2"/>
        <v>18800.478038644069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3">
        <v>8</v>
      </c>
      <c r="S10" s="300" t="str">
        <f>+'8'!A6:A6</f>
        <v xml:space="preserve">D Mart </v>
      </c>
      <c r="T10" s="301">
        <f>+'8'!P35</f>
        <v>15902.042273771185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110</v>
      </c>
      <c r="I11" s="236">
        <f t="shared" si="0"/>
        <v>7990.4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784.51199999999994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279.66400000000004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6926.2240000000002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1510.1694915254238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42.181967457627117</v>
      </c>
      <c r="P11" s="311">
        <f t="shared" si="2"/>
        <v>8478.5754589830522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125</v>
      </c>
      <c r="I12" s="236">
        <f t="shared" si="0"/>
        <v>9080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871.68000000000006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317.80000000000007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7890.52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1716.1016949152545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48.033108474576267</v>
      </c>
      <c r="P12" s="311">
        <f t="shared" si="2"/>
        <v>9654.6548033898307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15</v>
      </c>
      <c r="H16" s="113">
        <f t="shared" ref="H16:M16" si="3">SUM(H7:H15)</f>
        <v>600</v>
      </c>
      <c r="I16" s="114">
        <f t="shared" si="3"/>
        <v>41162.699999999997</v>
      </c>
      <c r="J16" s="274">
        <f>SUM(J7:J15)</f>
        <v>4116.2700000000004</v>
      </c>
      <c r="K16" s="275">
        <f t="shared" si="3"/>
        <v>1440.6945000000001</v>
      </c>
      <c r="L16" s="276">
        <f t="shared" si="3"/>
        <v>0</v>
      </c>
      <c r="M16" s="232">
        <f t="shared" si="3"/>
        <v>35605.735499999995</v>
      </c>
      <c r="N16" s="233">
        <f>SUM(N7:N15)</f>
        <v>7779.6610169491523</v>
      </c>
      <c r="O16" s="101">
        <f>SUM(O7:O15)</f>
        <v>216.92698258474576</v>
      </c>
      <c r="P16" s="113">
        <f>SUM(P7:P15)</f>
        <v>43602.323499533901</v>
      </c>
      <c r="Q16" s="128">
        <f>SUM(Q7:Q15)</f>
        <v>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41162.699999999997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4116.2700000000004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1440.6945000000001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35605.735499999995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7779.6610169491523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43385.396516949149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216.92698258474576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43602.323499533893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43602.323499533901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3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0</v>
      </c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30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B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160</v>
      </c>
      <c r="I19" s="236">
        <f t="shared" si="0"/>
        <v>11622.4</v>
      </c>
      <c r="J19" s="272">
        <f t="shared" si="1"/>
        <v>1278.4639999999999</v>
      </c>
      <c r="K19" s="128">
        <f t="shared" si="1"/>
        <v>406.78400000000005</v>
      </c>
      <c r="L19" s="119">
        <f t="shared" si="1"/>
        <v>0</v>
      </c>
      <c r="M19" s="230">
        <f t="shared" si="2"/>
        <v>9937.152</v>
      </c>
      <c r="N19" s="277">
        <f t="shared" si="3"/>
        <v>2196.6101694915255</v>
      </c>
      <c r="O19" s="239">
        <f t="shared" si="4"/>
        <v>60.668810847457628</v>
      </c>
      <c r="P19" s="119">
        <f t="shared" si="5"/>
        <v>12194.430980338982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319.61599999999999</v>
      </c>
      <c r="K20" s="128">
        <f t="shared" si="1"/>
        <v>101.69600000000001</v>
      </c>
      <c r="L20" s="119">
        <f t="shared" si="1"/>
        <v>0</v>
      </c>
      <c r="M20" s="230">
        <f t="shared" si="2"/>
        <v>2484.288</v>
      </c>
      <c r="N20" s="277">
        <f t="shared" si="3"/>
        <v>549.15254237288138</v>
      </c>
      <c r="O20" s="239">
        <f t="shared" si="4"/>
        <v>15.167202711864407</v>
      </c>
      <c r="P20" s="119">
        <f t="shared" si="5"/>
        <v>3048.6077450847456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1917.6959999999999</v>
      </c>
      <c r="K25" s="275">
        <f t="shared" si="7"/>
        <v>610.17600000000004</v>
      </c>
      <c r="L25" s="276">
        <f t="shared" si="7"/>
        <v>0</v>
      </c>
      <c r="M25" s="232">
        <f t="shared" si="7"/>
        <v>14905.728000000001</v>
      </c>
      <c r="N25" s="233">
        <f>SUM(N16:N24)</f>
        <v>3294.9152542372881</v>
      </c>
      <c r="O25" s="101">
        <f>SUM(O16:O24)</f>
        <v>91.003216271186446</v>
      </c>
      <c r="P25" s="234">
        <f>SUM(P16:P24)</f>
        <v>18291.646470508473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17433.599999999999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1917.6959999999999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610.17600000000004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14905.727999999999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18200.643254237286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91.003216271186432</v>
      </c>
    </row>
    <row r="35" spans="2:16" ht="15.75" customHeight="1" thickBot="1" x14ac:dyDescent="0.4">
      <c r="N35" s="345" t="s">
        <v>88</v>
      </c>
      <c r="O35" s="346"/>
      <c r="P35" s="297">
        <f>+P33+P34</f>
        <v>18291.646470508473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118">
        <f>M16+N16+O16</f>
        <v>4445.7434656779651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1501.23</v>
      </c>
      <c r="K25" s="275">
        <f t="shared" si="7"/>
        <v>525.43050000000005</v>
      </c>
      <c r="L25" s="276">
        <f t="shared" si="7"/>
        <v>0</v>
      </c>
      <c r="M25" s="232">
        <f t="shared" si="7"/>
        <v>12985.639500000001</v>
      </c>
      <c r="N25" s="233">
        <f>SUM(N16:N24)</f>
        <v>2837.2881355932195</v>
      </c>
      <c r="O25" s="101">
        <f>SUM(O16:O24)</f>
        <v>79.1146381779661</v>
      </c>
      <c r="P25" s="234">
        <f>SUM(P16:P24)</f>
        <v>15902.042273771183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1501.23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525.43050000000005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12985.639500000001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15822.92763559322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45" t="s">
        <v>88</v>
      </c>
      <c r="O35" s="346"/>
      <c r="P35" s="297">
        <f>+P33+P34</f>
        <v>15902.042273771185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 xml:space="preserve">Zeshan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2026-10-28T08:01:55Z</dcterms:modified>
</cp:coreProperties>
</file>