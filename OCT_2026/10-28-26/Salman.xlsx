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FA5684-8087-4F78-B301-16C850CCB01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6" l="1"/>
  <c r="M16" i="64"/>
  <c r="J25" i="61"/>
  <c r="P29" i="61" s="1"/>
  <c r="M16" i="60"/>
  <c r="M16" i="58"/>
  <c r="M20" i="53"/>
  <c r="O20" i="53" s="1"/>
  <c r="P20" i="53" s="1"/>
  <c r="M21" i="52"/>
  <c r="O21" i="52" s="1"/>
  <c r="P21" i="52" s="1"/>
  <c r="K12" i="62"/>
  <c r="M21" i="51"/>
  <c r="M17" i="44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<sst xmlns="http://schemas.openxmlformats.org/spreadsheetml/2006/main" count="3948" uniqueCount="541">
  <si>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</si>
  <si>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</si>
  <si>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</si>
  <si>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</si>
  <si>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</si>
  <si>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</si>
  <si>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</si>
  <si>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</si>
  <si>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</si>
  <si>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</si>
  <si>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</si>
  <si>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</si>
  <si>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</si>
  <si>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</si>
  <si>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</si>
  <si>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</si>
  <si>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</si>
  <si>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</si>
  <si>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</si>
  <si>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</si>
  <si>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</si>
  <si>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</si>
  <si>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</si>
  <si>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</si>
  <si>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</si>
  <si>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</si>
  <si>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</si>
  <si>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</si>
  <si>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</si>
  <si>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</si>
  <si>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</si>
  <si>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</si>
  <si>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</si>
  <si>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</si>
  <si>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</si>
  <si>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</si>
  <si>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</si>
  <si>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</si>
  <si>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</si>
  <si>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</si>
  <si>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</si>
  <si>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</si>
  <si>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</si>
  <si>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</si>
  <si>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</si>
  <si>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</si>
  <si>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</si>
  <si>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</si>
  <si>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</si>
  <si>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</si>
  <si>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</si>
  <si>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</si>
  <si>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</si>
  <si>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</si>
  <si>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</si>
  <si>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</si>
  <si>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</si>
  <si>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</si>
  <si>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</si>
  <si>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</si>
  <si>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</si>
  <si>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</si>
  <si>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</si>
  <si>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</si>
  <si>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</si>
  <si>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</si>
  <si>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</si>
  <si>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</si>
  <si>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</si>
  <si>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</si>
  <si>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</si>
  <si>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</si>
  <si>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</si>
  <si>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</si>
  <si>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</si>
  <si>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</si>
  <si>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</si>
  <si>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</si>
  <si>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</si>
  <si>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</si>
  <si>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</si>
  <si>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</si>
  <si>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</si>
  <si>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</si>
  <si>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</si>
  <si>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</si>
  <si>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</si>
  <si>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</si>
  <si>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</si>
  <si>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</si>
  <si>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</si>
  <si>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</si>
  <si>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</si>
  <si>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</si>
  <si>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</si>
  <si>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</si>
  <si>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</si>
  <si>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</si>
  <si>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</si>
  <si>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</si>
  <si>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</si>
  <si>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</si>
  <si>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</si>
  <si>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</si>
  <si>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</si>
  <si>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</si>
  <si>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</si>
  <si>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</si>
  <si>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</si>
  <si>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</si>
  <si>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</si>
  <si>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</si>
  <si>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</si>
  <si>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</si>
  <si>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</si>
  <si>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</si>
  <si>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</si>
  <si>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</si>
  <si>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</si>
  <si>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</si>
  <si>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</si>
  <si>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</si>
  <si>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</si>
  <si>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</si>
  <si>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</si>
  <si>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</si>
  <si>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</si>
  <si>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</si>
  <si>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</si>
  <si>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</si>
  <si>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</si>
  <si>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</si>
  <si>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</si>
  <si>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</si>
  <si>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</si>
  <si>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</si>
  <si>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</si>
  <si>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</si>
  <si>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</si>
  <si>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</si>
  <si>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</si>
  <si>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</si>
  <si>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</si>
  <si>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</si>
  <si>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</si>
  <si>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</si>
  <si>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</si>
  <si>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</si>
  <si>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</si>
  <si>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</si>
  <si>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</si>
  <si>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</si>
  <si>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</si>
  <si>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</si>
  <si>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</si>
  <si>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</si>
  <si>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</si>
  <si>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</si>
  <si>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</si>
  <si>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</si>
  <si>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</si>
  <si>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</si>
  <si>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</si>
  <si>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</si>
  <si>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</si>
  <si>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</si>
  <si>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</si>
  <si>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</si>
  <si>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</si>
  <si>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</si>
  <si>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</si>
  <si>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</si>
  <si>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</si>
  <si>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</si>
  <si>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</si>
  <si>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</si>
  <si>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</si>
  <si>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</si>
  <si>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</si>
  <si>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</si>
  <si>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</si>
  <si>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</si>
  <si>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</si>
  <si>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</si>
  <si>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</si>
  <si>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</si>
  <si>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</si>
  <si>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</si>
  <si>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</si>
  <si>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</si>
  <si>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</si>
  <si>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</si>
  <si>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</si>
  <si>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</si>
  <si>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</si>
  <si>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</si>
  <si>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</si>
  <si>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</si>
  <si>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</si>
  <si>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</si>
  <si>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</si>
  <si>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</si>
  <si>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</si>
  <si>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</si>
  <si>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</si>
  <si>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</si>
  <si>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</si>
  <si>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</si>
  <si>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</si>
  <si>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</si>
  <si>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</si>
  <si>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</si>
  <si>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</si>
  <si>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</si>
  <si>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</si>
  <si>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</si>
  <si>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</si>
  <si>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</si>
  <si>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</si>
  <si>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</si>
  <si>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</si>
  <si>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</si>
  <si>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</si>
  <si>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</si>
  <si>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</si>
  <si>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</si>
  <si>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</si>
  <si>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</si>
  <si>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</si>
  <si>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</si>
  <si>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</si>
  <si>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</si>
  <si>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</si>
  <si>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</si>
  <si>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</si>
  <si>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</si>
  <si>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</si>
  <si>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</si>
  <si>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</si>
  <si>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</si>
  <si>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</si>
  <si>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</si>
  <si>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</si>
  <si>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</si>
  <si>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</si>
  <si>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</si>
  <si>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</si>
  <si>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</si>
  <si>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</si>
  <si>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</si>
  <si>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</si>
  <si>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</si>
  <si>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</si>
  <si>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</si>
  <si>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</si>
  <si>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</si>
  <si>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</si>
  <si>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</si>
  <si>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</si>
  <si>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</si>
  <si>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</si>
  <si>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</si>
  <si>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</si>
  <si>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</si>
  <si>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</si>
  <si>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</si>
  <si>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</si>
  <si>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</si>
  <si>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</si>
  <si>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</si>
  <si>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</si>
  <si>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</si>
  <si>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</si>
  <si>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</si>
  <si>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</si>
  <si>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</si>
  <si>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</si>
  <si>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</si>
  <si>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</si>
  <si>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</si>
  <si>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</si>
  <si>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</si>
  <si>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</si>
  <si>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</si>
  <si>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</si>
  <si>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</si>
  <si>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</si>
  <si>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</si>
  <si>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</si>
  <si>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</si>
  <si>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</si>
  <si>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</si>
  <si>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</si>
  <si>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</si>
  <si>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</si>
  <si>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</si>
  <si>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</si>
  <si>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</si>
  <si>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</si>
  <si>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</si>
  <si>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</si>
  <si>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</si>
  <si>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</si>
  <si>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</si>
  <si>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</si>
  <si>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</si>
  <si>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</si>
  <si>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</si>
  <si>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</si>
  <si>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</si>
  <si>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</si>
  <si>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</si>
  <si>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</si>
  <si>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</si>
  <si>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</si>
  <si>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</si>
  <si>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</si>
  <si>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</si>
  <si>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</si>
  <si>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</si>
  <si>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</si>
  <si>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</si>
  <si>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</si>
  <si>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</si>
  <si>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</si>
  <si>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</si>
  <si>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</si>
  <si>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</si>
  <si>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</si>
  <si>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</si>
  <si>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</si>
  <si>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</si>
  <si>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</si>
  <si>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</si>
  <si>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</si>
  <si>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</si>
  <si>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</si>
  <si>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</si>
  <si>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</si>
  <si>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</si>
  <si>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</si>
  <si>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</si>
  <si>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</si>
  <si>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</si>
  <si>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</si>
  <si>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</si>
  <si>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</si>
  <si>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</si>
  <si>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</si>
  <si>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</si>
  <si>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</si>
  <si>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</si>
  <si>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</si>
  <si>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</si>
  <si>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</si>
  <si>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</si>
  <si>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</si>
  <si>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</si>
  <si>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</si>
  <si>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</si>
  <si>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</si>
  <si>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</si>
  <si>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</si>
  <si>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</si>
  <si>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</si>
  <si>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</si>
  <si>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</si>
  <si>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</si>
  <si>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</si>
  <si>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</si>
  <si>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</si>
  <si>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</si>
  <si>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</si>
  <si>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</si>
  <si>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</si>
  <si>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</si>
  <si>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</si>
  <si>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</si>
  <si>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</si>
  <si>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</si>
  <si>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</si>
  <si>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</si>
  <si>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</si>
  <si>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</si>
  <si>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</si>
  <si>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</si>
  <si>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</si>
  <si>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</si>
  <si>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</si>
  <si>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</si>
  <si>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</si>
  <si>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</si>
  <si>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</si>
  <si>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</si>
  <si>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</si>
  <si>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</si>
  <si>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</si>
  <si>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</si>
  <si>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</si>
  <si>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</si>
  <si>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</si>
  <si>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</si>
  <si>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</si>
  <si>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</si>
  <si>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</si>
  <si>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</si>
  <si>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</si>
  <si>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</si>
  <si>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</si>
  <si>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</si>
  <si>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</si>
  <si>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</si>
  <si>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</si>
  <si>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</si>
  <si>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</si>
  <si>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</si>
  <si>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</si>
  <si>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</si>
  <si>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</si>
  <si>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</si>
  <si>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</si>
  <si>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</si>
  <si>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</si>
  <si>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</si>
  <si>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</si>
  <si>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</si>
  <si>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</si>
  <si>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</si>
  <si>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</si>
  <si>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</si>
  <si>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</si>
  <si>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</si>
  <si>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</si>
  <si>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</si>
  <si>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</si>
  <si>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</si>
  <si>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</si>
  <si>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</si>
  <si>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</si>
  <si>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</si>
  <si>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</si>
  <si>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</si>
  <si>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</si>
  <si>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</si>
  <si>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</si>
  <si>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</si>
  <si>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</si>
  <si>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</si>
  <si>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</si>
  <si>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</si>
  <si>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</si>
  <si>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</si>
  <si>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</si>
  <si>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</si>
  <si>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</si>
  <si>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</si>
  <si>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</si>
  <si>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</si>
  <si>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</si>
  <si>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</si>
  <si>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</si>
  <si>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</si>
  <si>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</si>
  <si>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</si>
  <si>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</si>
  <si>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</si>
  <si>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</si>
  <si>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</si>
  <si>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</si>
  <si>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</si>
  <si>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</si>
  <si>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</si>
  <si>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</si>
  <si>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</si>
  <si>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</si>
  <si>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</si>
  <si>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</si>
  <si>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</si>
  <si>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</si>
  <si>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</si>
  <si>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</si>
  <si>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</si>
  <si>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</si>
  <si>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</si>
  <si>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</si>
  <si>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</si>
  <si>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</si>
  <si>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</si>
  <si>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</si>
  <si>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</si>
  <si>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</si>
  <si>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</si>
  <si>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</si>
  <si>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</si>
  <si>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</si>
  <si>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</si>
  <si>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</si>
  <si>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</si>
  <si>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</si>
  <si>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</si>
  <si>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</si>
  <si>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</si>
  <si>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</si>
  <si>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</si>
  <si>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</si>
  <si>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</si>
  <si>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</si>
  <si>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</si>
  <si>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</si>
  <si>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</si>
  <si>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</si>
  <si>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</si>
  <si>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</si>
  <si>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</si>
  <si>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</si>
  <si>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Adil Sweets </t>
  </si>
  <si>
    <t xml:space="preserve">Address: Tajbagh </t>
  </si>
  <si>
    <t xml:space="preserve">Ali Bakers </t>
  </si>
  <si>
    <t>Butt Store</t>
  </si>
  <si>
    <t xml:space="preserve">Gulam Rasool </t>
  </si>
  <si>
    <t xml:space="preserve">Adil Bakers </t>
  </si>
  <si>
    <t>Shahbaz Store</t>
  </si>
  <si>
    <t>Haji Store</t>
  </si>
  <si>
    <t>Wasif Store</t>
  </si>
  <si>
    <t>Shamas Store</t>
  </si>
  <si>
    <t>Qazi Store</t>
  </si>
  <si>
    <t>Lali GS</t>
  </si>
  <si>
    <t>Kamran Store</t>
  </si>
  <si>
    <t>Altaf GS</t>
  </si>
  <si>
    <t>Shah G Store</t>
  </si>
  <si>
    <t>Sultani Store</t>
  </si>
  <si>
    <t>Zafar Store</t>
  </si>
  <si>
    <t>Maki Store</t>
  </si>
  <si>
    <t>Kashmir Store</t>
  </si>
  <si>
    <t>Faisa Store</t>
  </si>
  <si>
    <t>Sajjad Store (Sample)</t>
  </si>
  <si>
    <t xml:space="preserve">Ah Mart </t>
  </si>
  <si>
    <t xml:space="preserve">Data Ali Hajweri </t>
  </si>
  <si>
    <t>Al Makkah Store</t>
  </si>
  <si>
    <t>Kashif Super Store</t>
  </si>
  <si>
    <t xml:space="preserve">AG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</si>
</sst>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1" workbookViewId="0">
      <selection activeCell="J31" sqref="J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Adil Sweets </v>
      </c>
      <c r="T3" s="301">
        <f>+'1'!P35</f>
        <v>5364.6921224237294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Ali Bakers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Butt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Gulam Rasool 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839.40000000000009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9285.8624999999993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1983.0508474576259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56.344566737288133</v>
      </c>
      <c r="P7" s="310">
        <f>M7+N7+O7</f>
        <v>11325.257914194914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Adil Bakers </v>
      </c>
      <c r="T7" s="301">
        <f>+'5'!P35</f>
        <v>339.75773742584738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150</v>
      </c>
      <c r="I8" s="236">
        <f t="shared" ref="I8:I14" si="0">(G8*D8)*F8+H8*F8</f>
        <v>7869.375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629.54999999999995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275.42812499999997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6964.3968750000004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1487.2881355932195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42.258425052966096</v>
      </c>
      <c r="P8" s="311">
        <f t="shared" ref="P8:P15" si="2">M8+N8+O8</f>
        <v>8493.9434356461861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Shahbaz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Haji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Wasif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Shamas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140</v>
      </c>
      <c r="I12" s="236">
        <f t="shared" si="0"/>
        <v>10169.6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813.56799999999998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355.93600000000004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9000.0960000000014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1922.0338983050847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54.610649491525422</v>
      </c>
      <c r="P12" s="311">
        <f t="shared" si="2"/>
        <v>10976.740547796611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Qazi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</v>
      </c>
      <c r="I13" s="236">
        <f t="shared" si="0"/>
        <v>784.60000000000014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39.230000000000011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27.461000000000006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40.014600000000002</v>
      </c>
      <c r="M13" s="230">
        <f t="shared" si="1"/>
        <v>677.89440000000013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152.54237288135585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4.1521838644067799</v>
      </c>
      <c r="P13" s="311">
        <f t="shared" si="2"/>
        <v>834.58895674576274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Lali GS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Kamran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Altaf GS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16</v>
      </c>
      <c r="H16" s="113">
        <f t="shared" ref="H16:M16" si="3">SUM(H7:H15)</f>
        <v>640</v>
      </c>
      <c r="I16" s="114">
        <f t="shared" si="3"/>
        <v>38759.274999999994</v>
      </c>
      <c r="J16" s="274">
        <f>SUM(J7:J15)</f>
        <v>3077.2040000000002</v>
      </c>
      <c r="K16" s="275">
        <f t="shared" si="3"/>
        <v>1356.574625</v>
      </c>
      <c r="L16" s="276">
        <f t="shared" si="3"/>
        <v>40.014600000000002</v>
      </c>
      <c r="M16" s="232">
        <f t="shared" si="3"/>
        <v>34285.481775</v>
      </c>
      <c r="N16" s="233">
        <f>SUM(N7:N15)</f>
        <v>7329.6610169491514</v>
      </c>
      <c r="O16" s="101">
        <f>SUM(O7:O15)</f>
        <v>208.07571395974577</v>
      </c>
      <c r="P16" s="113">
        <f>SUM(P7:P15)</f>
        <v>41823.218505908895</v>
      </c>
      <c r="Q16" s="128">
        <f>SUM(Q7:Q15)</f>
        <v>0</v>
      </c>
      <c r="R16" s="313">
        <v>14</v>
      </c>
      <c r="S16" s="315" t="str">
        <f>+'14'!A6:A6</f>
        <v>Shah G Store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Sultani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Zafar Store</v>
      </c>
      <c r="T18" s="301">
        <f>+'16'!P35</f>
        <v>566.26289570974575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38759.274999999994</v>
      </c>
      <c r="R19" s="299">
        <v>17</v>
      </c>
      <c r="S19" s="300" t="str">
        <f>+'17'!A6:A6</f>
        <v>Maki Store</v>
      </c>
      <c r="T19" s="301">
        <f>+'17'!P35</f>
        <v>566.26289570974575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3077.2040000000002</v>
      </c>
      <c r="R20" s="299">
        <v>18</v>
      </c>
      <c r="S20" s="300" t="str">
        <f>+'18'!A6:A6</f>
        <v>Kashmir Store</v>
      </c>
      <c r="T20" s="301">
        <f>+'18'!P35</f>
        <v>339.75773742584738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1396.5892249999999</v>
      </c>
      <c r="R21" s="299">
        <v>19</v>
      </c>
      <c r="S21" s="300" t="str">
        <f>+'19'!A6:A6</f>
        <v>Faisa Store</v>
      </c>
      <c r="T21" s="301">
        <f>+'19'!P35</f>
        <v>339.75773742584738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34285.481774999993</v>
      </c>
      <c r="R22" s="299">
        <v>20</v>
      </c>
      <c r="S22" s="300" t="str">
        <f>+'20'!A6:A6</f>
        <v>Sajjad Store (Sample)</v>
      </c>
      <c r="T22" s="301">
        <f>+'20'!P35</f>
        <v>313.62115850847459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7329.6610169491514</v>
      </c>
      <c r="R23" s="299">
        <v>21</v>
      </c>
      <c r="S23" s="300" t="str">
        <f>+'21'!A6:A6</f>
        <v xml:space="preserve">Ah Mart </v>
      </c>
      <c r="T23" s="301">
        <f>+'21'!P35</f>
        <v>8537.4747530084751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41615.142791949147</v>
      </c>
      <c r="R24" s="299">
        <v>22</v>
      </c>
      <c r="S24" s="300" t="str">
        <f>+'22'!A6:A6</f>
        <v xml:space="preserve">Data Ali Hajweri </v>
      </c>
      <c r="T24" s="301">
        <f>+'22'!P35</f>
        <v>2265.051582838983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208.07571395974577</v>
      </c>
      <c r="R25" s="299">
        <v>23</v>
      </c>
      <c r="S25" s="300" t="str">
        <f>+'23'!A6:A6</f>
        <v>Al Makkah Store</v>
      </c>
      <c r="T25" s="301">
        <f>+'23'!P35</f>
        <v>1568.1057925423729</v>
      </c>
    </row>
    <row r="26" spans="1:20" ht="21.75" customHeight="1" thickBot="1" x14ac:dyDescent="0.4">
      <c r="N26" s="374" t="s">
        <v>88</v>
      </c>
      <c r="O26" s="375"/>
      <c r="P26" s="297">
        <f>+P24+P25</f>
        <v>41823.218505908895</v>
      </c>
      <c r="R26" s="299">
        <v>24</v>
      </c>
      <c r="S26" s="300" t="str">
        <f>+'24'!A6:A6</f>
        <v>Kashif Super Store</v>
      </c>
      <c r="T26" s="301">
        <f>+'24'!P35</f>
        <v>5401.2631679237293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 xml:space="preserve">AG Mart </v>
      </c>
      <c r="T27" s="301">
        <f>+'25'!P35</f>
        <v>8537.4747530084751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41823.21850590891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4981.6000000000004</v>
      </c>
      <c r="J25" s="274">
        <f>SUM(J16:J24)</f>
        <v>374.99</v>
      </c>
      <c r="K25" s="275">
        <f t="shared" si="10"/>
        <v>174.35600000000002</v>
      </c>
      <c r="L25" s="276">
        <f t="shared" si="10"/>
        <v>40.014600000000002</v>
      </c>
      <c r="M25" s="232">
        <f t="shared" si="10"/>
        <v>4392.2394000000004</v>
      </c>
      <c r="N25" s="233">
        <f>SUM(N16:N24)</f>
        <v>945.76271186440636</v>
      </c>
      <c r="O25" s="101">
        <f>SUM(O16:O24)</f>
        <v>26.690010559322033</v>
      </c>
      <c r="P25" s="234">
        <f>SUM(P16:P24)</f>
        <v>5364.6921224237285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4981.6000000000004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374.99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214.37060000000002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4392.2394000000004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5338.0021118644072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26.690010559322037</v>
      </c>
    </row>
    <row r="35" spans="2:16" ht="15.75" customHeight="1" thickBot="1" x14ac:dyDescent="0.4">
      <c r="N35" s="374" t="s">
        <v>88</v>
      </c>
      <c r="O35" s="375"/>
      <c r="P35" s="297">
        <f>+P33+P34</f>
        <v>5364.6921224237294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42.474998771186435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2026-10-27T11:15:38Z</dcterms:modified>
</cp:coreProperties>
</file>