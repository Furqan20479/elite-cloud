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4CC1D93-BA7A-40EB-97D7-99F9C4D6546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<sst xmlns="http://schemas.openxmlformats.org/spreadsheetml/2006/main" count="3948" uniqueCount="529">
  <si>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</si>
  <si>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</si>
  <si>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</si>
  <si>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</si>
  <si>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</si>
  <si>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</si>
  <si>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</si>
  <si>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</si>
  <si>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</si>
  <si>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</si>
  <si>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</si>
  <si>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</si>
  <si>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</si>
  <si>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</si>
  <si>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</si>
  <si>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</si>
  <si>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</si>
  <si>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</si>
  <si>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</si>
  <si>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</si>
  <si>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</si>
  <si>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</si>
  <si>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</si>
  <si>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</si>
  <si>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</si>
  <si>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</si>
  <si>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</si>
  <si>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</si>
  <si>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</si>
  <si>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</si>
  <si>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</si>
  <si>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</si>
  <si>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</si>
  <si>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</si>
  <si>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</si>
  <si>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</si>
  <si>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</si>
  <si>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</si>
  <si>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</si>
  <si>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</si>
  <si>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</si>
  <si>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</si>
  <si>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</si>
  <si>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</si>
  <si>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</si>
  <si>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</si>
  <si>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</si>
  <si>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</si>
  <si>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</si>
  <si>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</si>
  <si>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</si>
  <si>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</si>
  <si>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</si>
  <si>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</si>
  <si>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</si>
  <si>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</si>
  <si>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</si>
  <si>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</si>
  <si>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</si>
  <si>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</si>
  <si>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</si>
  <si>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</si>
  <si>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</si>
  <si>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</si>
  <si>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</si>
  <si>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</si>
  <si>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</si>
  <si>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</si>
  <si>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</si>
  <si>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</si>
  <si>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</si>
  <si>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</si>
  <si>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</si>
  <si>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</si>
  <si>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</si>
  <si>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</si>
  <si>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</si>
  <si>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</si>
  <si>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</si>
  <si>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</si>
  <si>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</si>
  <si>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</si>
  <si>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</si>
  <si>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</si>
  <si>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</si>
  <si>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</si>
  <si>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</si>
  <si>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</si>
  <si>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</si>
  <si>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</si>
  <si>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</si>
  <si>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</si>
  <si>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</si>
  <si>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</si>
  <si>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</si>
  <si>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</si>
  <si>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</si>
  <si>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</si>
  <si>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</si>
  <si>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</si>
  <si>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</si>
  <si>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</si>
  <si>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</si>
  <si>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</si>
  <si>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</si>
  <si>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</si>
  <si>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</si>
  <si>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</si>
  <si>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</si>
  <si>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</si>
  <si>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</si>
  <si>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</si>
  <si>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</si>
  <si>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</si>
  <si>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</si>
  <si>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</si>
  <si>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</si>
  <si>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</si>
  <si>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</si>
  <si>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</si>
  <si>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</si>
  <si>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</si>
  <si>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</si>
  <si>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</si>
  <si>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</si>
  <si>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</si>
  <si>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</si>
  <si>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</si>
  <si>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</si>
  <si>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</si>
  <si>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</si>
  <si>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</si>
  <si>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</si>
  <si>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</si>
  <si>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</si>
  <si>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</si>
  <si>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</si>
  <si>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</si>
  <si>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</si>
  <si>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</si>
  <si>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</si>
  <si>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</si>
  <si>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</si>
  <si>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</si>
  <si>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</si>
  <si>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</si>
  <si>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</si>
  <si>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</si>
  <si>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</si>
  <si>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</si>
  <si>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</si>
  <si>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</si>
  <si>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</si>
  <si>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</si>
  <si>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</si>
  <si>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</si>
  <si>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</si>
  <si>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</si>
  <si>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</si>
  <si>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</si>
  <si>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</si>
  <si>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</si>
  <si>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</si>
  <si>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</si>
  <si>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</si>
  <si>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</si>
  <si>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</si>
  <si>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</si>
  <si>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</si>
  <si>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</si>
  <si>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</si>
  <si>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</si>
  <si>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</si>
  <si>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</si>
  <si>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</si>
  <si>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</si>
  <si>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</si>
  <si>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</si>
  <si>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</si>
  <si>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</si>
  <si>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</si>
  <si>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</si>
  <si>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</si>
  <si>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</si>
  <si>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</si>
  <si>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</si>
  <si>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</si>
  <si>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</si>
  <si>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</si>
  <si>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</si>
  <si>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</si>
  <si>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</si>
  <si>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</si>
  <si>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</si>
  <si>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</si>
  <si>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</si>
  <si>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</si>
  <si>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</si>
  <si>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</si>
  <si>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</si>
  <si>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</si>
  <si>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</si>
  <si>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</si>
  <si>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</si>
  <si>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</si>
  <si>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</si>
  <si>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</si>
  <si>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</si>
  <si>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</si>
  <si>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</si>
  <si>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</si>
  <si>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</si>
  <si>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</si>
  <si>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</si>
  <si>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</si>
  <si>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</si>
  <si>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</si>
  <si>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</si>
  <si>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</si>
  <si>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</si>
  <si>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</si>
  <si>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</si>
  <si>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</si>
  <si>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</si>
  <si>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</si>
  <si>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</si>
  <si>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</si>
  <si>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</si>
  <si>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</si>
  <si>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</si>
  <si>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</si>
  <si>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</si>
  <si>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</si>
  <si>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</si>
  <si>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</si>
  <si>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</si>
  <si>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</si>
  <si>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</si>
  <si>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</si>
  <si>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</si>
  <si>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</si>
  <si>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</si>
  <si>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</si>
  <si>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</si>
  <si>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</si>
  <si>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</si>
  <si>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</si>
  <si>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</si>
  <si>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</si>
  <si>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</si>
  <si>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</si>
  <si>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</si>
  <si>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</si>
  <si>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</si>
  <si>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</si>
  <si>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</si>
  <si>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</si>
  <si>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</si>
  <si>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</si>
  <si>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</si>
  <si>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</si>
  <si>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</si>
  <si>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</si>
  <si>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</si>
  <si>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</si>
  <si>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</si>
  <si>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</si>
  <si>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</si>
  <si>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</si>
  <si>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</si>
  <si>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</si>
  <si>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</si>
  <si>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</si>
  <si>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</si>
  <si>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</si>
  <si>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</si>
  <si>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</si>
  <si>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</si>
  <si>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</si>
  <si>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</si>
  <si>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</si>
  <si>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</si>
  <si>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</si>
  <si>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</si>
  <si>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</si>
  <si>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</si>
  <si>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</si>
  <si>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</si>
  <si>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</si>
  <si>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</si>
  <si>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</si>
  <si>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</si>
  <si>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</si>
  <si>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</si>
  <si>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</si>
  <si>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</si>
  <si>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</si>
  <si>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</si>
  <si>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</si>
  <si>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</si>
  <si>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</si>
  <si>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</si>
  <si>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</si>
  <si>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</si>
  <si>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</si>
  <si>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</si>
  <si>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</si>
  <si>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</si>
  <si>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</si>
  <si>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</si>
  <si>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</si>
  <si>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</si>
  <si>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</si>
  <si>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</si>
  <si>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</si>
  <si>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</si>
  <si>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</si>
  <si>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</si>
  <si>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</si>
  <si>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</si>
  <si>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</si>
  <si>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</si>
  <si>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</si>
  <si>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</si>
  <si>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</si>
  <si>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</si>
  <si>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</si>
  <si>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</si>
  <si>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</si>
  <si>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</si>
  <si>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</si>
  <si>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</si>
  <si>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</si>
  <si>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</si>
  <si>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</si>
  <si>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</si>
  <si>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</si>
  <si>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</si>
  <si>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</si>
  <si>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</si>
  <si>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</si>
  <si>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</si>
  <si>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</si>
  <si>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</si>
  <si>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</si>
  <si>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</si>
  <si>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</si>
  <si>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</si>
  <si>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</si>
  <si>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</si>
  <si>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</si>
  <si>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</si>
  <si>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</si>
  <si>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</si>
  <si>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</si>
  <si>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</si>
  <si>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</si>
  <si>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</si>
  <si>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</si>
  <si>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</si>
  <si>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</si>
  <si>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</si>
  <si>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</si>
  <si>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</si>
  <si>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</si>
  <si>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</si>
  <si>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</si>
  <si>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</si>
  <si>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</si>
  <si>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</si>
  <si>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</si>
  <si>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</si>
  <si>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</si>
  <si>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</si>
  <si>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</si>
  <si>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</si>
  <si>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</si>
  <si>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</si>
  <si>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</si>
  <si>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</si>
  <si>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</si>
  <si>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</si>
  <si>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</si>
  <si>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</si>
  <si>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</si>
  <si>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</si>
  <si>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</si>
  <si>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</si>
  <si>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</si>
  <si>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</si>
  <si>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</si>
  <si>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</si>
  <si>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</si>
  <si>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</si>
  <si>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</si>
  <si>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</si>
  <si>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</si>
  <si>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</si>
  <si>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</si>
  <si>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</si>
  <si>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</si>
  <si>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</si>
  <si>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</si>
  <si>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</si>
  <si>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</si>
  <si>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</si>
  <si>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</si>
  <si>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</si>
  <si>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</si>
  <si>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</si>
  <si>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</si>
  <si>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</si>
  <si>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</si>
  <si>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</si>
  <si>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</si>
  <si>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</si>
  <si>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</si>
  <si>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</si>
  <si>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</si>
  <si>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</si>
  <si>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</si>
  <si>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</si>
  <si>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</si>
  <si>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</si>
  <si>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</si>
  <si>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</si>
  <si>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</si>
  <si>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</si>
  <si>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</si>
  <si>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</si>
  <si>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</si>
  <si>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</si>
  <si>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</si>
  <si>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</si>
  <si>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</si>
  <si>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</si>
  <si>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</si>
  <si>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</si>
  <si>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</si>
  <si>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</si>
  <si>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</si>
  <si>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</si>
  <si>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</si>
  <si>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</si>
  <si>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</si>
  <si>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</si>
  <si>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</si>
  <si>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</si>
  <si>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</si>
  <si>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</si>
  <si>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</si>
  <si>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</si>
  <si>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</si>
  <si>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</si>
  <si>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</si>
  <si>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</si>
  <si>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</si>
  <si>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</si>
  <si>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</si>
  <si>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</si>
  <si>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</si>
  <si>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</si>
  <si>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</si>
  <si>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</si>
  <si>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</si>
  <si>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</si>
  <si>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</si>
  <si>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</si>
  <si>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</si>
  <si>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</si>
  <si>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</si>
  <si>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</si>
  <si>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</si>
  <si>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</si>
  <si>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</si>
  <si>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</si>
  <si>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</si>
  <si>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</si>
  <si>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</si>
  <si>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</si>
  <si>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</si>
  <si>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</si>
  <si>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</si>
  <si>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</si>
  <si>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</si>
  <si>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</si>
  <si>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</si>
  <si>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</si>
  <si>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</si>
  <si>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</si>
  <si>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</si>
  <si>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</si>
  <si>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</si>
  <si>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</si>
  <si>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</si>
  <si>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</si>
  <si>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</si>
  <si>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</si>
  <si>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</si>
  <si>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</si>
  <si>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</si>
  <si>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</si>
  <si>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</si>
  <si>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</si>
  <si>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</si>
  <si>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</si>
  <si>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</si>
  <si>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</si>
  <si>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</si>
  <si>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</si>
  <si>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</si>
  <si>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</si>
  <si>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</si>
  <si>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</si>
  <si>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</si>
  <si>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M Sadiq Store</t>
  </si>
  <si>
    <t>Address: Guru Mangat Road</t>
  </si>
  <si>
    <t xml:space="preserve">Total Parco Pump </t>
  </si>
  <si>
    <t>Address: MM Malam Road</t>
  </si>
  <si>
    <t>Yousaf Store</t>
  </si>
  <si>
    <t>Address: Gullberg Main market</t>
  </si>
  <si>
    <t>Khuaja GS</t>
  </si>
  <si>
    <t>Address: Gullberg Main Market</t>
  </si>
  <si>
    <t>Ali Pan Shop</t>
  </si>
  <si>
    <t xml:space="preserve">Address: Gullberg Main </t>
  </si>
  <si>
    <t>Al Noor Store</t>
  </si>
  <si>
    <t>Address: Zahoor Ilahi Road</t>
  </si>
  <si>
    <t xml:space="preserve">New Lasani Sweets </t>
  </si>
  <si>
    <t>Address: Sher Pao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</si>
</sst>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46323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M Sadiq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Total Parco Pump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Yousaf Store</v>
      </c>
      <c r="T5" s="301">
        <f>+'3'!P35</f>
        <v>940.86347552542372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Khuaja GS</v>
      </c>
      <c r="T6" s="301">
        <f>+'4'!P35</f>
        <v>906.02063313559302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34</v>
      </c>
      <c r="I7" s="235">
        <f>(G7*D7)*F7+H7*F7</f>
        <v>1783.7249999999999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142.69799999999998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62.430375000000005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1578.5966249999999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337.11864406779642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9.5785763453389823</v>
      </c>
      <c r="P7" s="310">
        <f>M7+N7+O7</f>
        <v>1925.2938454131352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Ali Pan Shop</v>
      </c>
      <c r="T7" s="301">
        <f>+'5'!P35</f>
        <v>679.51547485169476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34</v>
      </c>
      <c r="I8" s="236">
        <f t="shared" ref="I8:I14" si="0">(G8*D8)*F8+H8*F8</f>
        <v>1783.7249999999999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142.69799999999998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62.430375000000005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1578.5966249999999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337.11864406779642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9.5785763453389823</v>
      </c>
      <c r="P8" s="311">
        <f t="shared" ref="P8:P15" si="2">M8+N8+O8</f>
        <v>1925.2938454131352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Al Noor Store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New Lasani Sweets </v>
      </c>
      <c r="T9" s="301">
        <f>+'7'!P35</f>
        <v>6272.4231701694916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51</v>
      </c>
      <c r="I10" s="236">
        <f t="shared" si="0"/>
        <v>3704.64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296.37120000000004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129.66240000000002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3278.6063999999997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700.16949152542384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19.893879457627122</v>
      </c>
      <c r="P10" s="311">
        <f t="shared" si="2"/>
        <v>3998.6697709830505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42</v>
      </c>
      <c r="I11" s="236">
        <f t="shared" si="0"/>
        <v>3050.88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244.07040000000001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106.78080000000001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2700.0288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576.61016949152554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16.383194847457631</v>
      </c>
      <c r="P11" s="311">
        <f t="shared" si="2"/>
        <v>3293.0221643389832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31</v>
      </c>
      <c r="I12" s="236">
        <f t="shared" si="0"/>
        <v>2251.84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180.1472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78.814400000000006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1992.8784000000001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425.59322033898309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12.092358101694916</v>
      </c>
      <c r="P12" s="311">
        <f t="shared" si="2"/>
        <v>2430.5639784406781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4.8</v>
      </c>
      <c r="H16" s="113">
        <f t="shared" ref="H16:M16" si="3">SUM(H7:H15)</f>
        <v>192</v>
      </c>
      <c r="I16" s="114">
        <f t="shared" si="3"/>
        <v>12574.810000000001</v>
      </c>
      <c r="J16" s="274">
        <f>SUM(J7:J15)</f>
        <v>1005.9848000000001</v>
      </c>
      <c r="K16" s="275">
        <f t="shared" si="3"/>
        <v>440.11835000000008</v>
      </c>
      <c r="L16" s="276">
        <f t="shared" si="3"/>
        <v>0</v>
      </c>
      <c r="M16" s="232">
        <f t="shared" si="3"/>
        <v>11128.706849999999</v>
      </c>
      <c r="N16" s="233">
        <f>SUM(N7:N15)</f>
        <v>2376.6101694915251</v>
      </c>
      <c r="O16" s="101">
        <f>SUM(O7:O15)</f>
        <v>67.526585097457627</v>
      </c>
      <c r="P16" s="113">
        <f>SUM(P7:P15)</f>
        <v>13572.843604588981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12574.810000000001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1005.9848000000001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440.11835000000008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11128.70685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2376.6101694915251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13505.317019491526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67.526585097457627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13572.843604588983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13572.843604588983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7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7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1452.8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116.224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50.848000000000006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1285.7280000000001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1560.3042711864407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5" t="s">
        <v>88</v>
      </c>
      <c r="O35" s="346"/>
      <c r="P35" s="297">
        <f>+P33+P34</f>
        <v>1568.1057925423729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</v>
      </c>
      <c r="I16" s="235">
        <f>(G16*D16)*F16+H16*F16</f>
        <v>419.7</v>
      </c>
      <c r="J16" s="271">
        <f>$I16*S16</f>
        <v>33.576000000000001</v>
      </c>
      <c r="K16" s="127">
        <f>$I16*T16</f>
        <v>14.689500000000001</v>
      </c>
      <c r="L16" s="118">
        <f>$I16*U16</f>
        <v>0</v>
      </c>
      <c r="M16" s="229">
        <f>I16-SUM(J16:L16)</f>
        <v>371.43449999999996</v>
      </c>
      <c r="N16" s="248">
        <f>+(G16*D16+H16)*V16</f>
        <v>79.322033898305051</v>
      </c>
      <c r="O16" s="238">
        <f>(N16+M16)*$O$15</f>
        <v>2.2537826694915251</v>
      </c>
      <c r="P16" s="118">
        <f>M16+N16+O16</f>
        <v>453.01031656779651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119">
        <f t="shared" ref="P17:P24" si="5">M17+N17+O17</f>
        <v>453.01031656779651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</v>
      </c>
      <c r="I25" s="114">
        <f t="shared" si="7"/>
        <v>839.4</v>
      </c>
      <c r="J25" s="274">
        <f>SUM(J16:J24)</f>
        <v>67.152000000000001</v>
      </c>
      <c r="K25" s="275">
        <f t="shared" si="7"/>
        <v>29.379000000000001</v>
      </c>
      <c r="L25" s="276">
        <f t="shared" si="7"/>
        <v>0</v>
      </c>
      <c r="M25" s="232">
        <f t="shared" si="7"/>
        <v>742.86899999999991</v>
      </c>
      <c r="N25" s="233">
        <f>SUM(N16:N24)</f>
        <v>158.6440677966101</v>
      </c>
      <c r="O25" s="101">
        <f>SUM(O16:O24)</f>
        <v>4.5075653389830501</v>
      </c>
      <c r="P25" s="234">
        <f>SUM(P16:P24)</f>
        <v>906.02063313559302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839.4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67.152000000000001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29.379000000000001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742.86899999999991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158.6440677966101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901.51306779661002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4.5075653389830501</v>
      </c>
    </row>
    <row r="35" spans="2:16" ht="15.75" customHeight="1" thickBot="1" x14ac:dyDescent="0.4">
      <c r="N35" s="345" t="s">
        <v>88</v>
      </c>
      <c r="O35" s="346"/>
      <c r="P35" s="297">
        <f>+P33+P34</f>
        <v>906.02063313559302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629.54999999999995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50.363999999999997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22.03425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557.15174999999988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676.13480084745743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45" t="s">
        <v>88</v>
      </c>
      <c r="O35" s="346"/>
      <c r="P35" s="297">
        <f>+P33+P34</f>
        <v>679.51547485169476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464.89600000000002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5142.9120000000003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6241.2170847457628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5" t="s">
        <v>88</v>
      </c>
      <c r="O35" s="346"/>
      <c r="P35" s="297">
        <f>+P33+P34</f>
        <v>6272.4231701694916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46323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46322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46324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46323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2026-10-28T08:00:18Z</dcterms:modified>
</cp:coreProperties>
</file>