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F5C06AB-8E34-4BBC-A9D8-0248028AC74A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<sst xmlns="http://schemas.openxmlformats.org/spreadsheetml/2006/main" count="3918" uniqueCount="518">
  <si>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</si>
  <si>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</si>
  <si>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</si>
  <si>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</si>
  <si>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</si>
  <si>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</si>
  <si>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</si>
  <si>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</si>
  <si>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</si>
  <si>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</si>
  <si>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</si>
  <si>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</si>
  <si>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</si>
  <si>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</si>
  <si>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</si>
  <si>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</si>
  <si>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</si>
  <si>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</si>
  <si>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</si>
  <si>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</si>
  <si>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</si>
  <si>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</si>
  <si>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</si>
  <si>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</si>
  <si>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</si>
  <si>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</si>
  <si>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</si>
  <si>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</si>
  <si>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</si>
  <si>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</si>
  <si>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</si>
  <si>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</si>
  <si>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</si>
  <si>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</si>
  <si>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</si>
  <si>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</si>
  <si>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</si>
  <si>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</si>
  <si>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</si>
  <si>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</si>
  <si>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</si>
  <si>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</si>
  <si>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</si>
  <si>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</si>
  <si>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</si>
  <si>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</si>
  <si>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</si>
  <si>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</si>
  <si>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</si>
  <si>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</si>
  <si>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</si>
  <si>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</si>
  <si>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</si>
  <si>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</si>
  <si>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</si>
  <si>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</si>
  <si>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</si>
  <si>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</si>
  <si>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</si>
  <si>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</si>
  <si>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</si>
  <si>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</si>
  <si>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</si>
  <si>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</si>
  <si>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</si>
  <si>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</si>
  <si>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</si>
  <si>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</si>
  <si>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</si>
  <si>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</si>
  <si>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</si>
  <si>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</si>
  <si>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</si>
  <si>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</si>
  <si>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</si>
  <si>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</si>
  <si>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</si>
  <si>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</si>
  <si>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</si>
  <si>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</si>
  <si>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</si>
  <si>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</si>
  <si>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</si>
  <si>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</si>
  <si>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</si>
  <si>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</si>
  <si>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</si>
  <si>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</si>
  <si>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</si>
  <si>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</si>
  <si>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</si>
  <si>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</si>
  <si>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</si>
  <si>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</si>
  <si>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</si>
  <si>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</si>
  <si>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</si>
  <si>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</si>
  <si>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</si>
  <si>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</si>
  <si>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</si>
  <si>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</si>
  <si>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</si>
  <si>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</si>
  <si>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</si>
  <si>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</si>
  <si>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</si>
  <si>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</si>
  <si>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</si>
  <si>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</si>
  <si>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</si>
  <si>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</si>
  <si>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</si>
  <si>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</si>
  <si>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</si>
  <si>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</si>
  <si>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</si>
  <si>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</si>
  <si>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</si>
  <si>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</si>
  <si>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</si>
  <si>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</si>
  <si>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</si>
  <si>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</si>
  <si>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</si>
  <si>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</si>
  <si>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</si>
  <si>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</si>
  <si>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</si>
  <si>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</si>
  <si>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</si>
  <si>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</si>
  <si>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</si>
  <si>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</si>
  <si>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</si>
  <si>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</si>
  <si>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</si>
  <si>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</si>
  <si>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</si>
  <si>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</si>
  <si>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</si>
  <si>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</si>
  <si>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</si>
  <si>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</si>
  <si>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</si>
  <si>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</si>
  <si>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</si>
  <si>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</si>
  <si>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</si>
  <si>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</si>
  <si>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</si>
  <si>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</si>
  <si>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</si>
  <si>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</si>
  <si>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</si>
  <si>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</si>
  <si>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</si>
  <si>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</si>
  <si>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</si>
  <si>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</si>
  <si>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</si>
  <si>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</si>
  <si>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</si>
  <si>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</si>
  <si>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</si>
  <si>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</si>
  <si>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</si>
  <si>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</si>
  <si>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</si>
  <si>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</si>
  <si>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</si>
  <si>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</si>
  <si>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</si>
  <si>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</si>
  <si>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</si>
  <si>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</si>
  <si>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</si>
  <si>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</si>
  <si>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</si>
  <si>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</si>
  <si>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</si>
  <si>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</si>
  <si>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</si>
  <si>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</si>
  <si>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</si>
  <si>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</si>
  <si>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</si>
  <si>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</si>
  <si>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</si>
  <si>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</si>
  <si>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</si>
  <si>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</si>
  <si>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</si>
  <si>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</si>
  <si>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</si>
  <si>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</si>
  <si>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</si>
  <si>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</si>
  <si>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</si>
  <si>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</si>
  <si>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</si>
  <si>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</si>
  <si>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</si>
  <si>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</si>
  <si>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</si>
  <si>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</si>
  <si>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</si>
  <si>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</si>
  <si>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</si>
  <si>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</si>
  <si>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</si>
  <si>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</si>
  <si>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</si>
  <si>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</si>
  <si>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</si>
  <si>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</si>
  <si>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</si>
  <si>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</si>
  <si>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</si>
  <si>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</si>
  <si>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</si>
  <si>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</si>
  <si>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</si>
  <si>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</si>
  <si>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</si>
  <si>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</si>
  <si>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</si>
  <si>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</si>
  <si>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</si>
  <si>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</si>
  <si>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</si>
  <si>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</si>
  <si>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</si>
  <si>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</si>
  <si>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</si>
  <si>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</si>
  <si>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</si>
  <si>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</si>
  <si>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</si>
  <si>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</si>
  <si>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</si>
  <si>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</si>
  <si>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</si>
  <si>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</si>
  <si>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</si>
  <si>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</si>
  <si>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</si>
  <si>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</si>
  <si>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</si>
  <si>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</si>
  <si>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</si>
  <si>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</si>
  <si>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</si>
  <si>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</si>
  <si>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</si>
  <si>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</si>
  <si>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</si>
  <si>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</si>
  <si>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</si>
  <si>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</si>
  <si>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</si>
  <si>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</si>
  <si>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</si>
  <si>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</si>
  <si>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</si>
  <si>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</si>
  <si>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</si>
  <si>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</si>
  <si>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</si>
  <si>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</si>
  <si>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</si>
  <si>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</si>
  <si>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</si>
  <si>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</si>
  <si>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</si>
  <si>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</si>
  <si>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</si>
  <si>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</si>
  <si>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</si>
  <si>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</si>
  <si>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</si>
  <si>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</si>
  <si>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</si>
  <si>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</si>
  <si>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</si>
  <si>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</si>
  <si>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</si>
  <si>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</si>
  <si>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</si>
  <si>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</si>
  <si>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</si>
  <si>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</si>
  <si>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</si>
  <si>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</si>
  <si>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</si>
  <si>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</si>
  <si>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</si>
  <si>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</si>
  <si>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</si>
  <si>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</si>
  <si>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</si>
  <si>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</si>
  <si>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</si>
  <si>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</si>
  <si>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</si>
  <si>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</si>
  <si>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</si>
  <si>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</si>
  <si>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</si>
  <si>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</si>
  <si>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</si>
  <si>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</si>
  <si>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</si>
  <si>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</si>
  <si>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</si>
  <si>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</si>
  <si>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</si>
  <si>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</si>
  <si>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</si>
  <si>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</si>
  <si>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</si>
  <si>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</si>
  <si>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</si>
  <si>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</si>
  <si>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</si>
  <si>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</si>
  <si>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</si>
  <si>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</si>
  <si>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</si>
  <si>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</si>
  <si>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</si>
  <si>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</si>
  <si>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</si>
  <si>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</si>
  <si>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</si>
  <si>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</si>
  <si>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</si>
  <si>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</si>
  <si>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</si>
  <si>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</si>
  <si>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</si>
  <si>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</si>
  <si>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</si>
  <si>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</si>
  <si>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</si>
  <si>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</si>
  <si>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</si>
  <si>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</si>
  <si>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</si>
  <si>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</si>
  <si>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</si>
  <si>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</si>
  <si>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</si>
  <si>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</si>
  <si>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</si>
  <si>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</si>
  <si>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</si>
  <si>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</si>
  <si>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</si>
  <si>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</si>
  <si>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</si>
  <si>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</si>
  <si>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</si>
  <si>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</si>
  <si>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</si>
  <si>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</si>
  <si>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</si>
  <si>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</si>
  <si>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</si>
  <si>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</si>
  <si>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</si>
  <si>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</si>
  <si>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</si>
  <si>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</si>
  <si>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</si>
  <si>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</si>
  <si>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</si>
  <si>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</si>
  <si>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</si>
  <si>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</si>
  <si>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</si>
  <si>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</si>
  <si>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</si>
  <si>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</si>
  <si>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</si>
  <si>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</si>
  <si>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</si>
  <si>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</si>
  <si>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</si>
  <si>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</si>
  <si>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</si>
  <si>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</si>
  <si>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</si>
  <si>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</si>
  <si>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</si>
  <si>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</si>
  <si>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</si>
  <si>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</si>
  <si>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</si>
  <si>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</si>
  <si>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</si>
  <si>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</si>
  <si>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</si>
  <si>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</si>
  <si>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</si>
  <si>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</si>
  <si>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</si>
  <si>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</si>
  <si>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</si>
  <si>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</si>
  <si>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</si>
  <si>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</si>
  <si>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</si>
  <si>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</si>
  <si>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</si>
  <si>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</si>
  <si>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</si>
  <si>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</si>
  <si>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</si>
  <si>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</si>
  <si>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</si>
  <si>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</si>
  <si>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</si>
  <si>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</si>
  <si>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</si>
  <si>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</si>
  <si>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</si>
  <si>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</si>
  <si>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</si>
  <si>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</si>
  <si>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</si>
  <si>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</si>
  <si>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</si>
  <si>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</si>
  <si>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</si>
  <si>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</si>
  <si>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</si>
  <si>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</si>
  <si>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</si>
  <si>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</si>
  <si>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</si>
  <si>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</si>
  <si>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</si>
  <si>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</si>
  <si>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</si>
  <si>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</si>
  <si>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</si>
  <si>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</si>
  <si>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</si>
  <si>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</si>
  <si>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</si>
  <si>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</si>
  <si>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</si>
  <si>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</si>
  <si>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</si>
  <si>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</si>
  <si>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</si>
  <si>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</si>
  <si>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</si>
  <si>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</si>
  <si>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</si>
  <si>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</si>
  <si>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</si>
  <si>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</si>
  <si>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</si>
  <si>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</si>
  <si>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</si>
  <si>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</si>
  <si>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</si>
  <si>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</si>
  <si>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</si>
  <si>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</si>
  <si>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</si>
  <si>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</si>
  <si>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</si>
  <si>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</si>
  <si>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</si>
  <si>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</si>
  <si>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</si>
  <si>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</si>
  <si>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</si>
  <si>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</si>
  <si>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</si>
  <si>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</si>
  <si>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</si>
  <si>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</si>
  <si>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</si>
  <si>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</si>
  <si>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</si>
  <si>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</si>
  <si>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</si>
  <si>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</si>
  <si>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</si>
  <si>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</si>
  <si>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</si>
  <si>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</si>
  <si>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</si>
  <si>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</si>
  <si>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</si>
  <si>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</si>
  <si>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</si>
  <si>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</si>
  <si>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</si>
  <si>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</si>
  <si>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</si>
  <si>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</si>
  <si>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</si>
  <si>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</si>
  <si>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</si>
  <si>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</si>
  <si>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</si>
  <si>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</si>
  <si>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</si>
  <si>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>Valencia Cash And Carry</t>
  </si>
  <si>
    <t xml:space="preserve">Address: Valencia Town </t>
  </si>
  <si>
    <t>Invoice No # :7845</t>
  </si>
  <si>
    <t>NTN #: 7193531-2</t>
  </si>
  <si>
    <t>Invoice No # :12477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</si>
</sst>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46289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Valencia Cash And Carry</v>
      </c>
      <c r="T3" s="301">
        <f>+'1'!P35</f>
        <v>39573.52149661017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Valencia Cash And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Valencia Cash And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Valencia Cash And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1888.65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11.426300847457625</v>
      </c>
      <c r="P7" s="310">
        <f>M7+N7+O7</f>
        <v>2296.6864703389829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Valencia Cash And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1888.65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11.426300847457625</v>
      </c>
      <c r="P8" s="311">
        <f t="shared" ref="P8:P15" si="2">M8+N8+O8</f>
        <v>2296.6864703389829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Valencia Cash And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Valencia Cash And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Valencia Cash And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2615.04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15.820962711864407</v>
      </c>
      <c r="P11" s="311">
        <f t="shared" si="2"/>
        <v>3180.0135050847457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Valencia Cash And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2905.6000000000004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26150.400000000001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158.20962711864408</v>
      </c>
      <c r="P12" s="311">
        <f t="shared" si="2"/>
        <v>31800.135050847461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Valencia Cash And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Valencia Cash And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Valencia Cash And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Valencia Cash And Carry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13</v>
      </c>
      <c r="H16" s="113">
        <f t="shared" ref="H16:M16" si="3">SUM(H7:H15)</f>
        <v>520</v>
      </c>
      <c r="I16" s="114">
        <f t="shared" si="3"/>
        <v>36158.6</v>
      </c>
      <c r="J16" s="274">
        <f>SUM(J7:J15)</f>
        <v>3615.8600000000006</v>
      </c>
      <c r="K16" s="275">
        <f t="shared" si="3"/>
        <v>0</v>
      </c>
      <c r="L16" s="276">
        <f t="shared" si="3"/>
        <v>0</v>
      </c>
      <c r="M16" s="232">
        <f t="shared" si="3"/>
        <v>32542.74</v>
      </c>
      <c r="N16" s="233">
        <f>SUM(N7:N15)</f>
        <v>6833.8983050847455</v>
      </c>
      <c r="O16" s="101">
        <f>SUM(O7:O15)</f>
        <v>196.88319152542374</v>
      </c>
      <c r="P16" s="113">
        <f>SUM(P7:P15)</f>
        <v>39573.52149661017</v>
      </c>
      <c r="Q16" s="128">
        <f>SUM(Q7:Q15)</f>
        <v>0</v>
      </c>
      <c r="R16" s="313">
        <v>14</v>
      </c>
      <c r="S16" s="315" t="str">
        <f>+'14'!A6:A6</f>
        <v>Valencia Cash And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Valencia Cash And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Valencia Cash And Carry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36158.6</v>
      </c>
      <c r="R19" s="299">
        <v>17</v>
      </c>
      <c r="S19" s="300" t="str">
        <f>+'17'!A6:A6</f>
        <v>Valencia Cash And Carry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3615.8600000000006</v>
      </c>
      <c r="R20" s="299">
        <v>18</v>
      </c>
      <c r="S20" s="300" t="str">
        <f>+'18'!A6:A6</f>
        <v>Valencia Cash And Carry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>Valencia Cash And Carry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32542.739999999998</v>
      </c>
      <c r="R22" s="299">
        <v>20</v>
      </c>
      <c r="S22" s="300" t="str">
        <f>+'20'!A6:A6</f>
        <v>Valencia Cash And Carry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6833.8983050847455</v>
      </c>
      <c r="R23" s="299">
        <v>21</v>
      </c>
      <c r="S23" s="300" t="str">
        <f>+'21'!A6:A6</f>
        <v>Valencia Cash And Carry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39376.638305084743</v>
      </c>
      <c r="R24" s="299">
        <v>22</v>
      </c>
      <c r="S24" s="300" t="str">
        <f>+'22'!A6:A6</f>
        <v>Valencia Cash And Carry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196.88319152542374</v>
      </c>
      <c r="R25" s="299">
        <v>23</v>
      </c>
      <c r="S25" s="300" t="str">
        <f>+'23'!A6:A6</f>
        <v>Valencia Cash And Carry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39573.52149661017</v>
      </c>
      <c r="R26" s="299">
        <v>24</v>
      </c>
      <c r="S26" s="300" t="str">
        <f>+'24'!A6:A6</f>
        <v>Valencia Cash And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Valencia Cash And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Valencia Cash And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Valencia Cash And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Valencia Cash And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Valencia Cash And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Valencia Cash And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39573.52149661017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8" workbookViewId="0">
      <selection activeCell="S27" sqref="S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517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0</v>
      </c>
      <c r="L16" s="118">
        <f>$I16*U16</f>
        <v>0</v>
      </c>
      <c r="M16" s="229">
        <f>I16-SUM(J16:L16)</f>
        <v>1888.65</v>
      </c>
      <c r="N16" s="248">
        <f>+(G16*D16+H16)*V16</f>
        <v>396.61016949152526</v>
      </c>
      <c r="O16" s="238">
        <f>(N16+M16)*$O$15</f>
        <v>11.426300847457625</v>
      </c>
      <c r="P16" s="118">
        <f>M16+N16+O16</f>
        <v>2296.6864703389829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0</v>
      </c>
      <c r="L17" s="119">
        <f>$I17*U17</f>
        <v>0</v>
      </c>
      <c r="M17" s="230">
        <f t="shared" ref="M17:M24" si="2">I17-SUM(J17:L17)</f>
        <v>1888.65</v>
      </c>
      <c r="N17" s="277">
        <f t="shared" ref="N17:N24" si="3">+(G17*D17+H17)*V17</f>
        <v>396.61016949152526</v>
      </c>
      <c r="O17" s="239">
        <f t="shared" ref="O17:O24" si="4">(N17+M17)*$O$15</f>
        <v>11.426300847457625</v>
      </c>
      <c r="P17" s="119">
        <f t="shared" ref="P17:P24" si="5">M17+N17+O17</f>
        <v>2296.6864703389829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0</v>
      </c>
      <c r="L20" s="119">
        <f t="shared" si="1"/>
        <v>0</v>
      </c>
      <c r="M20" s="230">
        <f t="shared" si="2"/>
        <v>2615.04</v>
      </c>
      <c r="N20" s="277">
        <f t="shared" si="3"/>
        <v>549.15254237288138</v>
      </c>
      <c r="O20" s="239">
        <f t="shared" si="4"/>
        <v>15.820962711864407</v>
      </c>
      <c r="P20" s="119">
        <f t="shared" si="5"/>
        <v>3180.0135050847457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2905.6000000000004</v>
      </c>
      <c r="K21" s="128">
        <f t="shared" si="1"/>
        <v>0</v>
      </c>
      <c r="L21" s="119">
        <f t="shared" si="1"/>
        <v>0</v>
      </c>
      <c r="M21" s="230">
        <f t="shared" si="2"/>
        <v>26150.400000000001</v>
      </c>
      <c r="N21" s="277">
        <f t="shared" si="3"/>
        <v>5491.5254237288136</v>
      </c>
      <c r="O21" s="239">
        <f t="shared" si="4"/>
        <v>158.20962711864408</v>
      </c>
      <c r="P21" s="119">
        <f t="shared" si="5"/>
        <v>31800.135050847461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520</v>
      </c>
      <c r="I25" s="114">
        <f t="shared" ref="I25:M25" si="10">SUM(I16:I24)</f>
        <v>36158.6</v>
      </c>
      <c r="J25" s="274">
        <f>SUM(J16:J24)</f>
        <v>3615.8600000000006</v>
      </c>
      <c r="K25" s="275">
        <f t="shared" si="10"/>
        <v>0</v>
      </c>
      <c r="L25" s="276">
        <f t="shared" si="10"/>
        <v>0</v>
      </c>
      <c r="M25" s="232">
        <f t="shared" si="10"/>
        <v>32542.74</v>
      </c>
      <c r="N25" s="233">
        <f>SUM(N16:N24)</f>
        <v>6833.8983050847455</v>
      </c>
      <c r="O25" s="101">
        <f>SUM(O16:O24)</f>
        <v>196.88319152542374</v>
      </c>
      <c r="P25" s="234">
        <f>SUM(P16:P24)</f>
        <v>39573.52149661017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36158.6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3615.8600000000006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32542.739999999998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6833.8983050847455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39376.638305084743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196.88319152542371</v>
      </c>
    </row>
    <row r="35" spans="2:16" ht="15.75" customHeight="1" thickBot="1" x14ac:dyDescent="0.4">
      <c r="N35" s="346" t="s">
        <v>88</v>
      </c>
      <c r="O35" s="347"/>
      <c r="P35" s="297">
        <f>+P33+P34</f>
        <v>39573.52149661017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46324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46323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2026-10-28T04:13:53Z</dcterms:modified>
</cp:coreProperties>
</file>