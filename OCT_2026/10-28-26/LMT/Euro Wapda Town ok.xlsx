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75E9AA3-0923-4E28-82B3-F13454153ABF}" xr6:coauthVersionLast="47" xr6:coauthVersionMax="47" xr10:uidLastSave="{00000000-0000-0000-0000-000000000000}"/>
  <bookViews>
    <workbookView xWindow="-110" yWindow="-110" windowWidth="19420" windowHeight="10420" tabRatio="871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8" l="1"/>
  <c r="M20" i="53"/>
  <c r="O20" i="53" s="1"/>
  <c r="P20" i="53" s="1"/>
  <c r="R20" i="53" s="1"/>
  <c r="M21" i="52"/>
  <c r="O21" i="52" s="1"/>
  <c r="P21" i="52" s="1"/>
  <c r="J25" i="61"/>
  <c r="P29" i="61" s="1"/>
  <c r="M17" i="56"/>
  <c r="O17" i="56" s="1"/>
  <c r="P17" i="56" s="1"/>
  <c r="M20" i="57"/>
  <c r="O20" i="57" s="1"/>
  <c r="P20" i="57" s="1"/>
  <c r="R20" i="57" s="1"/>
  <c r="M16" i="59"/>
  <c r="M20" i="43"/>
  <c r="O20" i="43" s="1"/>
  <c r="P20" i="43" s="1"/>
  <c r="J7" i="62"/>
  <c r="M17" i="44"/>
  <c r="O17" i="44" s="1"/>
  <c r="P17" i="44" s="1"/>
  <c r="M21" i="44"/>
  <c r="O21" i="44" s="1"/>
  <c r="P21" i="44" s="1"/>
  <c r="K12" i="62"/>
  <c r="M16" i="44"/>
  <c r="O16" i="44" s="1"/>
  <c r="M17" i="60"/>
  <c r="O17" i="60" s="1"/>
  <c r="P17" i="60" s="1"/>
  <c r="M16" i="66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1" i="50" l="1"/>
  <c r="O21" i="50"/>
  <c r="M12" i="62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P34" i="43"/>
  <c r="P35" i="43" s="1"/>
  <c r="T4" i="62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<sst xmlns="http://schemas.openxmlformats.org/spreadsheetml/2006/main" count="3978" uniqueCount="518">
  <si>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</si>
  <si>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</si>
  <si>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</si>
  <si>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</si>
  <si>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</si>
  <si>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</si>
  <si>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</si>
  <si>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</si>
  <si>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</si>
  <si>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</si>
  <si>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</si>
  <si>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</si>
  <si>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</si>
  <si>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</si>
  <si>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</si>
  <si>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</si>
  <si>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</si>
  <si>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</si>
  <si>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</si>
  <si>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</si>
  <si>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</si>
  <si>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</si>
  <si>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</si>
  <si>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</si>
  <si>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</si>
  <si>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</si>
  <si>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</si>
  <si>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</si>
  <si>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</si>
  <si>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</si>
  <si>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</si>
  <si>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</si>
  <si>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</si>
  <si>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</si>
  <si>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</si>
  <si>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</si>
  <si>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</si>
  <si>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</si>
  <si>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</si>
  <si>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</si>
  <si>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</si>
  <si>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</si>
  <si>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</si>
  <si>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</si>
  <si>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</si>
  <si>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</si>
  <si>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</si>
  <si>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</si>
  <si>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</si>
  <si>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</si>
  <si>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</si>
  <si>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</si>
  <si>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</si>
  <si>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</si>
  <si>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</si>
  <si>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</si>
  <si>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</si>
  <si>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</si>
  <si>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</si>
  <si>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</si>
  <si>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</si>
  <si>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</si>
  <si>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</si>
  <si>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</si>
  <si>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</si>
  <si>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</si>
  <si>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</si>
  <si>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</si>
  <si>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</si>
  <si>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</si>
  <si>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</si>
  <si>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</si>
  <si>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</si>
  <si>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</si>
  <si>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</si>
  <si>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</si>
  <si>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</si>
  <si>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</si>
  <si>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</si>
  <si>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</si>
  <si>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</si>
  <si>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</si>
  <si>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</si>
  <si>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</si>
  <si>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</si>
  <si>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</si>
  <si>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</si>
  <si>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</si>
  <si>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</si>
  <si>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</si>
  <si>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</si>
  <si>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</si>
  <si>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</si>
  <si>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</si>
  <si>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</si>
  <si>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</si>
  <si>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</si>
  <si>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</si>
  <si>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</si>
  <si>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</si>
  <si>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</si>
  <si>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</si>
  <si>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</si>
  <si>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</si>
  <si>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</si>
  <si>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</si>
  <si>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</si>
  <si>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</si>
  <si>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</si>
  <si>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</si>
  <si>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</si>
  <si>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</si>
  <si>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</si>
  <si>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</si>
  <si>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</si>
  <si>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</si>
  <si>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</si>
  <si>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</si>
  <si>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</si>
  <si>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</si>
  <si>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</si>
  <si>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</si>
  <si>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</si>
  <si>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</si>
  <si>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</si>
  <si>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</si>
  <si>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</si>
  <si>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</si>
  <si>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</si>
  <si>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</si>
  <si>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</si>
  <si>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</si>
  <si>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</si>
  <si>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</si>
  <si>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</si>
  <si>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</si>
  <si>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</si>
  <si>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</si>
  <si>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</si>
  <si>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</si>
  <si>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</si>
  <si>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</si>
  <si>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</si>
  <si>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</si>
  <si>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</si>
  <si>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</si>
  <si>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</si>
  <si>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</si>
  <si>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</si>
  <si>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</si>
  <si>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</si>
  <si>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</si>
  <si>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</si>
  <si>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</si>
  <si>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</si>
  <si>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</si>
  <si>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</si>
  <si>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</si>
  <si>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</si>
  <si>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</si>
  <si>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</si>
  <si>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</si>
  <si>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</si>
  <si>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</si>
  <si>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</si>
  <si>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</si>
  <si>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</si>
  <si>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</si>
  <si>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</si>
  <si>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</si>
  <si>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</si>
  <si>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</si>
  <si>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</si>
  <si>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</si>
  <si>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</si>
  <si>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</si>
  <si>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</si>
  <si>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</si>
  <si>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</si>
  <si>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</si>
  <si>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</si>
  <si>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</si>
  <si>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</si>
  <si>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</si>
  <si>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</si>
  <si>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</si>
  <si>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</si>
  <si>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</si>
  <si>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</si>
  <si>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</si>
  <si>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</si>
  <si>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</si>
  <si>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</si>
  <si>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</si>
  <si>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</si>
  <si>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</si>
  <si>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</si>
  <si>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</si>
  <si>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</si>
  <si>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</si>
  <si>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</si>
  <si>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</si>
  <si>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</si>
  <si>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</si>
  <si>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</si>
  <si>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</si>
  <si>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</si>
  <si>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</si>
  <si>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</si>
  <si>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</si>
  <si>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</si>
  <si>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</si>
  <si>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</si>
  <si>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</si>
  <si>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</si>
  <si>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</si>
  <si>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</si>
  <si>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</si>
  <si>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</si>
  <si>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</si>
  <si>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</si>
  <si>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</si>
  <si>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</si>
  <si>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</si>
  <si>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</si>
  <si>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</si>
  <si>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</si>
  <si>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</si>
  <si>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</si>
  <si>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</si>
  <si>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</si>
  <si>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</si>
  <si>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</si>
  <si>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</si>
  <si>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</si>
  <si>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</si>
  <si>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</si>
  <si>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</si>
  <si>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</si>
  <si>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</si>
  <si>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</si>
  <si>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</si>
  <si>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</si>
  <si>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</si>
  <si>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</si>
  <si>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</si>
  <si>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</si>
  <si>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</si>
  <si>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</si>
  <si>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</si>
  <si>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</si>
  <si>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</si>
  <si>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</si>
  <si>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</si>
  <si>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</si>
  <si>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</si>
  <si>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</si>
  <si>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</si>
  <si>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</si>
  <si>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</si>
  <si>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</si>
  <si>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</si>
  <si>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</si>
  <si>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</si>
  <si>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</si>
  <si>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</si>
  <si>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</si>
  <si>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</si>
  <si>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</si>
  <si>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</si>
  <si>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</si>
  <si>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</si>
  <si>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</si>
  <si>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</si>
  <si>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</si>
  <si>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</si>
  <si>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</si>
  <si>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</si>
  <si>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</si>
  <si>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</si>
  <si>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</si>
  <si>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</si>
  <si>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</si>
  <si>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</si>
  <si>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</si>
  <si>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</si>
  <si>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</si>
  <si>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</si>
  <si>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</si>
  <si>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</si>
  <si>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</si>
  <si>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</si>
  <si>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</si>
  <si>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</si>
  <si>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</si>
  <si>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</si>
  <si>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</si>
  <si>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</si>
  <si>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</si>
  <si>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</si>
  <si>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</si>
  <si>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</si>
  <si>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</si>
  <si>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</si>
  <si>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</si>
  <si>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</si>
  <si>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</si>
  <si>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</si>
  <si>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</si>
  <si>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</si>
  <si>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</si>
  <si>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</si>
  <si>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</si>
  <si>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</si>
  <si>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</si>
  <si>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</si>
  <si>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</si>
  <si>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</si>
  <si>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</si>
  <si>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</si>
  <si>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</si>
  <si>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</si>
  <si>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</si>
  <si>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</si>
  <si>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</si>
  <si>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</si>
  <si>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</si>
  <si>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</si>
  <si>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</si>
  <si>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</si>
  <si>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</si>
  <si>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</si>
  <si>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</si>
  <si>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</si>
  <si>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</si>
  <si>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</si>
  <si>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</si>
  <si>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</si>
  <si>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</si>
  <si>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</si>
  <si>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</si>
  <si>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</si>
  <si>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</si>
  <si>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</si>
  <si>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</si>
  <si>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</si>
  <si>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</si>
  <si>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</si>
  <si>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</si>
  <si>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</si>
  <si>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</si>
  <si>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</si>
  <si>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</si>
  <si>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</si>
  <si>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</si>
  <si>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</si>
  <si>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</si>
  <si>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</si>
  <si>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</si>
  <si>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</si>
  <si>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</si>
  <si>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</si>
  <si>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</si>
  <si>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</si>
  <si>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</si>
  <si>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</si>
  <si>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</si>
  <si>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</si>
  <si>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</si>
  <si>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</si>
  <si>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</si>
  <si>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</si>
  <si>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</si>
  <si>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</si>
  <si>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</si>
  <si>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</si>
  <si>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</si>
  <si>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</si>
  <si>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</si>
  <si>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</si>
  <si>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</si>
  <si>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</si>
  <si>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</si>
  <si>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</si>
  <si>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</si>
  <si>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</si>
  <si>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</si>
  <si>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</si>
  <si>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</si>
  <si>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</si>
  <si>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</si>
  <si>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</si>
  <si>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</si>
  <si>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</si>
  <si>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</si>
  <si>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</si>
  <si>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</si>
  <si>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</si>
  <si>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</si>
  <si>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</si>
  <si>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</si>
  <si>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</si>
  <si>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</si>
  <si>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</si>
  <si>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</si>
  <si>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</si>
  <si>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</si>
  <si>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</si>
  <si>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</si>
  <si>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</si>
  <si>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</si>
  <si>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</si>
  <si>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</si>
  <si>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</si>
  <si>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</si>
  <si>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</si>
  <si>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</si>
  <si>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</si>
  <si>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</si>
  <si>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</si>
  <si>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</si>
  <si>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</si>
  <si>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</si>
  <si>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</si>
  <si>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</si>
  <si>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</si>
  <si>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</si>
  <si>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</si>
  <si>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</si>
  <si>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</si>
  <si>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</si>
  <si>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</si>
  <si>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</si>
  <si>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</si>
  <si>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</si>
  <si>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</si>
  <si>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</si>
  <si>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</si>
  <si>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</si>
  <si>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</si>
  <si>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</si>
  <si>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</si>
  <si>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</si>
  <si>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</si>
  <si>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</si>
  <si>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</si>
  <si>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</si>
  <si>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</si>
  <si>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</si>
  <si>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</si>
  <si>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</si>
  <si>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</si>
  <si>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</si>
  <si>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</si>
  <si>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</si>
  <si>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</si>
  <si>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</si>
  <si>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</si>
  <si>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</si>
  <si>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</si>
  <si>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</si>
  <si>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</si>
  <si>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</si>
  <si>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</si>
  <si>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</si>
  <si>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</si>
  <si>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</si>
  <si>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</si>
  <si>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</si>
  <si>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</si>
  <si>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</si>
  <si>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</si>
  <si>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</si>
  <si>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</si>
  <si>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</si>
  <si>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</si>
  <si>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</si>
  <si>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</si>
  <si>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</si>
  <si>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</si>
  <si>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</si>
  <si>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</si>
  <si>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</si>
  <si>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</si>
  <si>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</si>
  <si>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</si>
  <si>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</si>
  <si>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</si>
  <si>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</si>
  <si>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</si>
  <si>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</si>
  <si>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</si>
  <si>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</si>
  <si>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</si>
  <si>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</si>
  <si>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</si>
  <si>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</si>
  <si>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</si>
  <si>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</si>
  <si>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</si>
  <si>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</si>
  <si>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</si>
  <si>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</si>
  <si>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</si>
  <si>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</si>
  <si>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</si>
  <si>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</si>
  <si>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</si>
  <si>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</si>
  <si>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</si>
  <si>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</si>
  <si>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</si>
  <si>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Euro</t>
  </si>
  <si>
    <t>ok</t>
  </si>
  <si>
    <t>Euro Store E-2 (Wapda Town)</t>
  </si>
  <si>
    <t xml:space="preserve">Address: Wapda Town </t>
  </si>
  <si>
    <t>NTN #: 4890950-8</t>
  </si>
  <si>
    <t>Invoice No # :45124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</si>
</sst>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3" fontId="17" fillId="0" borderId="55" xfId="0" applyNumberFormat="1" applyFont="1" applyBorder="1" applyAlignment="1">
      <alignment horizontal="center" vertical="top" shrinkToFit="1"/>
    </xf>
    <xf numFmtId="0" fontId="0" fillId="0" borderId="3" xfId="0" applyBorder="1"/>
    <xf numFmtId="3" fontId="17" fillId="0" borderId="2" xfId="0" applyNumberFormat="1" applyFont="1" applyBorder="1" applyAlignment="1">
      <alignment horizont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opLeftCell="A13" workbookViewId="0">
      <selection activeCell="S19" sqref="S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512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f ca="1">TODAY()</f>
        <v>46324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Euro Store E-2 (Wapda Town)</v>
      </c>
      <c r="T3" s="301">
        <f>+'1'!P35</f>
        <v>30597.09562754237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Euro Store E-2 (Wapda Town)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Euro Store E-2 (Wapda Town)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Euro Store E-2 (Wapda Town)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5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8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881.37000000000012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5193.7875000000004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31.918090042372878</v>
      </c>
      <c r="P7" s="309">
        <f>M7+N7+O7</f>
        <v>6415.5360985169482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Euro Store E-2 (Wapda Town)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6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8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881.37000000000012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220.34250000000003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5193.7875000000004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31.918090042372878</v>
      </c>
      <c r="P8" s="310">
        <f t="shared" ref="P8:P15" si="2">M8+N8+O8</f>
        <v>6415.5360985169482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Euro Store E-2 (Wapda Town)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6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8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0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Euro Store E-2 (Wapda Town)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6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8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0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120</v>
      </c>
      <c r="R10" s="313">
        <v>8</v>
      </c>
      <c r="S10" s="300" t="str">
        <f>+'8'!A6:A6</f>
        <v>Euro Store E-2 (Wapda Town)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6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8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1220.3520000000001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305.08800000000002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7191.3599999999988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44.194088135593212</v>
      </c>
      <c r="P11" s="310">
        <f t="shared" si="2"/>
        <v>8883.0117152542352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Euro Store E-2 (Wapda Town)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6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8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1220.3520000000001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7191.3599999999988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44.194088135593212</v>
      </c>
      <c r="P12" s="310">
        <f t="shared" si="2"/>
        <v>8883.0117152542352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Euro Store E-2 (Wapda Town)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6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8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0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Euro Store E-2 (Wapda Town)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6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8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0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Euro Store E-2 (Wapda Town)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7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8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1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Euro Store E-2 (Wapda Town)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12</v>
      </c>
      <c r="H16" s="113">
        <f t="shared" ref="H16:M16" si="3">SUM(H7:H15)</f>
        <v>480</v>
      </c>
      <c r="I16" s="114">
        <f t="shared" si="3"/>
        <v>30024.6</v>
      </c>
      <c r="J16" s="274">
        <f>SUM(J7:J15)</f>
        <v>4203.4440000000004</v>
      </c>
      <c r="K16" s="275">
        <f t="shared" si="3"/>
        <v>1050.8610000000001</v>
      </c>
      <c r="L16" s="276">
        <f t="shared" si="3"/>
        <v>0</v>
      </c>
      <c r="M16" s="232">
        <f t="shared" si="3"/>
        <v>24770.294999999998</v>
      </c>
      <c r="N16" s="233">
        <f>SUM(N7:N15)</f>
        <v>5674.57627118644</v>
      </c>
      <c r="O16" s="101">
        <f>SUM(O7:O15)</f>
        <v>152.22435635593217</v>
      </c>
      <c r="P16" s="113">
        <f>SUM(P7:P15)</f>
        <v>30597.095627542367</v>
      </c>
      <c r="Q16" s="128">
        <f>SUM(Q7:Q15)</f>
        <v>120</v>
      </c>
      <c r="R16" s="313">
        <v>14</v>
      </c>
      <c r="S16" s="300" t="str">
        <f>+'14'!A6:A6</f>
        <v>Euro Store E-2 (Wapda Town)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Euro Store E-2 (Wapda Town)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Euro Store E-2 (Wapda Town)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30024.6</v>
      </c>
      <c r="R19" s="299">
        <v>17</v>
      </c>
      <c r="S19" s="300" t="str">
        <f>+'17'!A6:A6</f>
        <v>Euro Store E-2 (Wapda Town)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4203.4440000000004</v>
      </c>
      <c r="R20" s="299">
        <v>18</v>
      </c>
      <c r="S20" s="300" t="str">
        <f>+'18'!A6:A6</f>
        <v>Euro Store E-2 (Wapda Town)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1050.8610000000001</v>
      </c>
      <c r="R21" s="299">
        <v>19</v>
      </c>
      <c r="S21" s="300" t="str">
        <f>+'19'!A6:A6</f>
        <v>Euro Store E-2 (Wapda Town)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24770.294999999998</v>
      </c>
      <c r="R22" s="299">
        <v>20</v>
      </c>
      <c r="S22" s="300" t="str">
        <f>+'20'!A6:A6</f>
        <v>Euro Store E-2 (Wapda Town)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5674.57627118644</v>
      </c>
      <c r="R23" s="299">
        <v>21</v>
      </c>
      <c r="S23" s="300" t="str">
        <f>+'21'!A6:A6</f>
        <v>Euro Store E-2 (Wapda Town)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30444.871271186439</v>
      </c>
      <c r="R24" s="299">
        <v>22</v>
      </c>
      <c r="S24" s="300" t="str">
        <f>+'22'!A6:A6</f>
        <v>Euro Store E-2 (Wapda Town)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152.22435635593217</v>
      </c>
      <c r="R25" s="299">
        <v>23</v>
      </c>
      <c r="S25" s="300" t="str">
        <f>+'23'!A6:A6</f>
        <v>Euro Store E-2 (Wapda Town)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30597.09562754237</v>
      </c>
      <c r="R26" s="299">
        <v>24</v>
      </c>
      <c r="S26" s="300" t="str">
        <f>+'24'!A6:A6</f>
        <v>Euro Store E-2 (Wapda Town)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Euro Store E-2 (Wapda Town)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Euro Store E-2 (Wapda Town)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Euro Store E-2 (Wapda Town)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Euro Store E-2 (Wapda Town)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Euro Store E-2 (Wapda Town)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Euro Store E-2 (Wapda Town)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30597.09562754237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0" workbookViewId="0">
      <selection activeCell="H24" sqref="H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500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0.14000000000000001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120</v>
      </c>
      <c r="I16" s="235">
        <f>(G16*D16)*F16+H16*F16</f>
        <v>6295.5</v>
      </c>
      <c r="J16" s="271">
        <f>$I16*S16</f>
        <v>881.37000000000012</v>
      </c>
      <c r="K16" s="127">
        <f>$I16*T16</f>
        <v>220.34250000000003</v>
      </c>
      <c r="L16" s="118">
        <f>$I16*U16</f>
        <v>0</v>
      </c>
      <c r="M16" s="229">
        <f>I16-SUM(J16:L16)</f>
        <v>5193.7875000000004</v>
      </c>
      <c r="N16" s="248">
        <f>+(G16*D16+H16)*V16</f>
        <v>1189.8305084745757</v>
      </c>
      <c r="O16" s="238">
        <f>(N16+M16)*$O$15</f>
        <v>31.918090042372878</v>
      </c>
      <c r="P16" s="118">
        <f>M16+N16+O16</f>
        <v>6415.5360985169482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120</v>
      </c>
      <c r="I17" s="236">
        <f t="shared" ref="I17:I23" si="0">(G17*D17)*F17+H17*F17</f>
        <v>6295.5</v>
      </c>
      <c r="J17" s="272">
        <f t="shared" ref="J17:L24" si="1">$I17*S17</f>
        <v>881.37000000000012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5193.7875000000004</v>
      </c>
      <c r="N17" s="277">
        <f t="shared" ref="N17:N24" si="3">+(G17*D17+H17)*V17</f>
        <v>1189.8305084745757</v>
      </c>
      <c r="O17" s="239">
        <f t="shared" ref="O17:O24" si="4">(N17+M17)*$O$15</f>
        <v>31.918090042372878</v>
      </c>
      <c r="P17" s="119">
        <f t="shared" ref="P17:P24" si="5">M17+N17+O17</f>
        <v>6415.5360985169482</v>
      </c>
      <c r="Q17" s="318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8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8">
        <v>120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120</v>
      </c>
      <c r="I20" s="236">
        <f t="shared" si="7"/>
        <v>8716.7999999999993</v>
      </c>
      <c r="J20" s="272">
        <f t="shared" si="1"/>
        <v>1220.3520000000001</v>
      </c>
      <c r="K20" s="128">
        <f t="shared" si="1"/>
        <v>305.08800000000002</v>
      </c>
      <c r="L20" s="119">
        <f t="shared" si="1"/>
        <v>0</v>
      </c>
      <c r="M20" s="230">
        <f t="shared" si="2"/>
        <v>7191.3599999999988</v>
      </c>
      <c r="N20" s="277">
        <f t="shared" si="3"/>
        <v>1647.4576271186443</v>
      </c>
      <c r="O20" s="239">
        <f t="shared" si="4"/>
        <v>44.194088135593212</v>
      </c>
      <c r="P20" s="119">
        <f t="shared" si="5"/>
        <v>8883.0117152542352</v>
      </c>
      <c r="Q20" s="318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120</v>
      </c>
      <c r="I21" s="236">
        <f t="shared" si="7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119">
        <f t="shared" si="5"/>
        <v>8883.0117152542352</v>
      </c>
      <c r="Q21" s="318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480</v>
      </c>
      <c r="I25" s="114">
        <f t="shared" ref="I25:M25" si="10">SUM(I16:I24)</f>
        <v>30024.6</v>
      </c>
      <c r="J25" s="274">
        <f>SUM(J16:J24)</f>
        <v>4203.4440000000004</v>
      </c>
      <c r="K25" s="275">
        <f t="shared" si="10"/>
        <v>1050.8610000000001</v>
      </c>
      <c r="L25" s="276">
        <f t="shared" si="10"/>
        <v>0</v>
      </c>
      <c r="M25" s="232">
        <f t="shared" si="10"/>
        <v>24770.294999999998</v>
      </c>
      <c r="N25" s="233">
        <f>SUM(N16:N24)</f>
        <v>5674.57627118644</v>
      </c>
      <c r="O25" s="101">
        <f>SUM(O16:O24)</f>
        <v>152.22435635593217</v>
      </c>
      <c r="P25" s="234">
        <f>SUM(P16:P24)</f>
        <v>30597.095627542367</v>
      </c>
      <c r="Q25" s="239">
        <f>SUM(Q16:Q24)</f>
        <v>120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30024.6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4203.4440000000004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1050.8610000000001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24770.294999999998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5674.57627118644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30444.871271186439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152.2243563559322</v>
      </c>
    </row>
    <row r="35" spans="2:16" ht="15.75" customHeight="1" thickBot="1" x14ac:dyDescent="0.4">
      <c r="N35" s="345" t="s">
        <v>88</v>
      </c>
      <c r="O35" s="346"/>
      <c r="P35" s="297">
        <f>+P33+P34</f>
        <v>30597.09562754237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0"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502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XFD38"/>
  <sheetViews>
    <sheetView topLeftCell="A10"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J1" t="s">
        <v>513</v>
      </c>
    </row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8.7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9.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6.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20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8.7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517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46322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46321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">
        <v>62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516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46325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46324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2026-10-29T04:56:13Z</dcterms:modified>
</cp:coreProperties>
</file>