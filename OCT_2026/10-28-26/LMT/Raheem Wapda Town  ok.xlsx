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BFAB0C1-FF07-434C-ABA8-A5ED551924E7}" xr6:coauthVersionLast="47" xr6:coauthVersionMax="47" xr10:uidLastSave="{00000000-0000-0000-0000-000000000000}"/>
  <bookViews>
    <workbookView xWindow="-110" yWindow="-110" windowWidth="19420" windowHeight="10420" tabRatio="886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J16" i="11" s="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 s="1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7" i="62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72" l="1"/>
  <c r="M18" i="48"/>
  <c r="M20" i="53"/>
  <c r="O20" i="53" s="1"/>
  <c r="P20" i="53" s="1"/>
  <c r="R20" i="53" s="1"/>
  <c r="M21" i="52"/>
  <c r="O21" i="52" s="1"/>
  <c r="P21" i="52" s="1"/>
  <c r="M16" i="65"/>
  <c r="M22" i="63"/>
  <c r="O22" i="63" s="1"/>
  <c r="P22" i="63" s="1"/>
  <c r="M16" i="64"/>
  <c r="M21" i="51"/>
  <c r="M16" i="66"/>
  <c r="M16" i="44"/>
  <c r="M20" i="70"/>
  <c r="O20" i="70" s="1"/>
  <c r="P20" i="70" s="1"/>
  <c r="R20" i="70" s="1"/>
  <c r="M16" i="48"/>
  <c r="M20" i="71"/>
  <c r="O20" i="71" s="1"/>
  <c r="P20" i="71" s="1"/>
  <c r="R20" i="71" s="1"/>
  <c r="M16" i="60"/>
  <c r="M16" i="58"/>
  <c r="M20" i="46"/>
  <c r="O20" i="46" s="1"/>
  <c r="P20" i="46" s="1"/>
  <c r="R20" i="46" s="1"/>
  <c r="M18" i="67"/>
  <c r="O18" i="67" s="1"/>
  <c r="P18" i="67" s="1"/>
  <c r="M17" i="60"/>
  <c r="O17" i="60" s="1"/>
  <c r="P17" i="60" s="1"/>
  <c r="M16" i="59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<sst xmlns="http://schemas.openxmlformats.org/spreadsheetml/2006/main" count="3948" uniqueCount="517">
  <si>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</si>
  <si>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</si>
  <si>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</si>
  <si>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</si>
  <si>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</si>
  <si>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</si>
  <si>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</si>
  <si>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</si>
  <si>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</si>
  <si>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</si>
  <si>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</si>
  <si>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</si>
  <si>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</si>
  <si>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</si>
  <si>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</si>
  <si>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</si>
  <si>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</si>
  <si>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</si>
  <si>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</si>
  <si>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</si>
  <si>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</si>
  <si>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</si>
  <si>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</si>
  <si>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</si>
  <si>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</si>
  <si>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</si>
  <si>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</si>
  <si>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</si>
  <si>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</si>
  <si>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</si>
  <si>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</si>
  <si>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</si>
  <si>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</si>
  <si>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</si>
  <si>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</si>
  <si>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</si>
  <si>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</si>
  <si>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</si>
  <si>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</si>
  <si>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</si>
  <si>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</si>
  <si>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</si>
  <si>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</si>
  <si>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</si>
  <si>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</si>
  <si>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</si>
  <si>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</si>
  <si>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</si>
  <si>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</si>
  <si>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</si>
  <si>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</si>
  <si>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</si>
  <si>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</si>
  <si>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</si>
  <si>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</si>
  <si>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</si>
  <si>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</si>
  <si>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</si>
  <si>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</si>
  <si>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</si>
  <si>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</si>
  <si>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</si>
  <si>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</si>
  <si>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</si>
  <si>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</si>
  <si>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</si>
  <si>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</si>
  <si>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</si>
  <si>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</si>
  <si>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</si>
  <si>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</si>
  <si>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</si>
  <si>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</si>
  <si>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</si>
  <si>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</si>
  <si>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</si>
  <si>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</si>
  <si>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</si>
  <si>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</si>
  <si>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</si>
  <si>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</si>
  <si>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</si>
  <si>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</si>
  <si>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</si>
  <si>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</si>
  <si>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</si>
  <si>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</si>
  <si>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</si>
  <si>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</si>
  <si>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</si>
  <si>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</si>
  <si>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</si>
  <si>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</si>
  <si>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</si>
  <si>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</si>
  <si>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</si>
  <si>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</si>
  <si>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</si>
  <si>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</si>
  <si>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</si>
  <si>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</si>
  <si>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</si>
  <si>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</si>
  <si>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</si>
  <si>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</si>
  <si>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</si>
  <si>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</si>
  <si>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</si>
  <si>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</si>
  <si>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</si>
  <si>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</si>
  <si>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</si>
  <si>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</si>
  <si>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</si>
  <si>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</si>
  <si>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</si>
  <si>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</si>
  <si>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</si>
  <si>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</si>
  <si>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</si>
  <si>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</si>
  <si>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</si>
  <si>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</si>
  <si>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</si>
  <si>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</si>
  <si>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</si>
  <si>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</si>
  <si>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</si>
  <si>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</si>
  <si>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</si>
  <si>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</si>
  <si>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</si>
  <si>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</si>
  <si>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</si>
  <si>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</si>
  <si>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</si>
  <si>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</si>
  <si>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</si>
  <si>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</si>
  <si>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</si>
  <si>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</si>
  <si>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</si>
  <si>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</si>
  <si>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</si>
  <si>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</si>
  <si>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</si>
  <si>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</si>
  <si>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</si>
  <si>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</si>
  <si>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</si>
  <si>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</si>
  <si>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</si>
  <si>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</si>
  <si>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</si>
  <si>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</si>
  <si>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</si>
  <si>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</si>
  <si>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</si>
  <si>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</si>
  <si>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</si>
  <si>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</si>
  <si>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</si>
  <si>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</si>
  <si>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</si>
  <si>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</si>
  <si>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</si>
  <si>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</si>
  <si>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</si>
  <si>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</si>
  <si>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</si>
  <si>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</si>
  <si>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</si>
  <si>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</si>
  <si>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</si>
  <si>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</si>
  <si>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</si>
  <si>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</si>
  <si>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</si>
  <si>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</si>
  <si>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</si>
  <si>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</si>
  <si>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</si>
  <si>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</si>
  <si>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</si>
  <si>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</si>
  <si>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</si>
  <si>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</si>
  <si>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</si>
  <si>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</si>
  <si>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</si>
  <si>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</si>
  <si>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</si>
  <si>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</si>
  <si>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</si>
  <si>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</si>
  <si>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</si>
  <si>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</si>
  <si>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</si>
  <si>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</si>
  <si>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</si>
  <si>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</si>
  <si>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</si>
  <si>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</si>
  <si>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</si>
  <si>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</si>
  <si>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</si>
  <si>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</si>
  <si>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</si>
  <si>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</si>
  <si>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</si>
  <si>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</si>
  <si>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</si>
  <si>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</si>
  <si>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</si>
  <si>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</si>
  <si>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</si>
  <si>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</si>
  <si>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</si>
  <si>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</si>
  <si>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</si>
  <si>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</si>
  <si>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</si>
  <si>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</si>
  <si>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</si>
  <si>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</si>
  <si>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</si>
  <si>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</si>
  <si>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</si>
  <si>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</si>
  <si>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</si>
  <si>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</si>
  <si>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</si>
  <si>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</si>
  <si>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</si>
  <si>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</si>
  <si>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</si>
  <si>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</si>
  <si>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</si>
  <si>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</si>
  <si>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</si>
  <si>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</si>
  <si>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</si>
  <si>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</si>
  <si>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</si>
  <si>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</si>
  <si>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</si>
  <si>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</si>
  <si>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</si>
  <si>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</si>
  <si>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</si>
  <si>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</si>
  <si>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</si>
  <si>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</si>
  <si>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</si>
  <si>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</si>
  <si>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</si>
  <si>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</si>
  <si>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</si>
  <si>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</si>
  <si>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</si>
  <si>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</si>
  <si>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</si>
  <si>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</si>
  <si>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</si>
  <si>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</si>
  <si>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</si>
  <si>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</si>
  <si>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</si>
  <si>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</si>
  <si>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</si>
  <si>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</si>
  <si>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</si>
  <si>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</si>
  <si>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</si>
  <si>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</si>
  <si>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</si>
  <si>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</si>
  <si>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</si>
  <si>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</si>
  <si>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</si>
  <si>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</si>
  <si>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</si>
  <si>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</si>
  <si>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</si>
  <si>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</si>
  <si>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</si>
  <si>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</si>
  <si>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</si>
  <si>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</si>
  <si>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</si>
  <si>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</si>
  <si>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</si>
  <si>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</si>
  <si>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</si>
  <si>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</si>
  <si>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</si>
  <si>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</si>
  <si>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</si>
  <si>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</si>
  <si>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</si>
  <si>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</si>
  <si>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</si>
  <si>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</si>
  <si>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</si>
  <si>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</si>
  <si>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</si>
  <si>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</si>
  <si>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</si>
  <si>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</si>
  <si>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</si>
  <si>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</si>
  <si>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</si>
  <si>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</si>
  <si>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</si>
  <si>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</si>
  <si>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</si>
  <si>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</si>
  <si>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</si>
  <si>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</si>
  <si>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</si>
  <si>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</si>
  <si>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</si>
  <si>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</si>
  <si>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</si>
  <si>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</si>
  <si>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</si>
  <si>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</si>
  <si>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</si>
  <si>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</si>
  <si>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</si>
  <si>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</si>
  <si>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</si>
  <si>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</si>
  <si>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</si>
  <si>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</si>
  <si>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</si>
  <si>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</si>
  <si>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</si>
  <si>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</si>
  <si>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</si>
  <si>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</si>
  <si>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</si>
  <si>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</si>
  <si>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</si>
  <si>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</si>
  <si>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</si>
  <si>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</si>
  <si>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</si>
  <si>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</si>
  <si>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</si>
  <si>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</si>
  <si>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</si>
  <si>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</si>
  <si>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</si>
  <si>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</si>
  <si>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</si>
  <si>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</si>
  <si>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</si>
  <si>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</si>
  <si>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</si>
  <si>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</si>
  <si>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</si>
  <si>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</si>
  <si>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</si>
  <si>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</si>
  <si>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</si>
  <si>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</si>
  <si>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</si>
  <si>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</si>
  <si>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</si>
  <si>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</si>
  <si>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</si>
  <si>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</si>
  <si>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</si>
  <si>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</si>
  <si>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</si>
  <si>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</si>
  <si>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</si>
  <si>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</si>
  <si>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</si>
  <si>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</si>
  <si>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</si>
  <si>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</si>
  <si>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</si>
  <si>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</si>
  <si>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</si>
  <si>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</si>
  <si>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</si>
  <si>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</si>
  <si>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</si>
  <si>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</si>
  <si>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</si>
  <si>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</si>
  <si>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</si>
  <si>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</si>
  <si>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</si>
  <si>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</si>
  <si>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</si>
  <si>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</si>
  <si>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</si>
  <si>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</si>
  <si>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</si>
  <si>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</si>
  <si>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</si>
  <si>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</si>
  <si>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</si>
  <si>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</si>
  <si>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</si>
  <si>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</si>
  <si>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</si>
  <si>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</si>
  <si>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</si>
  <si>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</si>
  <si>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</si>
  <si>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</si>
  <si>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</si>
  <si>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</si>
  <si>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</si>
  <si>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</si>
  <si>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</si>
  <si>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</si>
  <si>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</si>
  <si>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</si>
  <si>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</si>
  <si>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</si>
  <si>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</si>
  <si>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</si>
  <si>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</si>
  <si>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</si>
  <si>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</si>
  <si>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</si>
  <si>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</si>
  <si>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</si>
  <si>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</si>
  <si>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</si>
  <si>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</si>
  <si>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</si>
  <si>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</si>
  <si>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</si>
  <si>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</si>
  <si>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</si>
  <si>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</si>
  <si>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</si>
  <si>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</si>
  <si>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</si>
  <si>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</si>
  <si>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</si>
  <si>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</si>
  <si>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</si>
  <si>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</si>
  <si>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</si>
  <si>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</si>
  <si>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</si>
  <si>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</si>
  <si>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</si>
  <si>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</si>
  <si>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</si>
  <si>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</si>
  <si>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</si>
  <si>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</si>
  <si>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</si>
  <si>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</si>
  <si>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</si>
  <si>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</si>
  <si>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</si>
  <si>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</si>
  <si>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</si>
  <si>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</si>
  <si>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</si>
  <si>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</si>
  <si>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</si>
  <si>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</si>
  <si>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</si>
  <si>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</si>
  <si>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</si>
  <si>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</si>
  <si>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</si>
  <si>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</si>
  <si>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</si>
  <si>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</si>
  <si>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</si>
  <si>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</si>
  <si>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</si>
  <si>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</si>
  <si>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</si>
  <si>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</si>
  <si>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</si>
  <si>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</si>
  <si>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</si>
  <si>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</si>
  <si>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</si>
  <si>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</si>
  <si>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</si>
  <si>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</si>
  <si>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</si>
  <si>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</si>
  <si>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</si>
  <si>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</si>
  <si>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</si>
  <si>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</si>
  <si>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</si>
  <si>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</si>
  <si>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</si>
  <si>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</si>
  <si>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</si>
  <si>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</si>
  <si>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</si>
  <si>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</si>
  <si>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</si>
  <si>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</si>
  <si>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</si>
  <si>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</si>
  <si>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Raheem</t>
  </si>
  <si>
    <t>Raheem Store</t>
  </si>
  <si>
    <t>NTN : // :  4920922-6</t>
  </si>
  <si>
    <t xml:space="preserve">Address: Wapda Town </t>
  </si>
  <si>
    <t>Invoice No # : 161453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</si>
</sst>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U3" sqref="U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46324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Raheem Store</v>
      </c>
      <c r="T3" s="301">
        <f>+'1'!P35</f>
        <v>35460.919123029656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Raheem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Raheem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Raheem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</v>
      </c>
      <c r="R7" s="314">
        <v>5</v>
      </c>
      <c r="S7" s="300" t="str">
        <f>+'5'!A6:A6</f>
        <v>Raheem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115</v>
      </c>
      <c r="I8" s="236">
        <f t="shared" ref="I8:I14" si="0">(G8*D8)*F8+H8*F8</f>
        <v>6033.1875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844.64625000000012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5188.5412500000002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1140.2542372881351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31.643977436440679</v>
      </c>
      <c r="P8" s="311">
        <f t="shared" ref="P8:P15" si="2">M8+N8+O8</f>
        <v>6360.4394647245763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</v>
      </c>
      <c r="R8" s="314">
        <v>6</v>
      </c>
      <c r="S8" s="300" t="str">
        <f>+'6'!A6:A6</f>
        <v>Raheem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Raheem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61</v>
      </c>
      <c r="I10" s="236">
        <f t="shared" si="0"/>
        <v>4431.04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620.3456000000001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3810.6943999999999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837.45762711864415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23.24076013559322</v>
      </c>
      <c r="P10" s="311">
        <f t="shared" si="2"/>
        <v>4671.3927872542372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59</v>
      </c>
      <c r="R10" s="314">
        <v>8</v>
      </c>
      <c r="S10" s="300" t="str">
        <f>+'8'!A6:A6</f>
        <v>Raheem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119</v>
      </c>
      <c r="I11" s="236">
        <f t="shared" si="0"/>
        <v>8644.16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1210.1824000000001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7433.9776000000002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1633.7288135593221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45.338532067796613</v>
      </c>
      <c r="P11" s="311">
        <f t="shared" si="2"/>
        <v>9113.0449456271199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</v>
      </c>
      <c r="R11" s="314">
        <v>9</v>
      </c>
      <c r="S11" s="300" t="str">
        <f>+'9'!A6:A6</f>
        <v>Raheem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12494.08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76.199213559322033</v>
      </c>
      <c r="P12" s="311">
        <f t="shared" si="2"/>
        <v>15316.041925423729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Raheem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Raheem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Raheem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Raheem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12.375</v>
      </c>
      <c r="H16" s="113">
        <f t="shared" ref="H16:M16" si="3">SUM(H7:H15)</f>
        <v>495</v>
      </c>
      <c r="I16" s="114">
        <f t="shared" si="3"/>
        <v>33636.387499999997</v>
      </c>
      <c r="J16" s="274">
        <f>SUM(J7:J15)</f>
        <v>4709.094250000001</v>
      </c>
      <c r="K16" s="275">
        <f t="shared" si="3"/>
        <v>0</v>
      </c>
      <c r="L16" s="276">
        <f t="shared" si="3"/>
        <v>0</v>
      </c>
      <c r="M16" s="232">
        <f t="shared" si="3"/>
        <v>28927.293250000002</v>
      </c>
      <c r="N16" s="233">
        <f>SUM(N7:N15)</f>
        <v>6357.2033898305081</v>
      </c>
      <c r="O16" s="101">
        <f>SUM(O7:O15)</f>
        <v>176.42248319915254</v>
      </c>
      <c r="P16" s="113">
        <f>SUM(P7:P15)</f>
        <v>35460.919123029664</v>
      </c>
      <c r="Q16" s="128">
        <f>SUM(Q7:Q15)</f>
        <v>65</v>
      </c>
      <c r="R16" s="314">
        <v>14</v>
      </c>
      <c r="S16" s="300" t="str">
        <f>+'14'!A6:A6</f>
        <v>Raheem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Raheem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Raheem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33636.387499999997</v>
      </c>
      <c r="R19" s="299">
        <v>17</v>
      </c>
      <c r="S19" s="300" t="str">
        <f>+'17'!A6:A6</f>
        <v>Raheem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4709.094250000001</v>
      </c>
      <c r="R20" s="299">
        <v>18</v>
      </c>
      <c r="S20" s="300" t="str">
        <f>+'18'!A6:A6</f>
        <v>Raheem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>Raheem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28927.293249999995</v>
      </c>
      <c r="R22" s="299">
        <v>20</v>
      </c>
      <c r="S22" s="300" t="str">
        <f>+'20'!A6:A6</f>
        <v>Raheem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6357.2033898305081</v>
      </c>
      <c r="R23" s="299">
        <v>21</v>
      </c>
      <c r="S23" s="300" t="str">
        <f>+'21'!A6:A6</f>
        <v>Raheem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35284.496639830504</v>
      </c>
      <c r="R24" s="299">
        <v>22</v>
      </c>
      <c r="S24" s="300" t="str">
        <f>+'22'!A6:A6</f>
        <v>Raheem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176.42248319915254</v>
      </c>
      <c r="R25" s="299">
        <v>23</v>
      </c>
      <c r="S25" s="300" t="str">
        <f>+'23'!A6:A6</f>
        <v>Raheem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35460.919123029656</v>
      </c>
      <c r="R26" s="299">
        <v>24</v>
      </c>
      <c r="S26" s="300" t="str">
        <f>+'24'!A6:A6</f>
        <v>Raheem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Raheem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Raheem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Raheem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Raheem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Raheem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Raheem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35460.919123029656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5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20">
        <v>3</v>
      </c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115</v>
      </c>
      <c r="I17" s="236">
        <f t="shared" ref="I17:I23" si="0">(G17*D17)*F17+H17*F17</f>
        <v>6033.1875</v>
      </c>
      <c r="J17" s="272">
        <f t="shared" ref="J17:L24" si="1">$I17*S17</f>
        <v>844.64625000000012</v>
      </c>
      <c r="K17" s="128">
        <f>$I17*T17</f>
        <v>0</v>
      </c>
      <c r="L17" s="119">
        <f>$I17*U17</f>
        <v>0</v>
      </c>
      <c r="M17" s="230">
        <f t="shared" ref="M17:M24" si="2">I17-SUM(J17:L17)</f>
        <v>5188.5412500000002</v>
      </c>
      <c r="N17" s="277">
        <f t="shared" ref="N17:N24" si="3">+(G17*D17+H17)*V17</f>
        <v>1140.2542372881351</v>
      </c>
      <c r="O17" s="239">
        <f t="shared" ref="O17:O24" si="4">(N17+M17)*$O$15</f>
        <v>31.643977436440679</v>
      </c>
      <c r="P17" s="311">
        <f t="shared" ref="P17:P24" si="5">M17+N17+O17</f>
        <v>6360.4394647245763</v>
      </c>
      <c r="Q17" s="321">
        <v>2</v>
      </c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21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61</v>
      </c>
      <c r="I19" s="236">
        <f t="shared" si="7"/>
        <v>4431.04</v>
      </c>
      <c r="J19" s="272">
        <f t="shared" si="1"/>
        <v>620.3456000000001</v>
      </c>
      <c r="K19" s="128">
        <f t="shared" si="1"/>
        <v>0</v>
      </c>
      <c r="L19" s="119">
        <f t="shared" si="1"/>
        <v>0</v>
      </c>
      <c r="M19" s="230">
        <f t="shared" si="2"/>
        <v>3810.6943999999999</v>
      </c>
      <c r="N19" s="277">
        <f t="shared" si="3"/>
        <v>837.45762711864415</v>
      </c>
      <c r="O19" s="239">
        <f t="shared" si="4"/>
        <v>23.24076013559322</v>
      </c>
      <c r="P19" s="311">
        <f t="shared" si="5"/>
        <v>4671.3927872542372</v>
      </c>
      <c r="Q19" s="321">
        <v>59</v>
      </c>
      <c r="R19" s="319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119</v>
      </c>
      <c r="I20" s="236">
        <f t="shared" si="7"/>
        <v>8644.16</v>
      </c>
      <c r="J20" s="272">
        <f t="shared" si="1"/>
        <v>1210.1824000000001</v>
      </c>
      <c r="K20" s="128">
        <f t="shared" si="1"/>
        <v>0</v>
      </c>
      <c r="L20" s="119">
        <f t="shared" si="1"/>
        <v>0</v>
      </c>
      <c r="M20" s="230">
        <f t="shared" si="2"/>
        <v>7433.9776000000002</v>
      </c>
      <c r="N20" s="277">
        <f t="shared" si="3"/>
        <v>1633.7288135593221</v>
      </c>
      <c r="O20" s="239">
        <f t="shared" si="4"/>
        <v>45.338532067796613</v>
      </c>
      <c r="P20" s="311">
        <f t="shared" si="5"/>
        <v>9113.0449456271199</v>
      </c>
      <c r="Q20" s="321">
        <v>1</v>
      </c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0</v>
      </c>
      <c r="L21" s="119">
        <f t="shared" si="1"/>
        <v>0</v>
      </c>
      <c r="M21" s="230">
        <f t="shared" si="2"/>
        <v>12494.08</v>
      </c>
      <c r="N21" s="277">
        <f t="shared" si="3"/>
        <v>2745.7627118644068</v>
      </c>
      <c r="O21" s="239">
        <f t="shared" si="4"/>
        <v>76.199213559322033</v>
      </c>
      <c r="P21" s="311">
        <f t="shared" si="5"/>
        <v>15316.041925423729</v>
      </c>
      <c r="Q21" s="321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495</v>
      </c>
      <c r="I25" s="114">
        <f t="shared" ref="I25:M25" si="10">SUM(I16:I24)</f>
        <v>33636.387499999997</v>
      </c>
      <c r="J25" s="274">
        <f>SUM(J16:J24)</f>
        <v>4709.094250000001</v>
      </c>
      <c r="K25" s="275">
        <f t="shared" si="10"/>
        <v>0</v>
      </c>
      <c r="L25" s="276">
        <f t="shared" si="10"/>
        <v>0</v>
      </c>
      <c r="M25" s="232">
        <f t="shared" si="10"/>
        <v>28927.293250000002</v>
      </c>
      <c r="N25" s="233">
        <f>SUM(N16:N24)</f>
        <v>6357.2033898305081</v>
      </c>
      <c r="O25" s="101">
        <f>SUM(O16:O24)</f>
        <v>176.42248319915254</v>
      </c>
      <c r="P25" s="113">
        <f>SUM(P16:P24)</f>
        <v>35460.919123029664</v>
      </c>
      <c r="Q25" s="128">
        <f>SUM(Q16:Q24)</f>
        <v>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33636.387499999997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4709.094250000001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28927.293249999995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6357.2033898305081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35284.496639830504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176.42248319915254</v>
      </c>
    </row>
    <row r="35" spans="2:16" ht="15.75" customHeight="1" thickBot="1" x14ac:dyDescent="0.4">
      <c r="N35" s="375" t="s">
        <v>88</v>
      </c>
      <c r="O35" s="376"/>
      <c r="P35" s="297">
        <f>+P33+P34</f>
        <v>35460.919123029656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16" sqref="H16: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516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46323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46322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514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515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8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46325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46324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2026-10-29T05:34:22Z</dcterms:modified>
</cp:coreProperties>
</file>