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96BED57-2B77-4F9A-B54E-68241694FEF7}" xr6:coauthVersionLast="47" xr6:coauthVersionMax="47" xr10:uidLastSave="{00000000-0000-0000-0000-000000000000}"/>
  <bookViews>
    <workbookView xWindow="-110" yWindow="-110" windowWidth="19420" windowHeight="10420" tabRatio="948" firstSheet="3" activeTab="2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66" l="1"/>
  <c r="M16" i="64"/>
  <c r="J25" i="61"/>
  <c r="P29" i="61" s="1"/>
  <c r="M16" i="60"/>
  <c r="M16" i="58"/>
  <c r="M20" i="53"/>
  <c r="O20" i="53" s="1"/>
  <c r="P20" i="53" s="1"/>
  <c r="M21" i="52"/>
  <c r="O21" i="52" s="1"/>
  <c r="P21" i="52" s="1"/>
  <c r="K12" i="62"/>
  <c r="M21" i="51"/>
  <c r="M17" i="44"/>
  <c r="O17" i="44" s="1"/>
  <c r="P17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<sst xmlns="http://schemas.openxmlformats.org/spreadsheetml/2006/main" count="3948" uniqueCount="541">
  <si>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</si>
  <si>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</si>
  <si>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</si>
  <si>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</si>
  <si>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</si>
  <si>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</si>
  <si>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</si>
  <si>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</si>
  <si>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</si>
  <si>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</si>
  <si>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</si>
  <si>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</si>
  <si>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</si>
  <si>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</si>
  <si>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</si>
  <si>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</si>
  <si>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</si>
  <si>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</si>
  <si>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</si>
  <si>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</si>
  <si>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</si>
  <si>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</si>
  <si>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</si>
  <si>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</si>
  <si>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</si>
  <si>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</si>
  <si>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</si>
  <si>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</si>
  <si>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</si>
  <si>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</si>
  <si>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</si>
  <si>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</si>
  <si>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</si>
  <si>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</si>
  <si>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</si>
  <si>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</si>
  <si>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</si>
  <si>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</si>
  <si>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</si>
  <si>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</si>
  <si>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</si>
  <si>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</si>
  <si>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</si>
  <si>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</si>
  <si>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</si>
  <si>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</si>
  <si>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</si>
  <si>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</si>
  <si>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</si>
  <si>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</si>
  <si>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</si>
  <si>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</si>
  <si>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</si>
  <si>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</si>
  <si>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</si>
  <si>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</si>
  <si>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</si>
  <si>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</si>
  <si>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</si>
  <si>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</si>
  <si>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</si>
  <si>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</si>
  <si>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</si>
  <si>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</si>
  <si>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</si>
  <si>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</si>
  <si>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</si>
  <si>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</si>
  <si>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</si>
  <si>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</si>
  <si>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</si>
  <si>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</si>
  <si>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</si>
  <si>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</si>
  <si>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</si>
  <si>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</si>
  <si>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</si>
  <si>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</si>
  <si>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</si>
  <si>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</si>
  <si>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</si>
  <si>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</si>
  <si>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</si>
  <si>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</si>
  <si>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</si>
  <si>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</si>
  <si>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</si>
  <si>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</si>
  <si>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</si>
  <si>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</si>
  <si>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</si>
  <si>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</si>
  <si>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</si>
  <si>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</si>
  <si>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</si>
  <si>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</si>
  <si>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</si>
  <si>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</si>
  <si>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</si>
  <si>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</si>
  <si>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</si>
  <si>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</si>
  <si>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</si>
  <si>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</si>
  <si>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</si>
  <si>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</si>
  <si>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</si>
  <si>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</si>
  <si>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</si>
  <si>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</si>
  <si>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</si>
  <si>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</si>
  <si>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</si>
  <si>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</si>
  <si>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</si>
  <si>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</si>
  <si>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</si>
  <si>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</si>
  <si>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</si>
  <si>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</si>
  <si>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</si>
  <si>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</si>
  <si>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</si>
  <si>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</si>
  <si>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</si>
  <si>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</si>
  <si>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</si>
  <si>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</si>
  <si>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</si>
  <si>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</si>
  <si>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</si>
  <si>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</si>
  <si>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</si>
  <si>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</si>
  <si>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</si>
  <si>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</si>
  <si>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</si>
  <si>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</si>
  <si>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</si>
  <si>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</si>
  <si>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</si>
  <si>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</si>
  <si>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</si>
  <si>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</si>
  <si>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</si>
  <si>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</si>
  <si>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</si>
  <si>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</si>
  <si>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</si>
  <si>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</si>
  <si>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</si>
  <si>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</si>
  <si>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</si>
  <si>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</si>
  <si>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</si>
  <si>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</si>
  <si>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</si>
  <si>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</si>
  <si>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</si>
  <si>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</si>
  <si>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</si>
  <si>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</si>
  <si>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</si>
  <si>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</si>
  <si>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</si>
  <si>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</si>
  <si>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</si>
  <si>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</si>
  <si>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</si>
  <si>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</si>
  <si>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</si>
  <si>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</si>
  <si>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</si>
  <si>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</si>
  <si>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</si>
  <si>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</si>
  <si>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</si>
  <si>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</si>
  <si>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</si>
  <si>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</si>
  <si>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</si>
  <si>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</si>
  <si>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</si>
  <si>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</si>
  <si>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</si>
  <si>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</si>
  <si>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</si>
  <si>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</si>
  <si>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</si>
  <si>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</si>
  <si>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</si>
  <si>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</si>
  <si>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</si>
  <si>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</si>
  <si>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</si>
  <si>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</si>
  <si>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</si>
  <si>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</si>
  <si>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</si>
  <si>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</si>
  <si>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</si>
  <si>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</si>
  <si>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</si>
  <si>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</si>
  <si>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</si>
  <si>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</si>
  <si>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</si>
  <si>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</si>
  <si>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</si>
  <si>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</si>
  <si>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</si>
  <si>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</si>
  <si>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</si>
  <si>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</si>
  <si>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</si>
  <si>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</si>
  <si>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</si>
  <si>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</si>
  <si>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</si>
  <si>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</si>
  <si>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</si>
  <si>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</si>
  <si>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</si>
  <si>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</si>
  <si>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</si>
  <si>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</si>
  <si>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</si>
  <si>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</si>
  <si>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</si>
  <si>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</si>
  <si>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</si>
  <si>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</si>
  <si>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</si>
  <si>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</si>
  <si>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</si>
  <si>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</si>
  <si>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</si>
  <si>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</si>
  <si>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</si>
  <si>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</si>
  <si>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</si>
  <si>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</si>
  <si>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</si>
  <si>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</si>
  <si>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</si>
  <si>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</si>
  <si>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</si>
  <si>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</si>
  <si>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</si>
  <si>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</si>
  <si>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</si>
  <si>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</si>
  <si>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</si>
  <si>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</si>
  <si>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</si>
  <si>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</si>
  <si>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</si>
  <si>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</si>
  <si>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</si>
  <si>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</si>
  <si>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</si>
  <si>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</si>
  <si>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</si>
  <si>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</si>
  <si>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</si>
  <si>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</si>
  <si>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</si>
  <si>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</si>
  <si>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</si>
  <si>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</si>
  <si>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</si>
  <si>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</si>
  <si>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</si>
  <si>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</si>
  <si>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</si>
  <si>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</si>
  <si>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</si>
  <si>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</si>
  <si>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</si>
  <si>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</si>
  <si>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</si>
  <si>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</si>
  <si>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</si>
  <si>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</si>
  <si>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</si>
  <si>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</si>
  <si>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</si>
  <si>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</si>
  <si>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</si>
  <si>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</si>
  <si>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</si>
  <si>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</si>
  <si>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</si>
  <si>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</si>
  <si>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</si>
  <si>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</si>
  <si>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</si>
  <si>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</si>
  <si>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</si>
  <si>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</si>
  <si>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</si>
  <si>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</si>
  <si>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</si>
  <si>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</si>
  <si>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</si>
  <si>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</si>
  <si>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</si>
  <si>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</si>
  <si>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</si>
  <si>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</si>
  <si>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</si>
  <si>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</si>
  <si>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</si>
  <si>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</si>
  <si>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</si>
  <si>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</si>
  <si>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</si>
  <si>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</si>
  <si>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</si>
  <si>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</si>
  <si>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</si>
  <si>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</si>
  <si>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</si>
  <si>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</si>
  <si>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</si>
  <si>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</si>
  <si>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</si>
  <si>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</si>
  <si>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</si>
  <si>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</si>
  <si>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</si>
  <si>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</si>
  <si>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</si>
  <si>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</si>
  <si>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</si>
  <si>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</si>
  <si>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</si>
  <si>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</si>
  <si>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</si>
  <si>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</si>
  <si>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</si>
  <si>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</si>
  <si>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</si>
  <si>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</si>
  <si>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</si>
  <si>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</si>
  <si>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</si>
  <si>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</si>
  <si>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</si>
  <si>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</si>
  <si>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</si>
  <si>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</si>
  <si>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</si>
  <si>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</si>
  <si>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</si>
  <si>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</si>
  <si>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</si>
  <si>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</si>
  <si>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</si>
  <si>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</si>
  <si>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</si>
  <si>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</si>
  <si>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</si>
  <si>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</si>
  <si>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</si>
  <si>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</si>
  <si>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</si>
  <si>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</si>
  <si>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</si>
  <si>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</si>
  <si>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</si>
  <si>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</si>
  <si>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</si>
  <si>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</si>
  <si>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</si>
  <si>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</si>
  <si>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</si>
  <si>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</si>
  <si>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</si>
  <si>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</si>
  <si>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</si>
  <si>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</si>
  <si>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</si>
  <si>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</si>
  <si>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</si>
  <si>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</si>
  <si>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</si>
  <si>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</si>
  <si>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</si>
  <si>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</si>
  <si>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</si>
  <si>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</si>
  <si>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</si>
  <si>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</si>
  <si>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</si>
  <si>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</si>
  <si>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</si>
  <si>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</si>
  <si>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</si>
  <si>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</si>
  <si>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</si>
  <si>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</si>
  <si>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</si>
  <si>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</si>
  <si>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</si>
  <si>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</si>
  <si>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</si>
  <si>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</si>
  <si>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</si>
  <si>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</si>
  <si>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</si>
  <si>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</si>
  <si>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</si>
  <si>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</si>
  <si>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</si>
  <si>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</si>
  <si>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</si>
  <si>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</si>
  <si>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</si>
  <si>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</si>
  <si>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</si>
  <si>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</si>
  <si>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</si>
  <si>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</si>
  <si>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</si>
  <si>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</si>
  <si>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</si>
  <si>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</si>
  <si>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</si>
  <si>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</si>
  <si>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</si>
  <si>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</si>
  <si>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</si>
  <si>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</si>
  <si>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</si>
  <si>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</si>
  <si>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</si>
  <si>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</si>
  <si>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</si>
  <si>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</si>
  <si>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</si>
  <si>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</si>
  <si>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</si>
  <si>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</si>
  <si>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</si>
  <si>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</si>
  <si>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</si>
  <si>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</si>
  <si>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</si>
  <si>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</si>
  <si>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</si>
  <si>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</si>
  <si>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</si>
  <si>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</si>
  <si>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</si>
  <si>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</si>
  <si>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</si>
  <si>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</si>
  <si>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</si>
  <si>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</si>
  <si>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</si>
  <si>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</si>
  <si>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</si>
  <si>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</si>
  <si>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</si>
  <si>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</si>
  <si>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</si>
  <si>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</si>
  <si>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</si>
  <si>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</si>
  <si>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</si>
  <si>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</si>
  <si>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</si>
  <si>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</si>
  <si>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</si>
  <si>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</si>
  <si>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</si>
  <si>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</si>
  <si>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</si>
  <si>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</si>
  <si>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</si>
  <si>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</si>
  <si>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</si>
  <si>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</si>
  <si>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</si>
  <si>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</si>
  <si>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</si>
  <si>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</si>
  <si>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</si>
  <si>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</si>
  <si>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</si>
  <si>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</si>
  <si>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</si>
  <si>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</si>
  <si>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</si>
  <si>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</si>
  <si>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</si>
  <si>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</si>
  <si>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</si>
  <si>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</si>
  <si>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</si>
  <si>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</si>
  <si>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</si>
  <si>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</si>
  <si>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</si>
  <si>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</si>
  <si>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</si>
  <si>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</si>
  <si>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</si>
  <si>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</si>
  <si>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</si>
  <si>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</si>
  <si>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</si>
  <si>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</si>
  <si>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</si>
  <si>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 xml:space="preserve">Adil Sweets </t>
  </si>
  <si>
    <t xml:space="preserve">Address: Tajbagh </t>
  </si>
  <si>
    <t xml:space="preserve">Ali Bakers </t>
  </si>
  <si>
    <t>Butt Store</t>
  </si>
  <si>
    <t xml:space="preserve">Gulam Rasool </t>
  </si>
  <si>
    <t xml:space="preserve">Adil Bakers </t>
  </si>
  <si>
    <t>Shahbaz Store</t>
  </si>
  <si>
    <t>Haji Store</t>
  </si>
  <si>
    <t>Wasif Store</t>
  </si>
  <si>
    <t>Shamas Store</t>
  </si>
  <si>
    <t>Qazi Store</t>
  </si>
  <si>
    <t>Lali GS</t>
  </si>
  <si>
    <t>Kamran Store</t>
  </si>
  <si>
    <t>Altaf GS</t>
  </si>
  <si>
    <t>Shah G Store</t>
  </si>
  <si>
    <t>Sultani Store</t>
  </si>
  <si>
    <t>Zafar Store</t>
  </si>
  <si>
    <t>Maki Store</t>
  </si>
  <si>
    <t>Kashmir Store</t>
  </si>
  <si>
    <t>Faisa Store</t>
  </si>
  <si>
    <t>Sajjad Store (Sample)</t>
  </si>
  <si>
    <t xml:space="preserve">Ah Mart </t>
  </si>
  <si>
    <t xml:space="preserve">Data Ali Hajweri </t>
  </si>
  <si>
    <t>Al Makkah Store</t>
  </si>
  <si>
    <t>Kashif Super Store</t>
  </si>
  <si>
    <t xml:space="preserve">AG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</si>
</sst>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A16" workbookViewId="0">
      <selection activeCell="S26" sqref="S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Adil Sweets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Ali Bakers 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Butt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Gulam Rasool </v>
      </c>
      <c r="T6" s="301">
        <f>+'4'!P35</f>
        <v>339.75773742584738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140</v>
      </c>
      <c r="I7" s="235">
        <f>(G7*D7)*F7+H7*F7</f>
        <v>7344.75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587.57999999999993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257.06624999999997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6500.1037500000002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1388.1355932203383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39.441196716101693</v>
      </c>
      <c r="P7" s="310">
        <f>M7+N7+O7</f>
        <v>7927.6805399364403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60</v>
      </c>
      <c r="R7" s="313">
        <v>5</v>
      </c>
      <c r="S7" s="300" t="str">
        <f>+'5'!A6:A6</f>
        <v xml:space="preserve">Adil Bakers </v>
      </c>
      <c r="T7" s="301">
        <f>+'5'!P35</f>
        <v>339.75773742584738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90</v>
      </c>
      <c r="I8" s="236">
        <f t="shared" ref="I8:I14" si="0">(G8*D8)*F8+H8*F8</f>
        <v>4721.625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377.72999999999996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165.25687500000001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4178.6381250000004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892.3728813559319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25.35505503177966</v>
      </c>
      <c r="P8" s="311">
        <f t="shared" ref="P8:P15" si="2">M8+N8+O8</f>
        <v>5096.3660613877119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60</v>
      </c>
      <c r="R8" s="313">
        <v>6</v>
      </c>
      <c r="S8" s="300" t="str">
        <f>+'6'!A6:A6</f>
        <v>Shahbaz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Haji Store</v>
      </c>
      <c r="T9" s="301">
        <f>+'7'!P35</f>
        <v>339.75773742584738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27.305324745762711</v>
      </c>
      <c r="P10" s="311">
        <f t="shared" si="2"/>
        <v>5488.3702738983056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3">
        <v>8</v>
      </c>
      <c r="S10" s="300" t="str">
        <f>+'8'!A6:A6</f>
        <v>Wasif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Shamas Store</v>
      </c>
      <c r="T11" s="301">
        <f>+'9'!P35</f>
        <v>566.26289570974575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3">
        <v>10</v>
      </c>
      <c r="S12" s="300" t="str">
        <f>+'10'!A6:A6</f>
        <v>Qazi Store</v>
      </c>
      <c r="T12" s="301">
        <f>+'10'!P35</f>
        <v>470.43173776271186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20</v>
      </c>
      <c r="R13" s="313">
        <v>11</v>
      </c>
      <c r="S13" s="300" t="str">
        <f>+'11'!A6:A6</f>
        <v>Lali GS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Kamran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Altaf GS</v>
      </c>
      <c r="T15" s="301">
        <f>+'13'!P35</f>
        <v>784.05289627118646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11.25</v>
      </c>
      <c r="H16" s="113">
        <f t="shared" ref="H16:M16" si="3">SUM(H7:H15)</f>
        <v>450</v>
      </c>
      <c r="I16" s="114">
        <f t="shared" si="3"/>
        <v>28047.174999999999</v>
      </c>
      <c r="J16" s="274">
        <f>SUM(J7:J15)</f>
        <v>2243.7740000000003</v>
      </c>
      <c r="K16" s="275">
        <f t="shared" si="3"/>
        <v>981.65112500000009</v>
      </c>
      <c r="L16" s="276">
        <f t="shared" si="3"/>
        <v>0</v>
      </c>
      <c r="M16" s="232">
        <f t="shared" si="3"/>
        <v>24821.749874999998</v>
      </c>
      <c r="N16" s="233">
        <f>SUM(N7:N15)</f>
        <v>5300.8474576271183</v>
      </c>
      <c r="O16" s="101">
        <f>SUM(O7:O15)</f>
        <v>150.61298666313562</v>
      </c>
      <c r="P16" s="113">
        <f>SUM(P7:P15)</f>
        <v>30273.210319290258</v>
      </c>
      <c r="Q16" s="128">
        <f>SUM(Q7:Q15)</f>
        <v>190</v>
      </c>
      <c r="R16" s="313">
        <v>14</v>
      </c>
      <c r="S16" s="315" t="str">
        <f>+'14'!A6:A6</f>
        <v>Shah G Store</v>
      </c>
      <c r="T16" s="301">
        <f>+'14'!P35</f>
        <v>566.26289570974575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Sultani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Zafar Store</v>
      </c>
      <c r="T18" s="301">
        <f>+'16'!P35</f>
        <v>566.26289570974575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28047.174999999999</v>
      </c>
      <c r="R19" s="299">
        <v>17</v>
      </c>
      <c r="S19" s="300" t="str">
        <f>+'17'!A6:A6</f>
        <v>Maki Store</v>
      </c>
      <c r="T19" s="301">
        <f>+'17'!P35</f>
        <v>566.26289570974575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2243.7740000000003</v>
      </c>
      <c r="R20" s="299">
        <v>18</v>
      </c>
      <c r="S20" s="300" t="str">
        <f>+'18'!A6:A6</f>
        <v>Kashmir Store</v>
      </c>
      <c r="T20" s="301">
        <f>+'18'!P35</f>
        <v>339.75773742584738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981.65112500000009</v>
      </c>
      <c r="R21" s="299">
        <v>19</v>
      </c>
      <c r="S21" s="300" t="str">
        <f>+'19'!A6:A6</f>
        <v>Faisa Store</v>
      </c>
      <c r="T21" s="301">
        <f>+'19'!P35</f>
        <v>339.75773742584738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24821.749874999998</v>
      </c>
      <c r="R22" s="299">
        <v>20</v>
      </c>
      <c r="S22" s="300" t="str">
        <f>+'20'!A6:A6</f>
        <v>Sajjad Store (Sample)</v>
      </c>
      <c r="T22" s="301">
        <f>+'20'!P35</f>
        <v>313.62115850847459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5300.8474576271183</v>
      </c>
      <c r="R23" s="299">
        <v>21</v>
      </c>
      <c r="S23" s="300" t="str">
        <f>+'21'!A6:A6</f>
        <v xml:space="preserve">Ah Mart </v>
      </c>
      <c r="T23" s="301">
        <f>+'21'!P35</f>
        <v>8537.4747530084751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30122.597332627116</v>
      </c>
      <c r="R24" s="299">
        <v>22</v>
      </c>
      <c r="S24" s="300" t="str">
        <f>+'22'!A6:A6</f>
        <v xml:space="preserve">Data Ali Hajweri </v>
      </c>
      <c r="T24" s="301">
        <f>+'22'!P35</f>
        <v>2265.051582838983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150.61298666313562</v>
      </c>
      <c r="R25" s="299">
        <v>23</v>
      </c>
      <c r="S25" s="300" t="str">
        <f>+'23'!A6:A6</f>
        <v>Al Makkah Store</v>
      </c>
      <c r="T25" s="301">
        <f>+'23'!P35</f>
        <v>1568.1057925423729</v>
      </c>
    </row>
    <row r="26" spans="1:20" ht="21.75" customHeight="1" thickBot="1" x14ac:dyDescent="0.4">
      <c r="N26" s="345" t="s">
        <v>88</v>
      </c>
      <c r="O26" s="346"/>
      <c r="P26" s="297">
        <f>+P24+P25</f>
        <v>30273.21031929025</v>
      </c>
      <c r="R26" s="299">
        <v>24</v>
      </c>
      <c r="S26" s="300" t="str">
        <f>+'24'!A6:A6</f>
        <v>Kashif Super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 xml:space="preserve">AG Mart </v>
      </c>
      <c r="T27" s="301">
        <f>+'25'!P35</f>
        <v>8537.4747530084751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30273.210319290258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Q17" sqref="Q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9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8.7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290.56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23.244800000000001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10.169600000000001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257.1456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312.06085423728814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313.62115850847459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42.474998771186442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632.77599999999995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276.83950000000004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7000.0845000000008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8494.9997542372894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45" t="s">
        <v>88</v>
      </c>
      <c r="O35" s="346"/>
      <c r="P35" s="297">
        <f>+P33+P34</f>
        <v>8537.4747530084751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abSelected="1" topLeftCell="A2" workbookViewId="0">
      <selection activeCell="F5" sqref="F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7000.0845000000008</v>
      </c>
      <c r="N25" s="233">
        <f>SUM(N16:N24)</f>
        <v>1494.9152542372881</v>
      </c>
      <c r="O25" s="101">
        <f>SUM(O16:O24)</f>
        <v>42.474998771186435</v>
      </c>
      <c r="P25" s="234">
        <f>SUM(P16:P24)</f>
        <v>8537.4747530084751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632.77599999999995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276.83950000000004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7000.0845000000008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8494.9997542372894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45" t="s">
        <v>88</v>
      </c>
      <c r="O35" s="346"/>
      <c r="P35" s="297">
        <f>+P33+P34</f>
        <v>8537.4747530084751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2026-10-28T09:54:41Z</dcterms:modified>
</cp:coreProperties>
</file>