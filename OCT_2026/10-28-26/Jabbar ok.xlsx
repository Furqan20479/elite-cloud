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841EE20-6875-46F2-9958-7544603BE5F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<sst xmlns="http://schemas.openxmlformats.org/spreadsheetml/2006/main" count="3948" uniqueCount="523">
  <si>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</si>
  <si>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</si>
  <si>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</si>
  <si>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</si>
  <si>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</si>
  <si>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</si>
  <si>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</si>
  <si>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</si>
  <si>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</si>
  <si>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</si>
  <si>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</si>
  <si>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</si>
  <si>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</si>
  <si>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</si>
  <si>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</si>
  <si>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</si>
  <si>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</si>
  <si>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</si>
  <si>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</si>
  <si>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</si>
  <si>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</si>
  <si>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</si>
  <si>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</si>
  <si>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</si>
  <si>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</si>
  <si>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</si>
  <si>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</si>
  <si>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</si>
  <si>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</si>
  <si>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</si>
  <si>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</si>
  <si>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</si>
  <si>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</si>
  <si>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</si>
  <si>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</si>
  <si>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</si>
  <si>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</si>
  <si>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</si>
  <si>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</si>
  <si>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</si>
  <si>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</si>
  <si>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</si>
  <si>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</si>
  <si>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</si>
  <si>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</si>
  <si>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</si>
  <si>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</si>
  <si>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</si>
  <si>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</si>
  <si>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</si>
  <si>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</si>
  <si>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</si>
  <si>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</si>
  <si>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</si>
  <si>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</si>
  <si>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</si>
  <si>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</si>
  <si>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</si>
  <si>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</si>
  <si>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</si>
  <si>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</si>
  <si>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</si>
  <si>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</si>
  <si>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</si>
  <si>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</si>
  <si>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</si>
  <si>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</si>
  <si>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</si>
  <si>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</si>
  <si>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</si>
  <si>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</si>
  <si>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</si>
  <si>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</si>
  <si>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</si>
  <si>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</si>
  <si>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</si>
  <si>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</si>
  <si>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</si>
  <si>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</si>
  <si>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</si>
  <si>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</si>
  <si>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</si>
  <si>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</si>
  <si>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</si>
  <si>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</si>
  <si>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</si>
  <si>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</si>
  <si>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</si>
  <si>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</si>
  <si>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</si>
  <si>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</si>
  <si>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</si>
  <si>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</si>
  <si>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</si>
  <si>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</si>
  <si>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</si>
  <si>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</si>
  <si>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</si>
  <si>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</si>
  <si>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</si>
  <si>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</si>
  <si>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</si>
  <si>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</si>
  <si>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</si>
  <si>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</si>
  <si>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</si>
  <si>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</si>
  <si>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</si>
  <si>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</si>
  <si>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</si>
  <si>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</si>
  <si>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</si>
  <si>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</si>
  <si>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</si>
  <si>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</si>
  <si>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</si>
  <si>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</si>
  <si>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</si>
  <si>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</si>
  <si>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</si>
  <si>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</si>
  <si>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</si>
  <si>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</si>
  <si>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</si>
  <si>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</si>
  <si>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</si>
  <si>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</si>
  <si>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</si>
  <si>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</si>
  <si>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</si>
  <si>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</si>
  <si>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</si>
  <si>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</si>
  <si>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</si>
  <si>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</si>
  <si>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</si>
  <si>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</si>
  <si>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</si>
  <si>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</si>
  <si>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</si>
  <si>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</si>
  <si>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</si>
  <si>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</si>
  <si>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</si>
  <si>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</si>
  <si>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</si>
  <si>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</si>
  <si>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</si>
  <si>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</si>
  <si>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</si>
  <si>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</si>
  <si>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</si>
  <si>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</si>
  <si>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</si>
  <si>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</si>
  <si>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</si>
  <si>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</si>
  <si>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</si>
  <si>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</si>
  <si>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</si>
  <si>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</si>
  <si>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</si>
  <si>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</si>
  <si>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</si>
  <si>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</si>
  <si>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</si>
  <si>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</si>
  <si>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</si>
  <si>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</si>
  <si>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</si>
  <si>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</si>
  <si>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</si>
  <si>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</si>
  <si>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</si>
  <si>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</si>
  <si>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</si>
  <si>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</si>
  <si>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</si>
  <si>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</si>
  <si>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</si>
  <si>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</si>
  <si>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</si>
  <si>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</si>
  <si>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</si>
  <si>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</si>
  <si>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</si>
  <si>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</si>
  <si>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</si>
  <si>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</si>
  <si>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</si>
  <si>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</si>
  <si>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</si>
  <si>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</si>
  <si>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</si>
  <si>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</si>
  <si>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</si>
  <si>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</si>
  <si>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</si>
  <si>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</si>
  <si>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</si>
  <si>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</si>
  <si>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</si>
  <si>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</si>
  <si>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</si>
  <si>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</si>
  <si>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</si>
  <si>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</si>
  <si>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</si>
  <si>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</si>
  <si>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</si>
  <si>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</si>
  <si>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</si>
  <si>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</si>
  <si>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</si>
  <si>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</si>
  <si>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</si>
  <si>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</si>
  <si>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</si>
  <si>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</si>
  <si>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</si>
  <si>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</si>
  <si>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</si>
  <si>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</si>
  <si>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</si>
  <si>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</si>
  <si>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</si>
  <si>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</si>
  <si>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</si>
  <si>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</si>
  <si>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</si>
  <si>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</si>
  <si>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</si>
  <si>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</si>
  <si>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</si>
  <si>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</si>
  <si>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</si>
  <si>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</si>
  <si>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</si>
  <si>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</si>
  <si>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</si>
  <si>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</si>
  <si>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</si>
  <si>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</si>
  <si>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</si>
  <si>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</si>
  <si>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</si>
  <si>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</si>
  <si>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</si>
  <si>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</si>
  <si>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</si>
  <si>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</si>
  <si>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</si>
  <si>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</si>
  <si>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</si>
  <si>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</si>
  <si>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</si>
  <si>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</si>
  <si>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</si>
  <si>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</si>
  <si>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</si>
  <si>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</si>
  <si>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</si>
  <si>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</si>
  <si>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</si>
  <si>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</si>
  <si>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</si>
  <si>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</si>
  <si>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</si>
  <si>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</si>
  <si>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</si>
  <si>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</si>
  <si>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</si>
  <si>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</si>
  <si>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</si>
  <si>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</si>
  <si>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</si>
  <si>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</si>
  <si>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</si>
  <si>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</si>
  <si>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</si>
  <si>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</si>
  <si>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</si>
  <si>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</si>
  <si>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</si>
  <si>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</si>
  <si>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</si>
  <si>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</si>
  <si>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</si>
  <si>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</si>
  <si>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</si>
  <si>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</si>
  <si>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</si>
  <si>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</si>
  <si>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</si>
  <si>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</si>
  <si>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</si>
  <si>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</si>
  <si>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</si>
  <si>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</si>
  <si>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</si>
  <si>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</si>
  <si>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</si>
  <si>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</si>
  <si>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</si>
  <si>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</si>
  <si>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</si>
  <si>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</si>
  <si>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</si>
  <si>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</si>
  <si>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</si>
  <si>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</si>
  <si>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</si>
  <si>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</si>
  <si>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</si>
  <si>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</si>
  <si>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</si>
  <si>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</si>
  <si>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</si>
  <si>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</si>
  <si>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</si>
  <si>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</si>
  <si>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</si>
  <si>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</si>
  <si>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</si>
  <si>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</si>
  <si>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</si>
  <si>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</si>
  <si>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</si>
  <si>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</si>
  <si>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</si>
  <si>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</si>
  <si>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</si>
  <si>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</si>
  <si>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</si>
  <si>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</si>
  <si>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</si>
  <si>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</si>
  <si>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</si>
  <si>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</si>
  <si>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</si>
  <si>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</si>
  <si>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</si>
  <si>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</si>
  <si>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</si>
  <si>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</si>
  <si>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</si>
  <si>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</si>
  <si>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</si>
  <si>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</si>
  <si>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</si>
  <si>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</si>
  <si>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</si>
  <si>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</si>
  <si>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</si>
  <si>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</si>
  <si>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</si>
  <si>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</si>
  <si>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</si>
  <si>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</si>
  <si>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</si>
  <si>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</si>
  <si>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</si>
  <si>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</si>
  <si>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</si>
  <si>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</si>
  <si>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</si>
  <si>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</si>
  <si>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</si>
  <si>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</si>
  <si>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</si>
  <si>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</si>
  <si>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</si>
  <si>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</si>
  <si>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</si>
  <si>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</si>
  <si>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</si>
  <si>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</si>
  <si>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</si>
  <si>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</si>
  <si>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</si>
  <si>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</si>
  <si>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</si>
  <si>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</si>
  <si>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</si>
  <si>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</si>
  <si>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</si>
  <si>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</si>
  <si>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</si>
  <si>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</si>
  <si>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</si>
  <si>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</si>
  <si>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</si>
  <si>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</si>
  <si>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</si>
  <si>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</si>
  <si>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</si>
  <si>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</si>
  <si>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</si>
  <si>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</si>
  <si>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</si>
  <si>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</si>
  <si>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</si>
  <si>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</si>
  <si>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</si>
  <si>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</si>
  <si>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</si>
  <si>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</si>
  <si>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</si>
  <si>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</si>
  <si>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</si>
  <si>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</si>
  <si>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</si>
  <si>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</si>
  <si>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</si>
  <si>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</si>
  <si>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</si>
  <si>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</si>
  <si>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</si>
  <si>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</si>
  <si>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</si>
  <si>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</si>
  <si>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</si>
  <si>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</si>
  <si>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</si>
  <si>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</si>
  <si>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</si>
  <si>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</si>
  <si>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</si>
  <si>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</si>
  <si>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</si>
  <si>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</si>
  <si>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</si>
  <si>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</si>
  <si>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</si>
  <si>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</si>
  <si>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</si>
  <si>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</si>
  <si>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</si>
  <si>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</si>
  <si>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</si>
  <si>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</si>
  <si>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</si>
  <si>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</si>
  <si>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</si>
  <si>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</si>
  <si>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</si>
  <si>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</si>
  <si>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</si>
  <si>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</si>
  <si>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</si>
  <si>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</si>
  <si>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</si>
  <si>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</si>
  <si>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</si>
  <si>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</si>
  <si>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</si>
  <si>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</si>
  <si>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</si>
  <si>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</si>
  <si>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</si>
  <si>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</si>
  <si>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</si>
  <si>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</si>
  <si>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</si>
  <si>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</si>
  <si>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</si>
  <si>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</si>
  <si>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</si>
  <si>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</si>
  <si>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</si>
  <si>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</si>
  <si>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</si>
  <si>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</si>
  <si>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</si>
  <si>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</si>
  <si>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</si>
  <si>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</si>
  <si>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</si>
  <si>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</si>
  <si>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</si>
  <si>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</si>
  <si>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</si>
  <si>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</si>
  <si>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</si>
  <si>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</si>
  <si>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</si>
  <si>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</si>
  <si>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</si>
  <si>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</si>
  <si>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</si>
  <si>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</si>
  <si>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</si>
  <si>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</si>
  <si>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</si>
  <si>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</si>
  <si>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</si>
  <si>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</si>
  <si>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</si>
  <si>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</si>
  <si>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</si>
  <si>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</si>
  <si>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</si>
  <si>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</si>
  <si>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</si>
  <si>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</si>
  <si>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</si>
  <si>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</si>
  <si>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</si>
  <si>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</si>
  <si>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</si>
  <si>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</si>
  <si>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</si>
  <si>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</si>
  <si>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</si>
  <si>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</si>
  <si>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Rehman Bakery</t>
  </si>
  <si>
    <t>Address: Nazamaabad</t>
  </si>
  <si>
    <t xml:space="preserve">Bin Saeed </t>
  </si>
  <si>
    <t>Mousa Store</t>
  </si>
  <si>
    <t xml:space="preserve">Address: Dugach </t>
  </si>
  <si>
    <t xml:space="preserve">Shimla Phari Shop </t>
  </si>
  <si>
    <t>Bilal Store</t>
  </si>
  <si>
    <t>Address: Dugach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</si>
</sst>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Rehman Bakery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Bin Saeed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Mousa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Shimla Phari Shop 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Bilal Store</v>
      </c>
      <c r="T7" s="301">
        <f>+'5'!P35</f>
        <v>5122.484851805084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</v>
      </c>
      <c r="I10" s="236">
        <f t="shared" si="0"/>
        <v>5230.08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418.40640000000002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183.05280000000002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4628.6207999999997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988.47457627118661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28.08547688135593</v>
      </c>
      <c r="P10" s="311">
        <f t="shared" si="2"/>
        <v>5645.1808531525421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67</v>
      </c>
      <c r="I11" s="236">
        <f t="shared" si="0"/>
        <v>4866.88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389.35039999999998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170.34080000000003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4307.1887999999999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919.83050847457639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26.135096542372885</v>
      </c>
      <c r="P11" s="311">
        <f t="shared" si="2"/>
        <v>5253.1544050169487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109</v>
      </c>
      <c r="I12" s="236">
        <f t="shared" si="0"/>
        <v>7917.76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633.42079999999999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277.12160000000006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7007.2175999999999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1496.4406779661017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42.518291389830509</v>
      </c>
      <c r="P12" s="311">
        <f t="shared" si="2"/>
        <v>8546.1765693559319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6.8</v>
      </c>
      <c r="H16" s="113">
        <f t="shared" ref="H16:M16" si="3">SUM(H7:H15)</f>
        <v>272</v>
      </c>
      <c r="I16" s="114">
        <f t="shared" si="3"/>
        <v>19273.82</v>
      </c>
      <c r="J16" s="274">
        <f>SUM(J7:J15)</f>
        <v>1541.9056</v>
      </c>
      <c r="K16" s="275">
        <f t="shared" si="3"/>
        <v>674.58370000000014</v>
      </c>
      <c r="L16" s="276">
        <f t="shared" si="3"/>
        <v>0</v>
      </c>
      <c r="M16" s="232">
        <f t="shared" si="3"/>
        <v>17057.330699999999</v>
      </c>
      <c r="N16" s="233">
        <f>SUM(N7:N15)</f>
        <v>3642.71186440678</v>
      </c>
      <c r="O16" s="101">
        <f>SUM(O7:O15)</f>
        <v>103.5002128220339</v>
      </c>
      <c r="P16" s="113">
        <f>SUM(P7:P15)</f>
        <v>20803.542777228813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19273.82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1541.9056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674.58370000000014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17057.330700000002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3642.71186440678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20700.042564406784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103.5002128220339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20803.542777228817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20803.542777228813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72</v>
      </c>
      <c r="I25" s="114">
        <f t="shared" si="7"/>
        <v>4745.82</v>
      </c>
      <c r="J25" s="274">
        <f>SUM(J16:J24)</f>
        <v>379.66560000000004</v>
      </c>
      <c r="K25" s="275">
        <f t="shared" si="7"/>
        <v>166.10370000000003</v>
      </c>
      <c r="L25" s="276">
        <f t="shared" si="7"/>
        <v>0</v>
      </c>
      <c r="M25" s="232">
        <f t="shared" si="7"/>
        <v>4200.0506999999998</v>
      </c>
      <c r="N25" s="233">
        <f>SUM(N16:N24)</f>
        <v>896.94915254237287</v>
      </c>
      <c r="O25" s="101">
        <f>SUM(O16:O24)</f>
        <v>25.484999262711863</v>
      </c>
      <c r="P25" s="234">
        <f>SUM(P16:P24)</f>
        <v>5122.4848518050849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4745.82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379.66560000000004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166.10370000000003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4200.0506999999998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896.94915254237287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5096.9998525423725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25.484999262711863</v>
      </c>
    </row>
    <row r="35" spans="2:16" ht="15.75" customHeight="1" thickBot="1" x14ac:dyDescent="0.4">
      <c r="N35" s="374" t="s">
        <v>88</v>
      </c>
      <c r="O35" s="375"/>
      <c r="P35" s="297">
        <f>+P33+P34</f>
        <v>5122.484851805084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2026-10-28T09:43:00Z</dcterms:modified>
</cp:coreProperties>
</file>