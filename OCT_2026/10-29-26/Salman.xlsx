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AAD43B9-E3E9-426E-9CEA-CBDB57A9309F}" xr6:coauthVersionLast="47" xr6:coauthVersionMax="47" xr10:uidLastSave="{00000000-0000-0000-0000-000000000000}"/>
  <bookViews>
    <workbookView xWindow="-110" yWindow="-110" windowWidth="19420" windowHeight="10420" tabRatio="948" firstSheet="3" activeTab="1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<sst xmlns="http://schemas.openxmlformats.org/spreadsheetml/2006/main" count="3948" uniqueCount="531">
  <si>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</si>
  <si>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</si>
  <si>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</si>
  <si>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</si>
  <si>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</si>
  <si>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</si>
  <si>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</si>
  <si>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</si>
  <si>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</si>
  <si>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</si>
  <si>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</si>
  <si>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</si>
  <si>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</si>
  <si>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</si>
  <si>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</si>
  <si>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</si>
  <si>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</si>
  <si>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</si>
  <si>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</si>
  <si>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</si>
  <si>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</si>
  <si>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</si>
  <si>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</si>
  <si>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</si>
  <si>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</si>
  <si>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</si>
  <si>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</si>
  <si>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</si>
  <si>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</si>
  <si>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</si>
  <si>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</si>
  <si>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</si>
  <si>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</si>
  <si>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</si>
  <si>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</si>
  <si>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</si>
  <si>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</si>
  <si>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</si>
  <si>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</si>
  <si>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</si>
  <si>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</si>
  <si>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</si>
  <si>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</si>
  <si>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</si>
  <si>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</si>
  <si>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</si>
  <si>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</si>
  <si>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</si>
  <si>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</si>
  <si>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</si>
  <si>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</si>
  <si>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</si>
  <si>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</si>
  <si>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</si>
  <si>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</si>
  <si>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</si>
  <si>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</si>
  <si>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</si>
  <si>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</si>
  <si>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</si>
  <si>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</si>
  <si>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</si>
  <si>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</si>
  <si>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</si>
  <si>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</si>
  <si>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</si>
  <si>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</si>
  <si>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</si>
  <si>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</si>
  <si>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</si>
  <si>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</si>
  <si>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</si>
  <si>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</si>
  <si>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</si>
  <si>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</si>
  <si>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</si>
  <si>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</si>
  <si>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</si>
  <si>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</si>
  <si>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</si>
  <si>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</si>
  <si>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</si>
  <si>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</si>
  <si>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</si>
  <si>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</si>
  <si>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</si>
  <si>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</si>
  <si>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</si>
  <si>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</si>
  <si>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</si>
  <si>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</si>
  <si>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</si>
  <si>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</si>
  <si>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</si>
  <si>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</si>
  <si>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</si>
  <si>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</si>
  <si>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</si>
  <si>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</si>
  <si>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</si>
  <si>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</si>
  <si>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</si>
  <si>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</si>
  <si>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</si>
  <si>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</si>
  <si>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</si>
  <si>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</si>
  <si>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</si>
  <si>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</si>
  <si>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</si>
  <si>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</si>
  <si>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</si>
  <si>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</si>
  <si>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</si>
  <si>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</si>
  <si>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</si>
  <si>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</si>
  <si>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</si>
  <si>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</si>
  <si>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</si>
  <si>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</si>
  <si>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</si>
  <si>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</si>
  <si>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</si>
  <si>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</si>
  <si>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</si>
  <si>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</si>
  <si>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</si>
  <si>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</si>
  <si>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</si>
  <si>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</si>
  <si>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</si>
  <si>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</si>
  <si>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</si>
  <si>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</si>
  <si>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</si>
  <si>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</si>
  <si>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</si>
  <si>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</si>
  <si>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</si>
  <si>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</si>
  <si>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</si>
  <si>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</si>
  <si>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</si>
  <si>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</si>
  <si>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</si>
  <si>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</si>
  <si>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</si>
  <si>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</si>
  <si>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</si>
  <si>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</si>
  <si>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</si>
  <si>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</si>
  <si>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</si>
  <si>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</si>
  <si>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</si>
  <si>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</si>
  <si>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</si>
  <si>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</si>
  <si>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</si>
  <si>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</si>
  <si>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</si>
  <si>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</si>
  <si>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</si>
  <si>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</si>
  <si>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</si>
  <si>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</si>
  <si>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</si>
  <si>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</si>
  <si>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</si>
  <si>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</si>
  <si>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</si>
  <si>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</si>
  <si>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</si>
  <si>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</si>
  <si>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</si>
  <si>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</si>
  <si>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</si>
  <si>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</si>
  <si>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</si>
  <si>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</si>
  <si>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</si>
  <si>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</si>
  <si>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</si>
  <si>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</si>
  <si>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</si>
  <si>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</si>
  <si>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</si>
  <si>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</si>
  <si>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</si>
  <si>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</si>
  <si>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</si>
  <si>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</si>
  <si>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</si>
  <si>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</si>
  <si>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</si>
  <si>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</si>
  <si>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</si>
  <si>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</si>
  <si>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</si>
  <si>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</si>
  <si>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</si>
  <si>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</si>
  <si>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</si>
  <si>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</si>
  <si>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</si>
  <si>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</si>
  <si>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</si>
  <si>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</si>
  <si>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</si>
  <si>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</si>
  <si>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</si>
  <si>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</si>
  <si>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</si>
  <si>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</si>
  <si>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</si>
  <si>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</si>
  <si>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</si>
  <si>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</si>
  <si>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</si>
  <si>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</si>
  <si>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</si>
  <si>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</si>
  <si>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</si>
  <si>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</si>
  <si>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</si>
  <si>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</si>
  <si>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</si>
  <si>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</si>
  <si>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</si>
  <si>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</si>
  <si>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</si>
  <si>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</si>
  <si>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</si>
  <si>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</si>
  <si>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</si>
  <si>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</si>
  <si>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</si>
  <si>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</si>
  <si>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</si>
  <si>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</si>
  <si>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</si>
  <si>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</si>
  <si>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</si>
  <si>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</si>
  <si>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</si>
  <si>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</si>
  <si>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</si>
  <si>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</si>
  <si>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</si>
  <si>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</si>
  <si>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</si>
  <si>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</si>
  <si>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</si>
  <si>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</si>
  <si>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</si>
  <si>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</si>
  <si>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</si>
  <si>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</si>
  <si>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</si>
  <si>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</si>
  <si>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</si>
  <si>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</si>
  <si>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</si>
  <si>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</si>
  <si>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</si>
  <si>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</si>
  <si>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</si>
  <si>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</si>
  <si>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</si>
  <si>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</si>
  <si>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</si>
  <si>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</si>
  <si>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</si>
  <si>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</si>
  <si>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</si>
  <si>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</si>
  <si>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</si>
  <si>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</si>
  <si>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</si>
  <si>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</si>
  <si>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</si>
  <si>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</si>
  <si>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</si>
  <si>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</si>
  <si>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</si>
  <si>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</si>
  <si>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</si>
  <si>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</si>
  <si>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</si>
  <si>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</si>
  <si>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</si>
  <si>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</si>
  <si>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</si>
  <si>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</si>
  <si>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</si>
  <si>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</si>
  <si>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</si>
  <si>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</si>
  <si>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</si>
  <si>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</si>
  <si>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</si>
  <si>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</si>
  <si>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</si>
  <si>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</si>
  <si>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</si>
  <si>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</si>
  <si>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</si>
  <si>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</si>
  <si>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</si>
  <si>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</si>
  <si>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</si>
  <si>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</si>
  <si>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</si>
  <si>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</si>
  <si>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</si>
  <si>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</si>
  <si>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</si>
  <si>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</si>
  <si>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</si>
  <si>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</si>
  <si>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</si>
  <si>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</si>
  <si>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</si>
  <si>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</si>
  <si>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</si>
  <si>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</si>
  <si>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</si>
  <si>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</si>
  <si>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</si>
  <si>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</si>
  <si>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</si>
  <si>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</si>
  <si>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</si>
  <si>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</si>
  <si>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</si>
  <si>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</si>
  <si>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</si>
  <si>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</si>
  <si>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</si>
  <si>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</si>
  <si>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</si>
  <si>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</si>
  <si>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</si>
  <si>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</si>
  <si>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</si>
  <si>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</si>
  <si>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</si>
  <si>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</si>
  <si>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</si>
  <si>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</si>
  <si>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</si>
  <si>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</si>
  <si>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</si>
  <si>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</si>
  <si>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</si>
  <si>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</si>
  <si>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</si>
  <si>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</si>
  <si>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</si>
  <si>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</si>
  <si>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</si>
  <si>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</si>
  <si>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</si>
  <si>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</si>
  <si>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</si>
  <si>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</si>
  <si>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</si>
  <si>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</si>
  <si>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</si>
  <si>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</si>
  <si>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</si>
  <si>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</si>
  <si>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</si>
  <si>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</si>
  <si>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</si>
  <si>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</si>
  <si>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</si>
  <si>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</si>
  <si>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</si>
  <si>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</si>
  <si>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</si>
  <si>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</si>
  <si>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</si>
  <si>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</si>
  <si>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</si>
  <si>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</si>
  <si>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</si>
  <si>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</si>
  <si>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</si>
  <si>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</si>
  <si>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</si>
  <si>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</si>
  <si>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</si>
  <si>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</si>
  <si>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</si>
  <si>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</si>
  <si>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</si>
  <si>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</si>
  <si>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</si>
  <si>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</si>
  <si>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</si>
  <si>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</si>
  <si>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</si>
  <si>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</si>
  <si>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</si>
  <si>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</si>
  <si>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</si>
  <si>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</si>
  <si>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</si>
  <si>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</si>
  <si>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</si>
  <si>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</si>
  <si>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</si>
  <si>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</si>
  <si>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</si>
  <si>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</si>
  <si>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</si>
  <si>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</si>
  <si>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</si>
  <si>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</si>
  <si>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</si>
  <si>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</si>
  <si>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</si>
  <si>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</si>
  <si>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</si>
  <si>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</si>
  <si>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</si>
  <si>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</si>
  <si>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</si>
  <si>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</si>
  <si>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</si>
  <si>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</si>
  <si>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</si>
  <si>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</si>
  <si>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</si>
  <si>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</si>
  <si>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</si>
  <si>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</si>
  <si>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</si>
  <si>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</si>
  <si>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</si>
  <si>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</si>
  <si>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</si>
  <si>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</si>
  <si>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</si>
  <si>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</si>
  <si>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</si>
  <si>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</si>
  <si>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</si>
  <si>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</si>
  <si>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</si>
  <si>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</si>
  <si>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</si>
  <si>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</si>
  <si>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</si>
  <si>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</si>
  <si>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</si>
  <si>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</si>
  <si>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</si>
  <si>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</si>
  <si>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</si>
  <si>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</si>
  <si>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</si>
  <si>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</si>
  <si>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</si>
  <si>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</si>
  <si>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</si>
  <si>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</si>
  <si>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</si>
  <si>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</si>
  <si>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</si>
  <si>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</si>
  <si>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</si>
  <si>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</si>
  <si>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</si>
  <si>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</si>
  <si>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</si>
  <si>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</si>
  <si>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</si>
  <si>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</si>
  <si>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</si>
  <si>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</si>
  <si>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</si>
  <si>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</si>
  <si>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</si>
  <si>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</si>
  <si>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</si>
  <si>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</si>
  <si>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</si>
  <si>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</si>
  <si>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</si>
  <si>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</si>
  <si>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</si>
  <si>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</si>
  <si>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</si>
  <si>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</si>
  <si>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</si>
  <si>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</si>
  <si>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</si>
  <si>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</si>
  <si>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</si>
  <si>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</si>
  <si>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</si>
  <si>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</si>
  <si>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</si>
  <si>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</si>
  <si>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</si>
  <si>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</si>
  <si>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</si>
  <si>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</si>
  <si>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</si>
  <si>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</si>
  <si>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</si>
  <si>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</si>
  <si>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Khan Store</t>
  </si>
  <si>
    <t>Khan Super Store 2</t>
  </si>
  <si>
    <t>Address: Sadar Bazar</t>
  </si>
  <si>
    <t>Al Sheikh Store</t>
  </si>
  <si>
    <t>shareef Store</t>
  </si>
  <si>
    <t>Farman Khan Store</t>
  </si>
  <si>
    <t xml:space="preserve">Al Falah Bakers </t>
  </si>
  <si>
    <t>Aashiyana Store</t>
  </si>
  <si>
    <t xml:space="preserve">Al Harmain Mart </t>
  </si>
  <si>
    <t>Mughal Store</t>
  </si>
  <si>
    <t>Hadi Store</t>
  </si>
  <si>
    <t>Hafiz Super Store</t>
  </si>
  <si>
    <t>Kamal Store</t>
  </si>
  <si>
    <t>Lala G Store</t>
  </si>
  <si>
    <t>Usman Store</t>
  </si>
  <si>
    <t>Khawar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</si>
</sst>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Khan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Khan Super Store 2</v>
      </c>
      <c r="T4" s="301">
        <f>+'2'!P35</f>
        <v>2352.1586888135594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Sheikh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shareef Store</v>
      </c>
      <c r="T6" s="301">
        <f>+'4'!P35</f>
        <v>1359.0309497033895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92</v>
      </c>
      <c r="I7" s="235">
        <f>(G7*D7)*F7+H7*F7</f>
        <v>4826.55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386.12400000000002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168.92925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4271.4967500000002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912.20338983050794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25.918500699152542</v>
      </c>
      <c r="P7" s="310">
        <f>M7+N7+O7</f>
        <v>5209.6186405296612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Farman Khan Store</v>
      </c>
      <c r="T7" s="301">
        <f>+'5'!P35</f>
        <v>6969.3689604661022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86</v>
      </c>
      <c r="I8" s="236">
        <f t="shared" ref="I8:I14" si="0">(G8*D8)*F8+H8*F8</f>
        <v>4511.7749999999996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360.94200000000001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157.912125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3992.9208749999998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852.71186440677911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24.228163697033899</v>
      </c>
      <c r="P8" s="311">
        <f t="shared" ref="P8:P15" si="2">M8+N8+O8</f>
        <v>4869.8609031038131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Al Falah Bakers </v>
      </c>
      <c r="T8" s="301">
        <f>+'6'!P35</f>
        <v>2352.1586888135594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Aashiyana Store</v>
      </c>
      <c r="T9" s="301">
        <f>+'7'!P35</f>
        <v>2352.1586888135594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57</v>
      </c>
      <c r="I10" s="236">
        <f t="shared" si="0"/>
        <v>4140.4800000000005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331.23840000000001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144.91680000000002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3664.3248000000003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782.54237288135607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22.234335864406781</v>
      </c>
      <c r="P10" s="311">
        <f t="shared" si="2"/>
        <v>4469.1015087457627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Al Harmain Mart </v>
      </c>
      <c r="T10" s="301">
        <f>+'8'!P35</f>
        <v>1350.3157919809323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94</v>
      </c>
      <c r="I11" s="236">
        <f t="shared" si="0"/>
        <v>6828.16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546.25280000000009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238.98560000000003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6042.9215999999997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1290.5084745762715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36.667150372881359</v>
      </c>
      <c r="P11" s="311">
        <f t="shared" si="2"/>
        <v>7370.0972249491524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Mughal Store</v>
      </c>
      <c r="T11" s="301">
        <f>+'9'!P35</f>
        <v>1350.3157919809323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99</v>
      </c>
      <c r="I12" s="236">
        <f t="shared" si="0"/>
        <v>7191.36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575.30880000000002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251.69760000000005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6364.3535999999995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1359.1525423728815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38.617530711864411</v>
      </c>
      <c r="P12" s="311">
        <f t="shared" si="2"/>
        <v>7762.1236730847459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Hadi Store</v>
      </c>
      <c r="T12" s="301">
        <f>+'10'!P35</f>
        <v>1350.3157919809323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Hafiz Super Store</v>
      </c>
      <c r="T13" s="301">
        <f>+'11'!P35</f>
        <v>1350.3157919809323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Kamal Store</v>
      </c>
      <c r="T14" s="301">
        <f>+'12'!P35</f>
        <v>1350.3157919809323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Lala G Store</v>
      </c>
      <c r="T15" s="301">
        <f>+'13'!P35</f>
        <v>1350.3157919809323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10.85</v>
      </c>
      <c r="H16" s="113">
        <f t="shared" ref="H16:M16" si="3">SUM(H7:H15)</f>
        <v>434</v>
      </c>
      <c r="I16" s="114">
        <f t="shared" si="3"/>
        <v>27813.100000000002</v>
      </c>
      <c r="J16" s="274">
        <f>SUM(J7:J15)</f>
        <v>2225.0479999999998</v>
      </c>
      <c r="K16" s="275">
        <f t="shared" si="3"/>
        <v>973.45850000000007</v>
      </c>
      <c r="L16" s="276">
        <f t="shared" si="3"/>
        <v>0</v>
      </c>
      <c r="M16" s="232">
        <f t="shared" si="3"/>
        <v>24614.593499999999</v>
      </c>
      <c r="N16" s="233">
        <f>SUM(N7:N15)</f>
        <v>5256.6101694915251</v>
      </c>
      <c r="O16" s="101">
        <f>SUM(O7:O15)</f>
        <v>149.35601834745765</v>
      </c>
      <c r="P16" s="113">
        <f>SUM(P7:P15)</f>
        <v>30020.559687838984</v>
      </c>
      <c r="Q16" s="128">
        <f>SUM(Q7:Q15)</f>
        <v>0</v>
      </c>
      <c r="R16" s="313">
        <v>14</v>
      </c>
      <c r="S16" s="315" t="str">
        <f>+'14'!A6:A6</f>
        <v>Usman Store</v>
      </c>
      <c r="T16" s="301">
        <f>+'14'!P35</f>
        <v>1350.3157919809323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Khawar Store</v>
      </c>
      <c r="T17" s="301">
        <f>+'15'!P35</f>
        <v>1350.3157919809323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27813.100000000002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2225.0479999999998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973.45850000000007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24614.593500000003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5256.6101694915251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29871.20366949153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149.35601834745765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30020.559687838988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30020.559687838977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174.33599999999998</v>
      </c>
      <c r="K25" s="275">
        <f t="shared" si="7"/>
        <v>76.272000000000006</v>
      </c>
      <c r="L25" s="276">
        <f t="shared" si="7"/>
        <v>0</v>
      </c>
      <c r="M25" s="232">
        <f t="shared" si="7"/>
        <v>1928.5919999999999</v>
      </c>
      <c r="N25" s="233">
        <f>SUM(N16:N24)</f>
        <v>411.86440677966107</v>
      </c>
      <c r="O25" s="101">
        <f>SUM(O16:O24)</f>
        <v>11.702282033898305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174.33599999999998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116.22399999999999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30</v>
      </c>
      <c r="I20" s="236">
        <f t="shared" si="0"/>
        <v>2179.1999999999998</v>
      </c>
      <c r="J20" s="272">
        <f t="shared" si="1"/>
        <v>174.33599999999998</v>
      </c>
      <c r="K20" s="128">
        <f t="shared" si="1"/>
        <v>76.272000000000006</v>
      </c>
      <c r="L20" s="119">
        <f t="shared" si="1"/>
        <v>0</v>
      </c>
      <c r="M20" s="230">
        <f t="shared" si="2"/>
        <v>1928.5919999999999</v>
      </c>
      <c r="N20" s="277">
        <f t="shared" si="3"/>
        <v>411.86440677966107</v>
      </c>
      <c r="O20" s="239">
        <f t="shared" si="4"/>
        <v>11.702282033898305</v>
      </c>
      <c r="P20" s="119">
        <f t="shared" si="5"/>
        <v>2352.1586888135594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100</v>
      </c>
      <c r="I25" s="114">
        <f t="shared" si="7"/>
        <v>6456.9</v>
      </c>
      <c r="J25" s="274">
        <f>SUM(J16:J24)</f>
        <v>516.55200000000002</v>
      </c>
      <c r="K25" s="275">
        <f t="shared" si="7"/>
        <v>225.99150000000003</v>
      </c>
      <c r="L25" s="276">
        <f t="shared" si="7"/>
        <v>0</v>
      </c>
      <c r="M25" s="232">
        <f t="shared" si="7"/>
        <v>5714.3564999999999</v>
      </c>
      <c r="N25" s="233">
        <f>SUM(N16:N24)</f>
        <v>1220.3389830508474</v>
      </c>
      <c r="O25" s="101">
        <f>SUM(O16:O24)</f>
        <v>34.67347741525424</v>
      </c>
      <c r="P25" s="234">
        <f>SUM(P16:P24)</f>
        <v>6969.3689604661013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6456.9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516.55200000000002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225.99150000000003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5714.3564999999999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1220.3389830508474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6934.6954830508475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34.67347741525424</v>
      </c>
    </row>
    <row r="35" spans="2:16" ht="15.75" customHeight="1" thickBot="1" x14ac:dyDescent="0.4">
      <c r="N35" s="345" t="s">
        <v>88</v>
      </c>
      <c r="O35" s="346"/>
      <c r="P35" s="297">
        <f>+P33+P34</f>
        <v>6969.3689604661022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1251.0250000000001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100.08199999999999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43.785875000000004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1107.1571250000002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1343.5978029661019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5" t="s">
        <v>88</v>
      </c>
      <c r="O35" s="346"/>
      <c r="P35" s="297">
        <f>+P33+P34</f>
        <v>1350.3157919809323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1251.0250000000001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100.08199999999999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43.785875000000004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1107.1571250000002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1343.5978029661019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5" t="s">
        <v>88</v>
      </c>
      <c r="O35" s="346"/>
      <c r="P35" s="297">
        <f>+P33+P34</f>
        <v>1350.3157919809323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1251.0250000000001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100.08199999999999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43.785875000000004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1107.1571250000002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1343.5978029661019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5" t="s">
        <v>88</v>
      </c>
      <c r="O35" s="346"/>
      <c r="P35" s="297">
        <f>+P33+P34</f>
        <v>1350.3157919809323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1251.0250000000001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100.08199999999999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43.785875000000004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1107.1571250000002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1343.5978029661019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5" t="s">
        <v>88</v>
      </c>
      <c r="O35" s="346"/>
      <c r="P35" s="297">
        <f>+P33+P34</f>
        <v>1350.3157919809323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1251.0250000000001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100.08199999999999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43.785875000000004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1107.1571250000002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1343.5978029661019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5" t="s">
        <v>88</v>
      </c>
      <c r="O35" s="346"/>
      <c r="P35" s="297">
        <f>+P33+P34</f>
        <v>1350.3157919809323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1251.0250000000001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100.08199999999999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43.785875000000004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1107.1571250000002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1343.5978029661019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5" t="s">
        <v>88</v>
      </c>
      <c r="O35" s="346"/>
      <c r="P35" s="297">
        <f>+P33+P34</f>
        <v>1350.3157919809323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1251.0250000000001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100.08199999999999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43.785875000000004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1107.1571250000002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1343.5978029661019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5" t="s">
        <v>88</v>
      </c>
      <c r="O35" s="346"/>
      <c r="P35" s="297">
        <f>+P33+P34</f>
        <v>1350.3157919809323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1251.0250000000001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100.08199999999999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43.785875000000004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1107.1571250000002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1343.5978029661019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5" t="s">
        <v>88</v>
      </c>
      <c r="O35" s="346"/>
      <c r="P35" s="297">
        <f>+P33+P34</f>
        <v>1350.3157919809323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2026-10-28T11:18:03Z</dcterms:modified>
</cp:coreProperties>
</file>