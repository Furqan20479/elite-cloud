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F71F9C5-4F4C-4F6D-8E8D-BFCA332FE064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 calcMode="autoNoTable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3" l="1"/>
  <c r="O21" i="53" s="1"/>
  <c r="P21" i="53" s="1"/>
  <c r="M20" i="53"/>
  <c r="O20" i="53" s="1"/>
  <c r="P20" i="53" s="1"/>
  <c r="M16" i="44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P16" i="53"/>
  <c r="P25" i="53" s="1"/>
  <c r="O25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<sst xmlns="http://schemas.openxmlformats.org/spreadsheetml/2006/main" count="3948" uniqueCount="530">
  <si>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</si>
  <si>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</si>
  <si>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</si>
  <si>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</si>
  <si>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</si>
  <si>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</si>
  <si>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</si>
  <si>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</si>
  <si>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</si>
  <si>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</si>
  <si>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</si>
  <si>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</si>
  <si>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</si>
  <si>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</si>
  <si>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</si>
  <si>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</si>
  <si>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</si>
  <si>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</si>
  <si>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</si>
  <si>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</si>
  <si>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</si>
  <si>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</si>
  <si>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</si>
  <si>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</si>
  <si>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</si>
  <si>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</si>
  <si>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</si>
  <si>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</si>
  <si>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</si>
  <si>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</si>
  <si>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</si>
  <si>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</si>
  <si>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</si>
  <si>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</si>
  <si>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</si>
  <si>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</si>
  <si>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</si>
  <si>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</si>
  <si>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</si>
  <si>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</si>
  <si>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</si>
  <si>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</si>
  <si>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</si>
  <si>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</si>
  <si>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</si>
  <si>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</si>
  <si>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</si>
  <si>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</si>
  <si>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</si>
  <si>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</si>
  <si>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</si>
  <si>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</si>
  <si>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</si>
  <si>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</si>
  <si>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</si>
  <si>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</si>
  <si>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</si>
  <si>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</si>
  <si>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</si>
  <si>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</si>
  <si>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</si>
  <si>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</si>
  <si>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</si>
  <si>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</si>
  <si>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</si>
  <si>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</si>
  <si>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</si>
  <si>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</si>
  <si>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</si>
  <si>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</si>
  <si>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</si>
  <si>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</si>
  <si>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</si>
  <si>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</si>
  <si>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</si>
  <si>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</si>
  <si>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</si>
  <si>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</si>
  <si>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</si>
  <si>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</si>
  <si>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</si>
  <si>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</si>
  <si>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</si>
  <si>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</si>
  <si>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</si>
  <si>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</si>
  <si>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</si>
  <si>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</si>
  <si>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</si>
  <si>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</si>
  <si>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</si>
  <si>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</si>
  <si>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</si>
  <si>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</si>
  <si>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</si>
  <si>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</si>
  <si>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</si>
  <si>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</si>
  <si>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</si>
  <si>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</si>
  <si>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</si>
  <si>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</si>
  <si>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</si>
  <si>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</si>
  <si>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</si>
  <si>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</si>
  <si>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</si>
  <si>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</si>
  <si>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</si>
  <si>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</si>
  <si>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</si>
  <si>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</si>
  <si>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</si>
  <si>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</si>
  <si>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</si>
  <si>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</si>
  <si>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</si>
  <si>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</si>
  <si>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</si>
  <si>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</si>
  <si>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</si>
  <si>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</si>
  <si>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</si>
  <si>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</si>
  <si>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</si>
  <si>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</si>
  <si>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</si>
  <si>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</si>
  <si>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</si>
  <si>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</si>
  <si>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</si>
  <si>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</si>
  <si>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</si>
  <si>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</si>
  <si>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</si>
  <si>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</si>
  <si>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</si>
  <si>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</si>
  <si>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</si>
  <si>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</si>
  <si>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</si>
  <si>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</si>
  <si>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</si>
  <si>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</si>
  <si>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</si>
  <si>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</si>
  <si>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</si>
  <si>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</si>
  <si>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</si>
  <si>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</si>
  <si>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</si>
  <si>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</si>
  <si>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</si>
  <si>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</si>
  <si>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</si>
  <si>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</si>
  <si>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</si>
  <si>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</si>
  <si>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</si>
  <si>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</si>
  <si>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</si>
  <si>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</si>
  <si>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</si>
  <si>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</si>
  <si>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</si>
  <si>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</si>
  <si>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</si>
  <si>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</si>
  <si>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</si>
  <si>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</si>
  <si>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</si>
  <si>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</si>
  <si>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</si>
  <si>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</si>
  <si>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</si>
  <si>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</si>
  <si>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</si>
  <si>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</si>
  <si>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</si>
  <si>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</si>
  <si>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</si>
  <si>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</si>
  <si>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</si>
  <si>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</si>
  <si>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</si>
  <si>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</si>
  <si>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</si>
  <si>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</si>
  <si>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</si>
  <si>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</si>
  <si>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</si>
  <si>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</si>
  <si>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</si>
  <si>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</si>
  <si>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</si>
  <si>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</si>
  <si>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</si>
  <si>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</si>
  <si>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</si>
  <si>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</si>
  <si>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</si>
  <si>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</si>
  <si>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</si>
  <si>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</si>
  <si>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</si>
  <si>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</si>
  <si>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</si>
  <si>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</si>
  <si>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</si>
  <si>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</si>
  <si>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</si>
  <si>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</si>
  <si>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</si>
  <si>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</si>
  <si>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</si>
  <si>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</si>
  <si>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</si>
  <si>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</si>
  <si>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</si>
  <si>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</si>
  <si>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</si>
  <si>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</si>
  <si>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</si>
  <si>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</si>
  <si>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</si>
  <si>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</si>
  <si>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</si>
  <si>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</si>
  <si>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</si>
  <si>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</si>
  <si>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</si>
  <si>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</si>
  <si>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</si>
  <si>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</si>
  <si>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</si>
  <si>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</si>
  <si>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</si>
  <si>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</si>
  <si>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</si>
  <si>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</si>
  <si>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</si>
  <si>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</si>
  <si>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</si>
  <si>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</si>
  <si>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</si>
  <si>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</si>
  <si>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</si>
  <si>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</si>
  <si>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</si>
  <si>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</si>
  <si>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</si>
  <si>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</si>
  <si>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</si>
  <si>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</si>
  <si>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</si>
  <si>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</si>
  <si>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</si>
  <si>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</si>
  <si>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</si>
  <si>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</si>
  <si>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</si>
  <si>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</si>
  <si>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</si>
  <si>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</si>
  <si>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</si>
  <si>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</si>
  <si>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</si>
  <si>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</si>
  <si>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</si>
  <si>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</si>
  <si>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</si>
  <si>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</si>
  <si>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</si>
  <si>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</si>
  <si>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</si>
  <si>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</si>
  <si>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</si>
  <si>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</si>
  <si>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</si>
  <si>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</si>
  <si>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</si>
  <si>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</si>
  <si>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</si>
  <si>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</si>
  <si>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</si>
  <si>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</si>
  <si>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</si>
  <si>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</si>
  <si>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</si>
  <si>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</si>
  <si>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</si>
  <si>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</si>
  <si>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</si>
  <si>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</si>
  <si>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</si>
  <si>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</si>
  <si>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</si>
  <si>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</si>
  <si>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</si>
  <si>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</si>
  <si>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</si>
  <si>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</si>
  <si>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</si>
  <si>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</si>
  <si>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</si>
  <si>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</si>
  <si>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</si>
  <si>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</si>
  <si>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</si>
  <si>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</si>
  <si>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</si>
  <si>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</si>
  <si>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</si>
  <si>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</si>
  <si>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</si>
  <si>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</si>
  <si>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</si>
  <si>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</si>
  <si>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</si>
  <si>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</si>
  <si>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</si>
  <si>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</si>
  <si>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</si>
  <si>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</si>
  <si>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</si>
  <si>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</si>
  <si>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</si>
  <si>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</si>
  <si>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</si>
  <si>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</si>
  <si>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</si>
  <si>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</si>
  <si>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</si>
  <si>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</si>
  <si>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</si>
  <si>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</si>
  <si>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</si>
  <si>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</si>
  <si>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</si>
  <si>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</si>
  <si>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</si>
  <si>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</si>
  <si>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</si>
  <si>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</si>
  <si>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</si>
  <si>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</si>
  <si>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</si>
  <si>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</si>
  <si>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</si>
  <si>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</si>
  <si>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</si>
  <si>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</si>
  <si>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</si>
  <si>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</si>
  <si>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</si>
  <si>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</si>
  <si>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</si>
  <si>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</si>
  <si>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</si>
  <si>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</si>
  <si>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</si>
  <si>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</si>
  <si>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</si>
  <si>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</si>
  <si>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</si>
  <si>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</si>
  <si>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</si>
  <si>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</si>
  <si>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</si>
  <si>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</si>
  <si>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</si>
  <si>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</si>
  <si>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</si>
  <si>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</si>
  <si>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</si>
  <si>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</si>
  <si>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</si>
  <si>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</si>
  <si>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</si>
  <si>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</si>
  <si>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</si>
  <si>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</si>
  <si>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</si>
  <si>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</si>
  <si>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</si>
  <si>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</si>
  <si>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</si>
  <si>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</si>
  <si>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</si>
  <si>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</si>
  <si>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</si>
  <si>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</si>
  <si>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</si>
  <si>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</si>
  <si>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</si>
  <si>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</si>
  <si>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</si>
  <si>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</si>
  <si>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</si>
  <si>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</si>
  <si>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</si>
  <si>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</si>
  <si>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</si>
  <si>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</si>
  <si>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</si>
  <si>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</si>
  <si>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</si>
  <si>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</si>
  <si>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</si>
  <si>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</si>
  <si>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</si>
  <si>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</si>
  <si>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</si>
  <si>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</si>
  <si>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</si>
  <si>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</si>
  <si>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</si>
  <si>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</si>
  <si>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</si>
  <si>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</si>
  <si>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</si>
  <si>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</si>
  <si>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</si>
  <si>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</si>
  <si>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</si>
  <si>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</si>
  <si>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</si>
  <si>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</si>
  <si>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</si>
  <si>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</si>
  <si>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</si>
  <si>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</si>
  <si>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</si>
  <si>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</si>
  <si>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</si>
  <si>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</si>
  <si>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</si>
  <si>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</si>
  <si>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</si>
  <si>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</si>
  <si>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</si>
  <si>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</si>
  <si>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</si>
  <si>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</si>
  <si>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</si>
  <si>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</si>
  <si>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</si>
  <si>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</si>
  <si>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</si>
  <si>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</si>
  <si>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</si>
  <si>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</si>
  <si>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</si>
  <si>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</si>
  <si>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</si>
  <si>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</si>
  <si>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</si>
  <si>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</si>
  <si>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</si>
  <si>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</si>
  <si>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</si>
  <si>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</si>
  <si>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</si>
  <si>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</si>
  <si>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</si>
  <si>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</si>
  <si>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</si>
  <si>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</si>
  <si>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</si>
  <si>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</si>
  <si>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</si>
  <si>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</si>
  <si>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</si>
  <si>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</si>
  <si>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</si>
  <si>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</si>
  <si>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</si>
  <si>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</si>
  <si>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</si>
  <si>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</si>
  <si>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</si>
  <si>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</si>
  <si>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</si>
  <si>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</si>
  <si>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</si>
  <si>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</si>
  <si>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</si>
  <si>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</si>
  <si>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</si>
  <si>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</si>
  <si>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</si>
  <si>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</si>
  <si>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</si>
  <si>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</si>
  <si>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</si>
  <si>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</si>
  <si>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</si>
  <si>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</si>
  <si>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</si>
  <si>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</si>
  <si>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</si>
  <si>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</si>
  <si>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</si>
  <si>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</si>
  <si>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</si>
  <si>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</si>
  <si>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</si>
  <si>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</si>
  <si>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</si>
  <si>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</si>
  <si>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</si>
  <si>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</si>
  <si>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</si>
  <si>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</si>
  <si>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Zeshan</t>
  </si>
  <si>
    <t>Allyz Store</t>
  </si>
  <si>
    <t>Address: DHA</t>
  </si>
  <si>
    <t>Shahab Store</t>
  </si>
  <si>
    <t>Bravo Store</t>
  </si>
  <si>
    <t>Abdullah Store</t>
  </si>
  <si>
    <t>Trust Store</t>
  </si>
  <si>
    <t>Pakistan Store</t>
  </si>
  <si>
    <t>Mashallah Store</t>
  </si>
  <si>
    <t>Maharaja Store</t>
  </si>
  <si>
    <t>Besta Store</t>
  </si>
  <si>
    <t xml:space="preserve">Ks Mart </t>
  </si>
  <si>
    <t>AM Store</t>
  </si>
  <si>
    <t>Bilal Store</t>
  </si>
  <si>
    <t>Tariq Store</t>
  </si>
  <si>
    <t>Usman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</si>
</sst>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7" sqref="H7: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46324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Allyz Store</v>
      </c>
      <c r="T3" s="301">
        <f>+'1'!P35</f>
        <v>2134.3686882521188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Shahab Store</v>
      </c>
      <c r="T4" s="301">
        <f>+'2'!P35</f>
        <v>9145.8232352542364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Bravo Store</v>
      </c>
      <c r="T5" s="301">
        <f>+'3'!P35</f>
        <v>2265.051582838983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Abdullah Store</v>
      </c>
      <c r="T6" s="301">
        <f>+'4'!P35</f>
        <v>784.05289627118646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60</v>
      </c>
      <c r="I7" s="235">
        <f>(G7*D7)*F7+H7*F7</f>
        <v>3147.75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251.82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110.17125000000001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2785.75875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594.91525423728785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16.90337002118644</v>
      </c>
      <c r="P7" s="310">
        <f>M7+N7+O7</f>
        <v>3397.5773742584738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Trust Store</v>
      </c>
      <c r="T7" s="301">
        <f>+'5'!P35</f>
        <v>784.05289627118646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70</v>
      </c>
      <c r="I8" s="236">
        <f t="shared" ref="I8:I14" si="0">(G8*D8)*F8+H8*F8</f>
        <v>3672.375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293.78999999999996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128.53312500000001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3250.0518750000001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694.06779661016924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19.720598358050847</v>
      </c>
      <c r="P8" s="311">
        <f t="shared" ref="P8:P15" si="2">M8+N8+O8</f>
        <v>3963.8402699682201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Pakistan Store</v>
      </c>
      <c r="T8" s="301">
        <f>+'6'!P35</f>
        <v>784.05289627118646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Mashallah Store</v>
      </c>
      <c r="T9" s="301">
        <f>+'7'!P35</f>
        <v>784.05289627118646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Maharaja Store</v>
      </c>
      <c r="T10" s="301">
        <f>+'8'!P35</f>
        <v>784.05289627118646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90</v>
      </c>
      <c r="I11" s="236">
        <f t="shared" si="0"/>
        <v>6537.6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523.00800000000004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228.81600000000003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5785.7759999999998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1235.593220338983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35.106846101694913</v>
      </c>
      <c r="P11" s="311">
        <f t="shared" si="2"/>
        <v>7056.4760664406776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Besta Store</v>
      </c>
      <c r="T11" s="301">
        <f>+'9'!P35</f>
        <v>784.05289627118646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330</v>
      </c>
      <c r="I12" s="236">
        <f t="shared" si="0"/>
        <v>23971.200000000001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2440.7040000000002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838.99199999999996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20691.504000000001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4530.5084745762724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126.11006237288137</v>
      </c>
      <c r="P12" s="311">
        <f t="shared" si="2"/>
        <v>25348.122536949155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 xml:space="preserve">Ks Mart </v>
      </c>
      <c r="T12" s="301">
        <f>+'10'!P35</f>
        <v>784.05289627118646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AM Store</v>
      </c>
      <c r="T13" s="301">
        <f>+'11'!P35</f>
        <v>784.05289627118646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Bilal Store</v>
      </c>
      <c r="T14" s="301">
        <f>+'12'!P35</f>
        <v>5401.2631679237293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Tariq Store</v>
      </c>
      <c r="T15" s="301">
        <f>+'13'!P35</f>
        <v>9145.8232352542364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13.75</v>
      </c>
      <c r="H16" s="113">
        <f t="shared" ref="H16:M16" si="3">SUM(H7:H15)</f>
        <v>550</v>
      </c>
      <c r="I16" s="114">
        <f t="shared" si="3"/>
        <v>37328.925000000003</v>
      </c>
      <c r="J16" s="274">
        <f>SUM(J7:J15)</f>
        <v>3509.3220000000001</v>
      </c>
      <c r="K16" s="275">
        <f t="shared" si="3"/>
        <v>1306.512375</v>
      </c>
      <c r="L16" s="276">
        <f t="shared" si="3"/>
        <v>0</v>
      </c>
      <c r="M16" s="232">
        <f t="shared" si="3"/>
        <v>32513.090625000001</v>
      </c>
      <c r="N16" s="233">
        <f>SUM(N7:N15)</f>
        <v>7055.0847457627124</v>
      </c>
      <c r="O16" s="101">
        <f>SUM(O7:O15)</f>
        <v>197.84087685381357</v>
      </c>
      <c r="P16" s="113">
        <f>SUM(P7:P15)</f>
        <v>39766.016247616528</v>
      </c>
      <c r="Q16" s="128">
        <f>SUM(Q7:Q15)</f>
        <v>0</v>
      </c>
      <c r="R16" s="313">
        <v>14</v>
      </c>
      <c r="S16" s="315" t="str">
        <f>+'14'!A6:A6</f>
        <v>Usman store</v>
      </c>
      <c r="T16" s="301">
        <f>+'14'!P35</f>
        <v>5401.2631679237293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37328.925000000003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3509.3220000000001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1306.512375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32513.090625000004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7055.0847457627124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39568.175370762714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197.84087685381357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39766.016247616528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39766.016247616535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7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30</v>
      </c>
      <c r="I25" s="114">
        <f t="shared" ref="I25:M25" si="10">SUM(I16:I24)</f>
        <v>1977.4250000000002</v>
      </c>
      <c r="J25" s="274">
        <f>SUM(J16:J24)</f>
        <v>158.19399999999999</v>
      </c>
      <c r="K25" s="275">
        <f t="shared" si="10"/>
        <v>69.209875000000011</v>
      </c>
      <c r="L25" s="276">
        <f t="shared" si="10"/>
        <v>0</v>
      </c>
      <c r="M25" s="232">
        <f t="shared" si="10"/>
        <v>1750.0211250000002</v>
      </c>
      <c r="N25" s="233">
        <f>SUM(N16:N24)</f>
        <v>373.72881355932202</v>
      </c>
      <c r="O25" s="101">
        <f>SUM(O16:O24)</f>
        <v>10.618749692796611</v>
      </c>
      <c r="P25" s="234">
        <f>SUM(P16:P24)</f>
        <v>2134.3686882521188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1977.4250000000002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158.19399999999999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69.209875000000011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1750.0211250000002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373.72881355932202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2123.7499385593223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10.618749692796612</v>
      </c>
    </row>
    <row r="35" spans="2:16" ht="15.75" customHeight="1" thickBot="1" x14ac:dyDescent="0.4">
      <c r="N35" s="374" t="s">
        <v>88</v>
      </c>
      <c r="O35" s="375"/>
      <c r="P35" s="297">
        <f>+P33+P34</f>
        <v>2134.3686882521188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0"/>
        <v>8716.7999999999993</v>
      </c>
      <c r="J21" s="272">
        <f t="shared" si="1"/>
        <v>958.84799999999996</v>
      </c>
      <c r="K21" s="128">
        <f t="shared" si="1"/>
        <v>305.08800000000002</v>
      </c>
      <c r="L21" s="119">
        <f t="shared" si="1"/>
        <v>0</v>
      </c>
      <c r="M21" s="230">
        <f t="shared" si="2"/>
        <v>7452.8639999999996</v>
      </c>
      <c r="N21" s="277">
        <f t="shared" si="3"/>
        <v>1647.4576271186443</v>
      </c>
      <c r="O21" s="239">
        <f t="shared" si="4"/>
        <v>45.501608135593216</v>
      </c>
      <c r="P21" s="119">
        <f t="shared" si="5"/>
        <v>9145.8232352542364</v>
      </c>
      <c r="Q21" s="319"/>
      <c r="S21" s="269">
        <f>+S20</f>
        <v>0.11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958.84799999999996</v>
      </c>
      <c r="K25" s="275">
        <f t="shared" si="7"/>
        <v>305.08800000000002</v>
      </c>
      <c r="L25" s="276">
        <f t="shared" si="7"/>
        <v>0</v>
      </c>
      <c r="M25" s="232">
        <f t="shared" si="7"/>
        <v>7452.8639999999996</v>
      </c>
      <c r="N25" s="233">
        <f>SUM(N16:N24)</f>
        <v>1647.4576271186443</v>
      </c>
      <c r="O25" s="101">
        <f>SUM(O16:O24)</f>
        <v>45.501608135593216</v>
      </c>
      <c r="P25" s="234">
        <f>SUM(P16:P24)</f>
        <v>9145.8232352542364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8716.7999999999993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958.84799999999996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305.08800000000002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7452.8639999999996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9100.3216271186429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45.501608135593216</v>
      </c>
    </row>
    <row r="35" spans="2:16" ht="15.75" customHeight="1" thickBot="1" x14ac:dyDescent="0.4">
      <c r="N35" s="374" t="s">
        <v>88</v>
      </c>
      <c r="O35" s="375"/>
      <c r="P35" s="297">
        <f>+P33+P34</f>
        <v>9145.8232352542364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527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400.32799999999997</v>
      </c>
      <c r="K25" s="275">
        <f t="shared" si="7"/>
        <v>175.14350000000002</v>
      </c>
      <c r="L25" s="276">
        <f t="shared" si="7"/>
        <v>0</v>
      </c>
      <c r="M25" s="232">
        <f t="shared" si="7"/>
        <v>4428.6285000000007</v>
      </c>
      <c r="N25" s="233">
        <f>SUM(N16:N24)</f>
        <v>945.76271186440658</v>
      </c>
      <c r="O25" s="101">
        <f>SUM(O16:O24)</f>
        <v>26.871956059322031</v>
      </c>
      <c r="P25" s="234">
        <f>SUM(P16:P24)</f>
        <v>5401.2631679237293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400.32799999999997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4428.6285000000007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5374.3912118644075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26.871956059322038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5401.2631679237293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528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0"/>
        <v>8716.7999999999993</v>
      </c>
      <c r="J21" s="272">
        <f t="shared" si="1"/>
        <v>958.84799999999996</v>
      </c>
      <c r="K21" s="128">
        <f t="shared" si="1"/>
        <v>305.08800000000002</v>
      </c>
      <c r="L21" s="119">
        <f t="shared" si="1"/>
        <v>0</v>
      </c>
      <c r="M21" s="230">
        <f t="shared" si="2"/>
        <v>7452.8639999999996</v>
      </c>
      <c r="N21" s="277">
        <f t="shared" si="3"/>
        <v>1647.4576271186443</v>
      </c>
      <c r="O21" s="239">
        <f t="shared" si="4"/>
        <v>45.501608135593216</v>
      </c>
      <c r="P21" s="119">
        <f t="shared" si="5"/>
        <v>9145.8232352542364</v>
      </c>
      <c r="Q21" s="319"/>
      <c r="S21" s="269">
        <f>+S20</f>
        <v>0.11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958.84799999999996</v>
      </c>
      <c r="K25" s="275">
        <f t="shared" si="7"/>
        <v>305.08800000000002</v>
      </c>
      <c r="L25" s="276">
        <f t="shared" si="7"/>
        <v>0</v>
      </c>
      <c r="M25" s="232">
        <f t="shared" si="7"/>
        <v>7452.8639999999996</v>
      </c>
      <c r="N25" s="233">
        <f>SUM(N16:N24)</f>
        <v>1647.4576271186443</v>
      </c>
      <c r="O25" s="101">
        <f>SUM(O16:O24)</f>
        <v>45.501608135593216</v>
      </c>
      <c r="P25" s="234">
        <f>SUM(P16:P24)</f>
        <v>9145.8232352542364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8716.7999999999993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958.84799999999996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305.08800000000002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7452.8639999999996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9100.3216271186429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45.501608135593216</v>
      </c>
    </row>
    <row r="35" spans="2:16" ht="15.75" customHeight="1" thickBot="1" x14ac:dyDescent="0.4">
      <c r="N35" s="374" t="s">
        <v>88</v>
      </c>
      <c r="O35" s="375"/>
      <c r="P35" s="297">
        <f>+P33+P34</f>
        <v>9145.8232352542364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529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400.32799999999997</v>
      </c>
      <c r="K25" s="275">
        <f t="shared" si="7"/>
        <v>175.14350000000002</v>
      </c>
      <c r="L25" s="276">
        <f t="shared" si="7"/>
        <v>0</v>
      </c>
      <c r="M25" s="232">
        <f t="shared" si="7"/>
        <v>4428.6285000000007</v>
      </c>
      <c r="N25" s="233">
        <f>SUM(N16:N24)</f>
        <v>945.76271186440658</v>
      </c>
      <c r="O25" s="101">
        <f>SUM(O16:O24)</f>
        <v>26.871956059322031</v>
      </c>
      <c r="P25" s="234">
        <f>SUM(P16:P24)</f>
        <v>5401.2631679237293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400.32799999999997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4428.6285000000007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5374.3912118644075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26.871956059322038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5401.2631679237293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4" workbookViewId="0">
      <selection activeCell="C21" sqref="C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46325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46324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2026-10-29T10:20:14Z</dcterms:modified>
</cp:coreProperties>
</file>