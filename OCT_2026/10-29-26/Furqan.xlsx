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48E5A2-0282-461E-B97D-CB7F949EF05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<sst xmlns="http://schemas.openxmlformats.org/spreadsheetml/2006/main" count="3948" uniqueCount="533">
  <si>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</si>
  <si>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</si>
  <si>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</si>
  <si>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</si>
  <si>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</si>
  <si>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</si>
  <si>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</si>
  <si>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</si>
  <si>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</si>
  <si>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</si>
  <si>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</si>
  <si>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</si>
  <si>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</si>
  <si>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</si>
  <si>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</si>
  <si>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</si>
  <si>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</si>
  <si>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</si>
  <si>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</si>
  <si>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</si>
  <si>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</si>
  <si>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</si>
  <si>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</si>
  <si>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</si>
  <si>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</si>
  <si>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</si>
  <si>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</si>
  <si>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</si>
  <si>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</si>
  <si>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</si>
  <si>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</si>
  <si>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</si>
  <si>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</si>
  <si>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</si>
  <si>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</si>
  <si>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</si>
  <si>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</si>
  <si>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</si>
  <si>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</si>
  <si>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</si>
  <si>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</si>
  <si>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</si>
  <si>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</si>
  <si>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</si>
  <si>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</si>
  <si>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</si>
  <si>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</si>
  <si>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</si>
  <si>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</si>
  <si>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</si>
  <si>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</si>
  <si>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</si>
  <si>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</si>
  <si>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</si>
  <si>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</si>
  <si>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</si>
  <si>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</si>
  <si>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</si>
  <si>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</si>
  <si>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</si>
  <si>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</si>
  <si>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</si>
  <si>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</si>
  <si>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</si>
  <si>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</si>
  <si>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</si>
  <si>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</si>
  <si>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</si>
  <si>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</si>
  <si>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</si>
  <si>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</si>
  <si>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</si>
  <si>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</si>
  <si>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</si>
  <si>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</si>
  <si>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</si>
  <si>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</si>
  <si>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</si>
  <si>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</si>
  <si>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</si>
  <si>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</si>
  <si>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</si>
  <si>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</si>
  <si>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</si>
  <si>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</si>
  <si>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</si>
  <si>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</si>
  <si>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</si>
  <si>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</si>
  <si>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</si>
  <si>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</si>
  <si>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</si>
  <si>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</si>
  <si>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</si>
  <si>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</si>
  <si>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</si>
  <si>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</si>
  <si>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</si>
  <si>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</si>
  <si>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</si>
  <si>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</si>
  <si>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</si>
  <si>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</si>
  <si>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</si>
  <si>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</si>
  <si>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</si>
  <si>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</si>
  <si>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</si>
  <si>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</si>
  <si>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</si>
  <si>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</si>
  <si>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</si>
  <si>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</si>
  <si>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</si>
  <si>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</si>
  <si>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</si>
  <si>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</si>
  <si>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</si>
  <si>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</si>
  <si>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</si>
  <si>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</si>
  <si>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</si>
  <si>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</si>
  <si>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</si>
  <si>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</si>
  <si>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</si>
  <si>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</si>
  <si>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</si>
  <si>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</si>
  <si>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</si>
  <si>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</si>
  <si>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</si>
  <si>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</si>
  <si>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</si>
  <si>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</si>
  <si>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</si>
  <si>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</si>
  <si>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</si>
  <si>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</si>
  <si>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</si>
  <si>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</si>
  <si>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</si>
  <si>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</si>
  <si>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</si>
  <si>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</si>
  <si>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</si>
  <si>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</si>
  <si>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</si>
  <si>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</si>
  <si>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</si>
  <si>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</si>
  <si>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</si>
  <si>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</si>
  <si>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</si>
  <si>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</si>
  <si>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</si>
  <si>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</si>
  <si>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</si>
  <si>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</si>
  <si>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</si>
  <si>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</si>
  <si>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</si>
  <si>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</si>
  <si>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</si>
  <si>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</si>
  <si>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</si>
  <si>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</si>
  <si>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</si>
  <si>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</si>
  <si>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</si>
  <si>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</si>
  <si>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</si>
  <si>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</si>
  <si>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</si>
  <si>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</si>
  <si>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</si>
  <si>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</si>
  <si>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</si>
  <si>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</si>
  <si>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</si>
  <si>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</si>
  <si>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</si>
  <si>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</si>
  <si>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</si>
  <si>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</si>
  <si>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</si>
  <si>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</si>
  <si>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</si>
  <si>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</si>
  <si>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</si>
  <si>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</si>
  <si>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</si>
  <si>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</si>
  <si>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</si>
  <si>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</si>
  <si>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</si>
  <si>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</si>
  <si>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</si>
  <si>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</si>
  <si>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</si>
  <si>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</si>
  <si>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</si>
  <si>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</si>
  <si>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</si>
  <si>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</si>
  <si>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</si>
  <si>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</si>
  <si>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</si>
  <si>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</si>
  <si>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</si>
  <si>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</si>
  <si>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</si>
  <si>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</si>
  <si>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</si>
  <si>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</si>
  <si>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</si>
  <si>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</si>
  <si>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</si>
  <si>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</si>
  <si>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</si>
  <si>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</si>
  <si>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</si>
  <si>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</si>
  <si>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</si>
  <si>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</si>
  <si>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</si>
  <si>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</si>
  <si>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</si>
  <si>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</si>
  <si>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</si>
  <si>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</si>
  <si>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</si>
  <si>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</si>
  <si>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</si>
  <si>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</si>
  <si>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</si>
  <si>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</si>
  <si>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</si>
  <si>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</si>
  <si>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</si>
  <si>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</si>
  <si>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</si>
  <si>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</si>
  <si>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</si>
  <si>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</si>
  <si>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</si>
  <si>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</si>
  <si>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</si>
  <si>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</si>
  <si>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</si>
  <si>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</si>
  <si>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</si>
  <si>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</si>
  <si>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</si>
  <si>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</si>
  <si>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</si>
  <si>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</si>
  <si>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</si>
  <si>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</si>
  <si>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</si>
  <si>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</si>
  <si>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</si>
  <si>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</si>
  <si>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</si>
  <si>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</si>
  <si>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</si>
  <si>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</si>
  <si>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</si>
  <si>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</si>
  <si>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</si>
  <si>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</si>
  <si>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</si>
  <si>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</si>
  <si>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</si>
  <si>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</si>
  <si>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</si>
  <si>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</si>
  <si>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</si>
  <si>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</si>
  <si>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</si>
  <si>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</si>
  <si>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</si>
  <si>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</si>
  <si>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</si>
  <si>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</si>
  <si>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</si>
  <si>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</si>
  <si>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</si>
  <si>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</si>
  <si>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</si>
  <si>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</si>
  <si>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</si>
  <si>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</si>
  <si>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</si>
  <si>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</si>
  <si>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</si>
  <si>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</si>
  <si>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</si>
  <si>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</si>
  <si>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</si>
  <si>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</si>
  <si>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</si>
  <si>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</si>
  <si>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</si>
  <si>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</si>
  <si>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</si>
  <si>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</si>
  <si>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</si>
  <si>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</si>
  <si>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</si>
  <si>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</si>
  <si>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</si>
  <si>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</si>
  <si>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</si>
  <si>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</si>
  <si>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</si>
  <si>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</si>
  <si>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</si>
  <si>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</si>
  <si>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</si>
  <si>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</si>
  <si>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</si>
  <si>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</si>
  <si>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</si>
  <si>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</si>
  <si>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</si>
  <si>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</si>
  <si>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</si>
  <si>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</si>
  <si>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</si>
  <si>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</si>
  <si>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</si>
  <si>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</si>
  <si>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</si>
  <si>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</si>
  <si>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</si>
  <si>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</si>
  <si>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</si>
  <si>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</si>
  <si>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</si>
  <si>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</si>
  <si>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</si>
  <si>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</si>
  <si>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</si>
  <si>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</si>
  <si>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</si>
  <si>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</si>
  <si>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</si>
  <si>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</si>
  <si>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</si>
  <si>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</si>
  <si>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</si>
  <si>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</si>
  <si>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</si>
  <si>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</si>
  <si>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</si>
  <si>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</si>
  <si>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</si>
  <si>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</si>
  <si>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</si>
  <si>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</si>
  <si>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</si>
  <si>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</si>
  <si>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</si>
  <si>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</si>
  <si>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</si>
  <si>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</si>
  <si>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</si>
  <si>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</si>
  <si>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</si>
  <si>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</si>
  <si>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</si>
  <si>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</si>
  <si>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</si>
  <si>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</si>
  <si>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</si>
  <si>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</si>
  <si>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</si>
  <si>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</si>
  <si>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</si>
  <si>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</si>
  <si>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</si>
  <si>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</si>
  <si>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</si>
  <si>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</si>
  <si>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</si>
  <si>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</si>
  <si>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</si>
  <si>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</si>
  <si>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</si>
  <si>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</si>
  <si>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</si>
  <si>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</si>
  <si>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</si>
  <si>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</si>
  <si>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</si>
  <si>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</si>
  <si>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</si>
  <si>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</si>
  <si>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</si>
  <si>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</si>
  <si>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</si>
  <si>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</si>
  <si>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</si>
  <si>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</si>
  <si>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</si>
  <si>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</si>
  <si>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</si>
  <si>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</si>
  <si>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</si>
  <si>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</si>
  <si>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</si>
  <si>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</si>
  <si>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</si>
  <si>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</si>
  <si>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</si>
  <si>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</si>
  <si>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</si>
  <si>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</si>
  <si>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</si>
  <si>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</si>
  <si>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</si>
  <si>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</si>
  <si>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</si>
  <si>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</si>
  <si>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</si>
  <si>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</si>
  <si>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</si>
  <si>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</si>
  <si>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</si>
  <si>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</si>
  <si>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</si>
  <si>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</si>
  <si>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</si>
  <si>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</si>
  <si>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</si>
  <si>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</si>
  <si>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</si>
  <si>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</si>
  <si>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</si>
  <si>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</si>
  <si>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</si>
  <si>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</si>
  <si>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</si>
  <si>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</si>
  <si>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</si>
  <si>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</si>
  <si>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</si>
  <si>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</si>
  <si>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</si>
  <si>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</si>
  <si>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</si>
  <si>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</si>
  <si>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</si>
  <si>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</si>
  <si>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</si>
  <si>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</si>
  <si>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</si>
  <si>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</si>
  <si>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</si>
  <si>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</si>
  <si>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</si>
  <si>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</si>
  <si>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</si>
  <si>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</si>
  <si>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</si>
  <si>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</si>
  <si>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</si>
  <si>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</si>
  <si>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</si>
  <si>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</si>
  <si>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</si>
  <si>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</si>
  <si>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</si>
  <si>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</si>
  <si>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</si>
  <si>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</si>
  <si>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</si>
  <si>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</si>
  <si>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</si>
  <si>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</si>
  <si>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</si>
  <si>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</si>
  <si>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</si>
  <si>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</si>
  <si>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</si>
  <si>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</si>
  <si>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</si>
  <si>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</si>
  <si>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</si>
  <si>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</si>
  <si>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</si>
  <si>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</si>
  <si>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</si>
  <si>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</si>
  <si>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</si>
  <si>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</si>
  <si>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</si>
  <si>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</si>
  <si>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</si>
  <si>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</si>
  <si>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</si>
  <si>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</si>
  <si>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</si>
  <si>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</si>
  <si>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</si>
  <si>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</si>
  <si>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</si>
  <si>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</si>
  <si>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</si>
  <si>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</si>
  <si>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</si>
  <si>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</si>
  <si>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</si>
  <si>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</si>
  <si>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Khan Gs</t>
  </si>
  <si>
    <t>Address: Guru Mangat g no 13</t>
  </si>
  <si>
    <t>Ayub Khan Store</t>
  </si>
  <si>
    <t>Address: Guru Mangat g:13</t>
  </si>
  <si>
    <t>SixEleven Store</t>
  </si>
  <si>
    <t>Address: Gurumangat G:13</t>
  </si>
  <si>
    <t>Imran Gs</t>
  </si>
  <si>
    <t>Address: Akram Park Stree:4</t>
  </si>
  <si>
    <t xml:space="preserve">Sultani Pharmacy </t>
  </si>
  <si>
    <t>Address: Academy Road</t>
  </si>
  <si>
    <t>Tofail Gs</t>
  </si>
  <si>
    <t>Address: Academy Road Stree:6</t>
  </si>
  <si>
    <t xml:space="preserve">Bilawal Bakery </t>
  </si>
  <si>
    <t>Address: Academy Road Husaina Abad</t>
  </si>
  <si>
    <t>Chishti GS</t>
  </si>
  <si>
    <t>Address: Husina Abad Near Phatak</t>
  </si>
  <si>
    <t>SM store</t>
  </si>
  <si>
    <t>Address: Gurumangat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</si>
</sst>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Khan Gs</v>
      </c>
      <c r="T3" s="301">
        <f>+'1'!P35</f>
        <v>339.75773742584738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Ayub Khan Store</v>
      </c>
      <c r="T4" s="301">
        <f>+'2'!P35</f>
        <v>679.51547485169476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SixEleven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Imran Gs</v>
      </c>
      <c r="T6" s="301">
        <f>+'4'!P35</f>
        <v>1149.9472126144067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59</v>
      </c>
      <c r="I7" s="235">
        <f>(G7*D7)*F7+H7*F7</f>
        <v>3095.2874999999999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247.62299999999999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108.33506249999999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2739.3294375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584.99999999999977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16.621647187499999</v>
      </c>
      <c r="P7" s="310">
        <f>M7+N7+O7</f>
        <v>3340.9510846874996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Sultani Pharmacy </v>
      </c>
      <c r="T7" s="301">
        <f>+'5'!P35</f>
        <v>2613.5155837372877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42</v>
      </c>
      <c r="I8" s="236">
        <f t="shared" ref="I8:I14" si="0">(G8*D8)*F8+H8*F8</f>
        <v>2203.4249999999997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176.27399999999997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77.119874999999993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1950.0311249999997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416.44067796610153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11.832359014830509</v>
      </c>
      <c r="P8" s="311">
        <f t="shared" ref="P8:P15" si="2">M8+N8+O8</f>
        <v>2378.3041619809319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Tofail Gs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Bilawal Bakery </v>
      </c>
      <c r="T9" s="301">
        <f>+'7'!P35</f>
        <v>679.51547485169476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Chishti GS</v>
      </c>
      <c r="T10" s="301">
        <f>+'8'!P35</f>
        <v>1241.420791700212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38</v>
      </c>
      <c r="I11" s="236">
        <f t="shared" si="0"/>
        <v>2760.32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220.82560000000001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96.611200000000011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2442.8832000000002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521.69491525423734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14.822890576271188</v>
      </c>
      <c r="P11" s="311">
        <f t="shared" si="2"/>
        <v>2979.4010058305089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SM store</v>
      </c>
      <c r="T11" s="301">
        <f>+'9'!P35</f>
        <v>2700.6315839618646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69</v>
      </c>
      <c r="I12" s="236">
        <f t="shared" si="0"/>
        <v>5012.16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400.97280000000001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175.42560000000003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4435.7615999999998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947.28813559322043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26.915248677966105</v>
      </c>
      <c r="P12" s="311">
        <f t="shared" si="2"/>
        <v>5409.964984271186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5.2</v>
      </c>
      <c r="H16" s="113">
        <f t="shared" ref="H16:M16" si="3">SUM(H7:H15)</f>
        <v>208</v>
      </c>
      <c r="I16" s="114">
        <f t="shared" si="3"/>
        <v>13071.192499999999</v>
      </c>
      <c r="J16" s="274">
        <f>SUM(J7:J15)</f>
        <v>1045.6954000000001</v>
      </c>
      <c r="K16" s="275">
        <f t="shared" si="3"/>
        <v>457.4917375</v>
      </c>
      <c r="L16" s="276">
        <f t="shared" si="3"/>
        <v>0</v>
      </c>
      <c r="M16" s="232">
        <f t="shared" si="3"/>
        <v>11568.0053625</v>
      </c>
      <c r="N16" s="233">
        <f>SUM(N7:N15)</f>
        <v>2470.4237288135591</v>
      </c>
      <c r="O16" s="101">
        <f>SUM(O7:O15)</f>
        <v>70.1921454565678</v>
      </c>
      <c r="P16" s="113">
        <f>SUM(P7:P15)</f>
        <v>14108.621236770126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13071.192499999999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1045.6954000000001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457.4917375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11568.005362499998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2470.4237288135591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14038.429091313557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70.1921454565678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14108.621236770125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14108.621236770126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6</v>
      </c>
      <c r="I25" s="114">
        <f t="shared" ref="I25:M25" si="10">SUM(I16:I24)</f>
        <v>314.77499999999998</v>
      </c>
      <c r="J25" s="274">
        <f>SUM(J16:J24)</f>
        <v>25.181999999999999</v>
      </c>
      <c r="K25" s="275">
        <f t="shared" si="10"/>
        <v>11.017125</v>
      </c>
      <c r="L25" s="276">
        <f t="shared" si="10"/>
        <v>0</v>
      </c>
      <c r="M25" s="232">
        <f t="shared" si="10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C18" sqref="C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1065.3899999999999</v>
      </c>
      <c r="J25" s="274">
        <f>SUM(J16:J24)</f>
        <v>85.231200000000001</v>
      </c>
      <c r="K25" s="275">
        <f t="shared" si="7"/>
        <v>37.288650000000004</v>
      </c>
      <c r="L25" s="276">
        <f t="shared" si="7"/>
        <v>0</v>
      </c>
      <c r="M25" s="232">
        <f t="shared" si="7"/>
        <v>942.87014999999997</v>
      </c>
      <c r="N25" s="233">
        <f>SUM(N16:N24)</f>
        <v>201.35593220338978</v>
      </c>
      <c r="O25" s="101">
        <f>SUM(O16:O24)</f>
        <v>5.721130411016949</v>
      </c>
      <c r="P25" s="234">
        <f>SUM(P16:P24)</f>
        <v>1149.9472126144067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1065.3899999999999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85.231200000000001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37.288650000000004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942.87014999999997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201.35593220338978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1144.2260822033898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5.721130411016949</v>
      </c>
    </row>
    <row r="35" spans="2:16" ht="15.75" customHeight="1" thickBot="1" x14ac:dyDescent="0.4">
      <c r="N35" s="345" t="s">
        <v>88</v>
      </c>
      <c r="O35" s="346"/>
      <c r="P35" s="297">
        <f>+P33+P34</f>
        <v>1149.9472126144067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0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0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2421.3399999999997</v>
      </c>
      <c r="J25" s="274">
        <f>SUM(J16:J24)</f>
        <v>193.7072</v>
      </c>
      <c r="K25" s="275">
        <f t="shared" si="7"/>
        <v>84.746900000000011</v>
      </c>
      <c r="L25" s="276">
        <f t="shared" si="7"/>
        <v>0</v>
      </c>
      <c r="M25" s="232">
        <f t="shared" si="7"/>
        <v>2142.8859000000002</v>
      </c>
      <c r="N25" s="233">
        <f>SUM(N16:N24)</f>
        <v>457.62711864406771</v>
      </c>
      <c r="O25" s="101">
        <f>SUM(O16:O24)</f>
        <v>13.002565093220339</v>
      </c>
      <c r="P25" s="234">
        <f>SUM(P16:P24)</f>
        <v>2613.5155837372881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2421.3399999999997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193.7072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84.746900000000011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2142.8858999999998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457.62711864406771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2600.5130186440674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13.002565093220337</v>
      </c>
    </row>
    <row r="35" spans="2:16" ht="15.75" customHeight="1" thickBot="1" x14ac:dyDescent="0.4">
      <c r="N35" s="345" t="s">
        <v>88</v>
      </c>
      <c r="O35" s="346"/>
      <c r="P35" s="297">
        <f>+P33+P34</f>
        <v>2613.5155837372877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1150.1375</v>
      </c>
      <c r="J25" s="274">
        <f>SUM(J16:J24)</f>
        <v>92.010999999999996</v>
      </c>
      <c r="K25" s="275">
        <f t="shared" si="7"/>
        <v>40.254812500000007</v>
      </c>
      <c r="L25" s="276">
        <f t="shared" si="7"/>
        <v>0</v>
      </c>
      <c r="M25" s="232">
        <f t="shared" si="7"/>
        <v>1017.8716875</v>
      </c>
      <c r="N25" s="233">
        <f>SUM(N16:N24)</f>
        <v>217.37288135593212</v>
      </c>
      <c r="O25" s="101">
        <f>SUM(O16:O24)</f>
        <v>6.1762228442796605</v>
      </c>
      <c r="P25" s="234">
        <f>SUM(P16:P24)</f>
        <v>1241.4207917002118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1150.1375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92.010999999999996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40.254812500000007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1017.8716875000001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217.37288135593212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1235.2445688559324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6.1762228442796623</v>
      </c>
    </row>
    <row r="35" spans="2:16" ht="15.75" customHeight="1" thickBot="1" x14ac:dyDescent="0.4">
      <c r="N35" s="345" t="s">
        <v>88</v>
      </c>
      <c r="O35" s="346"/>
      <c r="P35" s="297">
        <f>+P33+P34</f>
        <v>1241.420791700212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2026-10-28T11:42:52Z</dcterms:modified>
</cp:coreProperties>
</file>