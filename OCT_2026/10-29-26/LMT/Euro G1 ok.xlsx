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5F5C93-D9D8-4797-97DB-EF1274750635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<sst xmlns="http://schemas.openxmlformats.org/spreadsheetml/2006/main" count="3978" uniqueCount="518">
  <si>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</si>
  <si>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</si>
  <si>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</si>
  <si>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</si>
  <si>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</si>
  <si>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</si>
  <si>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</si>
  <si>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</si>
  <si>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</si>
  <si>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</si>
  <si>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</si>
  <si>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</si>
  <si>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</si>
  <si>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</si>
  <si>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</si>
  <si>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</si>
  <si>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</si>
  <si>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</si>
  <si>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</si>
  <si>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</si>
  <si>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</si>
  <si>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</si>
  <si>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</si>
  <si>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</si>
  <si>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</si>
  <si>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</si>
  <si>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</si>
  <si>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</si>
  <si>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</si>
  <si>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</si>
  <si>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</si>
  <si>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</si>
  <si>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</si>
  <si>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</si>
  <si>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</si>
  <si>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</si>
  <si>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</si>
  <si>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</si>
  <si>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</si>
  <si>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</si>
  <si>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</si>
  <si>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</si>
  <si>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</si>
  <si>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</si>
  <si>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</si>
  <si>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</si>
  <si>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</si>
  <si>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</si>
  <si>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</si>
  <si>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</si>
  <si>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</si>
  <si>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</si>
  <si>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</si>
  <si>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</si>
  <si>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</si>
  <si>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</si>
  <si>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</si>
  <si>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</si>
  <si>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</si>
  <si>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</si>
  <si>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</si>
  <si>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</si>
  <si>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</si>
  <si>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</si>
  <si>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</si>
  <si>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</si>
  <si>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</si>
  <si>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</si>
  <si>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</si>
  <si>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</si>
  <si>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</si>
  <si>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</si>
  <si>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</si>
  <si>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</si>
  <si>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</si>
  <si>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</si>
  <si>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</si>
  <si>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</si>
  <si>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</si>
  <si>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</si>
  <si>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</si>
  <si>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</si>
  <si>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</si>
  <si>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</si>
  <si>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</si>
  <si>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</si>
  <si>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</si>
  <si>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</si>
  <si>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</si>
  <si>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</si>
  <si>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</si>
  <si>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</si>
  <si>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</si>
  <si>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</si>
  <si>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</si>
  <si>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</si>
  <si>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</si>
  <si>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</si>
  <si>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</si>
  <si>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</si>
  <si>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</si>
  <si>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</si>
  <si>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</si>
  <si>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</si>
  <si>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</si>
  <si>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</si>
  <si>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</si>
  <si>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</si>
  <si>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</si>
  <si>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</si>
  <si>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</si>
  <si>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</si>
  <si>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</si>
  <si>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</si>
  <si>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</si>
  <si>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</si>
  <si>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</si>
  <si>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</si>
  <si>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</si>
  <si>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</si>
  <si>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</si>
  <si>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</si>
  <si>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</si>
  <si>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</si>
  <si>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</si>
  <si>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</si>
  <si>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</si>
  <si>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</si>
  <si>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</si>
  <si>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</si>
  <si>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</si>
  <si>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</si>
  <si>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</si>
  <si>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</si>
  <si>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</si>
  <si>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</si>
  <si>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</si>
  <si>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</si>
  <si>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</si>
  <si>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</si>
  <si>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</si>
  <si>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</si>
  <si>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</si>
  <si>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</si>
  <si>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</si>
  <si>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</si>
  <si>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</si>
  <si>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</si>
  <si>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</si>
  <si>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</si>
  <si>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</si>
  <si>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</si>
  <si>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</si>
  <si>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</si>
  <si>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</si>
  <si>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</si>
  <si>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</si>
  <si>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</si>
  <si>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</si>
  <si>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</si>
  <si>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</si>
  <si>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</si>
  <si>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</si>
  <si>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</si>
  <si>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</si>
  <si>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</si>
  <si>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</si>
  <si>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</si>
  <si>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</si>
  <si>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</si>
  <si>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</si>
  <si>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</si>
  <si>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</si>
  <si>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</si>
  <si>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</si>
  <si>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</si>
  <si>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</si>
  <si>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</si>
  <si>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</si>
  <si>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</si>
  <si>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</si>
  <si>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</si>
  <si>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</si>
  <si>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</si>
  <si>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</si>
  <si>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</si>
  <si>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</si>
  <si>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</si>
  <si>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</si>
  <si>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</si>
  <si>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</si>
  <si>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</si>
  <si>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</si>
  <si>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</si>
  <si>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</si>
  <si>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</si>
  <si>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</si>
  <si>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</si>
  <si>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</si>
  <si>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</si>
  <si>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</si>
  <si>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</si>
  <si>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</si>
  <si>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</si>
  <si>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</si>
  <si>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</si>
  <si>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</si>
  <si>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</si>
  <si>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</si>
  <si>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</si>
  <si>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</si>
  <si>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</si>
  <si>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</si>
  <si>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</si>
  <si>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</si>
  <si>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</si>
  <si>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</si>
  <si>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</si>
  <si>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</si>
  <si>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</si>
  <si>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</si>
  <si>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</si>
  <si>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</si>
  <si>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</si>
  <si>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</si>
  <si>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</si>
  <si>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</si>
  <si>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</si>
  <si>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</si>
  <si>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</si>
  <si>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</si>
  <si>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</si>
  <si>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</si>
  <si>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</si>
  <si>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</si>
  <si>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</si>
  <si>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</si>
  <si>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</si>
  <si>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</si>
  <si>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</si>
  <si>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</si>
  <si>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</si>
  <si>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</si>
  <si>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</si>
  <si>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</si>
  <si>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</si>
  <si>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</si>
  <si>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</si>
  <si>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</si>
  <si>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</si>
  <si>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</si>
  <si>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</si>
  <si>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</si>
  <si>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</si>
  <si>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</si>
  <si>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</si>
  <si>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</si>
  <si>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</si>
  <si>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</si>
  <si>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</si>
  <si>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</si>
  <si>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</si>
  <si>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</si>
  <si>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</si>
  <si>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</si>
  <si>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</si>
  <si>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</si>
  <si>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</si>
  <si>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</si>
  <si>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</si>
  <si>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</si>
  <si>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</si>
  <si>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</si>
  <si>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</si>
  <si>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</si>
  <si>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</si>
  <si>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</si>
  <si>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</si>
  <si>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</si>
  <si>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</si>
  <si>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</si>
  <si>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</si>
  <si>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</si>
  <si>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</si>
  <si>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</si>
  <si>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</si>
  <si>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</si>
  <si>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</si>
  <si>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</si>
  <si>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</si>
  <si>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</si>
  <si>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</si>
  <si>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</si>
  <si>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</si>
  <si>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</si>
  <si>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</si>
  <si>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</si>
  <si>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</si>
  <si>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</si>
  <si>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</si>
  <si>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</si>
  <si>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</si>
  <si>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</si>
  <si>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</si>
  <si>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</si>
  <si>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</si>
  <si>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</si>
  <si>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</si>
  <si>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</si>
  <si>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</si>
  <si>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</si>
  <si>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</si>
  <si>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</si>
  <si>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</si>
  <si>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</si>
  <si>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</si>
  <si>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</si>
  <si>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</si>
  <si>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</si>
  <si>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</si>
  <si>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</si>
  <si>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</si>
  <si>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</si>
  <si>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</si>
  <si>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</si>
  <si>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</si>
  <si>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</si>
  <si>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</si>
  <si>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</si>
  <si>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</si>
  <si>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</si>
  <si>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</si>
  <si>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</si>
  <si>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</si>
  <si>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</si>
  <si>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</si>
  <si>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</si>
  <si>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</si>
  <si>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</si>
  <si>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</si>
  <si>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</si>
  <si>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</si>
  <si>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</si>
  <si>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</si>
  <si>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</si>
  <si>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</si>
  <si>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</si>
  <si>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</si>
  <si>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</si>
  <si>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</si>
  <si>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</si>
  <si>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</si>
  <si>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</si>
  <si>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</si>
  <si>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</si>
  <si>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</si>
  <si>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</si>
  <si>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</si>
  <si>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</si>
  <si>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</si>
  <si>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</si>
  <si>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</si>
  <si>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</si>
  <si>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</si>
  <si>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</si>
  <si>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</si>
  <si>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</si>
  <si>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</si>
  <si>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</si>
  <si>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</si>
  <si>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</si>
  <si>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</si>
  <si>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</si>
  <si>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</si>
  <si>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</si>
  <si>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</si>
  <si>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</si>
  <si>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</si>
  <si>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</si>
  <si>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</si>
  <si>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</si>
  <si>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</si>
  <si>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</si>
  <si>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</si>
  <si>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</si>
  <si>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</si>
  <si>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</si>
  <si>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</si>
  <si>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</si>
  <si>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</si>
  <si>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</si>
  <si>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</si>
  <si>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</si>
  <si>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</si>
  <si>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</si>
  <si>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</si>
  <si>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</si>
  <si>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</si>
  <si>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</si>
  <si>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</si>
  <si>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</si>
  <si>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</si>
  <si>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</si>
  <si>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</si>
  <si>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</si>
  <si>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</si>
  <si>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</si>
  <si>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</si>
  <si>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</si>
  <si>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</si>
  <si>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</si>
  <si>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</si>
  <si>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</si>
  <si>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</si>
  <si>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</si>
  <si>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</si>
  <si>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</si>
  <si>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</si>
  <si>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</si>
  <si>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</si>
  <si>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</si>
  <si>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</si>
  <si>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</si>
  <si>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</si>
  <si>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</si>
  <si>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</si>
  <si>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</si>
  <si>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</si>
  <si>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</si>
  <si>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</si>
  <si>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</si>
  <si>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</si>
  <si>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</si>
  <si>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</si>
  <si>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</si>
  <si>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</si>
  <si>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</si>
  <si>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</si>
  <si>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</si>
  <si>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</si>
  <si>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</si>
  <si>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</si>
  <si>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</si>
  <si>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</si>
  <si>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</si>
  <si>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</si>
  <si>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</si>
  <si>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</si>
  <si>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</si>
  <si>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</si>
  <si>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</si>
  <si>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</si>
  <si>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</si>
  <si>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</si>
  <si>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</si>
  <si>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</si>
  <si>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</si>
  <si>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</si>
  <si>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</si>
  <si>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</si>
  <si>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</si>
  <si>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</si>
  <si>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</si>
  <si>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</si>
  <si>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</si>
  <si>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</si>
  <si>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</si>
  <si>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</si>
  <si>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</si>
  <si>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</si>
  <si>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</si>
  <si>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</si>
  <si>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</si>
  <si>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</si>
  <si>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</si>
  <si>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</si>
  <si>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</si>
  <si>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</si>
  <si>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</si>
  <si>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</si>
  <si>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</si>
  <si>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</si>
  <si>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</si>
  <si>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</si>
  <si>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</si>
  <si>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</si>
  <si>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</si>
  <si>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</si>
  <si>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</si>
  <si>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</si>
  <si>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</si>
  <si>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</si>
  <si>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</si>
  <si>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</si>
  <si>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</si>
  <si>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</si>
  <si>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</si>
  <si>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</si>
  <si>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</si>
  <si>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</si>
  <si>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</si>
  <si>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</si>
  <si>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</si>
  <si>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</si>
  <si>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</si>
  <si>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</si>
  <si>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</si>
  <si>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</si>
  <si>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</si>
  <si>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</si>
  <si>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</si>
  <si>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</si>
  <si>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</si>
  <si>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</si>
  <si>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Stores (G-1 Market)</t>
  </si>
  <si>
    <t xml:space="preserve">Address: Johar Town </t>
  </si>
  <si>
    <t>Invoice No # :4512478</t>
  </si>
  <si>
    <t>NTN #: E757686-3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</si>
</sst>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Euro Stores (G-1 Market)</v>
      </c>
      <c r="T3" s="301">
        <f>+'1'!P35</f>
        <v>88830.117152542356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Stores (G-1 Market)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Stores (G-1 Market)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Stores (G-1 Market)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09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Stores (G-1 Market)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0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Stores (G-1 Market)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Stores (G-1 Market)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Stores (G-1 Market)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0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Stores (G-1 Market)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10169.6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59928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368.2840677966102</v>
      </c>
      <c r="P12" s="310">
        <f t="shared" si="2"/>
        <v>74025.097627118652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Stores (G-1 Market)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Stores (G-1 Market)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Stores (G-1 Market)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Stores (G-1 Market)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30</v>
      </c>
      <c r="H16" s="113">
        <f t="shared" ref="H16:M16" si="3">SUM(H7:H15)</f>
        <v>1200</v>
      </c>
      <c r="I16" s="114">
        <f t="shared" si="3"/>
        <v>87168</v>
      </c>
      <c r="J16" s="274">
        <f>SUM(J7:J15)</f>
        <v>12203.52</v>
      </c>
      <c r="K16" s="275">
        <f t="shared" si="3"/>
        <v>3050.88</v>
      </c>
      <c r="L16" s="276">
        <f t="shared" si="3"/>
        <v>0</v>
      </c>
      <c r="M16" s="232">
        <f t="shared" si="3"/>
        <v>71913.600000000006</v>
      </c>
      <c r="N16" s="233">
        <f>SUM(N7:N15)</f>
        <v>16474.576271186441</v>
      </c>
      <c r="O16" s="101">
        <f>SUM(O7:O15)</f>
        <v>441.94088135593222</v>
      </c>
      <c r="P16" s="113">
        <f>SUM(P7:P15)</f>
        <v>88830.117152542385</v>
      </c>
      <c r="Q16" s="128">
        <f>SUM(Q7:Q15)</f>
        <v>0</v>
      </c>
      <c r="R16" s="313">
        <v>14</v>
      </c>
      <c r="S16" s="300" t="str">
        <f>+'14'!A6:A6</f>
        <v>Euro Stores (G-1 Market)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Stores (G-1 Market)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Stores (G-1 Market)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87168</v>
      </c>
      <c r="R19" s="299">
        <v>17</v>
      </c>
      <c r="S19" s="300" t="str">
        <f>+'17'!A6:A6</f>
        <v>Euro Stores (G-1 Market)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12203.52</v>
      </c>
      <c r="R20" s="299">
        <v>18</v>
      </c>
      <c r="S20" s="300" t="str">
        <f>+'18'!A6:A6</f>
        <v>Euro Stores (G-1 Market)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3050.88</v>
      </c>
      <c r="R21" s="299">
        <v>19</v>
      </c>
      <c r="S21" s="300" t="str">
        <f>+'19'!A6:A6</f>
        <v>Euro Stores (G-1 Market)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71913.599999999991</v>
      </c>
      <c r="R22" s="299">
        <v>20</v>
      </c>
      <c r="S22" s="300" t="str">
        <f>+'20'!A6:A6</f>
        <v>Euro Stores (G-1 Market)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16474.576271186441</v>
      </c>
      <c r="R23" s="299">
        <v>21</v>
      </c>
      <c r="S23" s="300" t="str">
        <f>+'21'!A6:A6</f>
        <v>Euro Stores (G-1 Market)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88388.176271186428</v>
      </c>
      <c r="R24" s="299">
        <v>22</v>
      </c>
      <c r="S24" s="300" t="str">
        <f>+'22'!A6:A6</f>
        <v>Euro Stores (G-1 Market)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441.94088135593222</v>
      </c>
      <c r="R25" s="299">
        <v>23</v>
      </c>
      <c r="S25" s="300" t="str">
        <f>+'23'!A6:A6</f>
        <v>Euro Stores (G-1 Market)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88830.117152542356</v>
      </c>
      <c r="R26" s="299">
        <v>24</v>
      </c>
      <c r="S26" s="300" t="str">
        <f>+'24'!A6:A6</f>
        <v>Euro Stores (G-1 Market)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Euro Stores (G-1 Market)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Stores (G-1 Market)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Stores (G-1 Market)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Stores (G-1 Market)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Stores (G-1 Market)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Stores (G-1 Market)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88830.117152542356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8.36328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1000</v>
      </c>
      <c r="I21" s="236">
        <f t="shared" si="7"/>
        <v>72640</v>
      </c>
      <c r="J21" s="272">
        <f t="shared" si="1"/>
        <v>10169.6</v>
      </c>
      <c r="K21" s="128">
        <f t="shared" si="1"/>
        <v>2542.4</v>
      </c>
      <c r="L21" s="119">
        <f t="shared" si="1"/>
        <v>0</v>
      </c>
      <c r="M21" s="230">
        <f t="shared" si="2"/>
        <v>59928</v>
      </c>
      <c r="N21" s="277">
        <f t="shared" si="3"/>
        <v>13728.813559322034</v>
      </c>
      <c r="O21" s="239">
        <f t="shared" si="4"/>
        <v>368.2840677966102</v>
      </c>
      <c r="P21" s="119">
        <f t="shared" si="5"/>
        <v>74025.097627118652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87168</v>
      </c>
      <c r="J25" s="274">
        <f>SUM(J16:J24)</f>
        <v>12203.52</v>
      </c>
      <c r="K25" s="275">
        <f t="shared" si="10"/>
        <v>3050.88</v>
      </c>
      <c r="L25" s="276">
        <f t="shared" si="10"/>
        <v>0</v>
      </c>
      <c r="M25" s="232">
        <f t="shared" si="10"/>
        <v>71913.600000000006</v>
      </c>
      <c r="N25" s="233">
        <f>SUM(N16:N24)</f>
        <v>16474.576271186441</v>
      </c>
      <c r="O25" s="101">
        <f>SUM(O16:O24)</f>
        <v>441.94088135593222</v>
      </c>
      <c r="P25" s="234">
        <f>SUM(P16:P24)</f>
        <v>88830.117152542385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12203.52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3050.88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71913.599999999991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16474.576271186441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88388.176271186428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441.94088135593216</v>
      </c>
    </row>
    <row r="35" spans="2:16" ht="15.75" customHeight="1" thickBot="1" x14ac:dyDescent="0.4">
      <c r="N35" s="345" t="s">
        <v>88</v>
      </c>
      <c r="O35" s="346"/>
      <c r="P35" s="297">
        <f>+P33+P34</f>
        <v>88830.117152542356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9.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6.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20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46323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517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2026-10-30T05:22:05Z</dcterms:modified>
</cp:coreProperties>
</file>