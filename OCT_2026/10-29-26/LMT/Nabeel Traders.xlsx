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CC41193-834D-4FD3-95AE-4C4DE6EF32E6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K53" i="11" l="1"/>
  <c r="B23" i="43" l="1"/>
  <c r="M13" i="6" l="1"/>
  <c r="K13" i="6" s="1"/>
  <c r="K48" i="11"/>
  <c r="M46" i="11"/>
  <c r="K46" i="11"/>
  <c r="H13" i="6"/>
  <c r="E23" i="11"/>
  <c r="D23" i="11"/>
  <c r="B23" i="11"/>
  <c r="C23" i="11" s="1"/>
  <c r="F23" i="11" l="1"/>
  <c r="J13" i="6"/>
  <c r="B14" i="62"/>
  <c r="H12" i="6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C11" i="68" s="1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C11" i="67" s="1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24" i="68"/>
  <c r="N24" i="70"/>
  <c r="N20" i="69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C14" i="62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C11" i="57" s="1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4" i="43"/>
  <c r="T24" i="43"/>
  <c r="E23" i="43"/>
  <c r="V23" i="43" s="1"/>
  <c r="D23" i="43"/>
  <c r="C23" i="43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6" l="1"/>
  <c r="N24" i="48"/>
  <c r="N24" i="50"/>
  <c r="N16" i="44"/>
  <c r="N16" i="53"/>
  <c r="N16" i="48"/>
  <c r="N16" i="59"/>
  <c r="N16" i="50"/>
  <c r="N16" i="56"/>
  <c r="N16" i="58"/>
  <c r="N16" i="63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4" i="1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N10" i="41"/>
  <c r="O10" i="41" s="1"/>
  <c r="P10" i="41" s="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9" i="41"/>
  <c r="P49" i="41" s="1"/>
  <c r="O39" i="41"/>
  <c r="P39" i="41" s="1"/>
  <c r="O26" i="41"/>
  <c r="P26" i="41" s="1"/>
  <c r="O9" i="41"/>
  <c r="P9" i="41" s="1"/>
  <c r="O5" i="41"/>
  <c r="P5" i="41" s="1"/>
  <c r="O35" i="41"/>
  <c r="P3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V23" i="11"/>
  <c r="N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2" i="11"/>
  <c r="D21" i="11"/>
  <c r="D20" i="11"/>
  <c r="D19" i="11"/>
  <c r="D18" i="11"/>
  <c r="D17" i="11"/>
  <c r="D16" i="11"/>
  <c r="C16" i="11"/>
  <c r="B24" i="11"/>
  <c r="C24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AA12" i="6"/>
  <c r="M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K12" i="6" l="1"/>
  <c r="F22" i="47"/>
  <c r="N19" i="11"/>
  <c r="N10" i="62" s="1"/>
  <c r="N14" i="62"/>
  <c r="N18" i="11"/>
  <c r="N9" i="62" s="1"/>
  <c r="N22" i="11"/>
  <c r="N13" i="62" s="1"/>
  <c r="F16" i="11"/>
  <c r="I16" i="11" s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J12" i="6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4" l="1"/>
  <c r="O23" i="54" s="1"/>
  <c r="P23" i="54" s="1"/>
  <c r="M24" i="66"/>
  <c r="O24" i="66" s="1"/>
  <c r="P24" i="66" s="1"/>
  <c r="M24" i="71"/>
  <c r="M23" i="64"/>
  <c r="O23" i="64" s="1"/>
  <c r="P23" i="64" s="1"/>
  <c r="M23" i="53"/>
  <c r="O23" i="53" s="1"/>
  <c r="P23" i="53" s="1"/>
  <c r="M23" i="48"/>
  <c r="M23" i="66"/>
  <c r="M23" i="65"/>
  <c r="O23" i="65" s="1"/>
  <c r="P23" i="65" s="1"/>
  <c r="M23" i="61"/>
  <c r="O23" i="61" s="1"/>
  <c r="P23" i="61" s="1"/>
  <c r="M23" i="58"/>
  <c r="O23" i="58" s="1"/>
  <c r="P23" i="58" s="1"/>
  <c r="M23" i="56"/>
  <c r="M23" i="52"/>
  <c r="O23" i="52" s="1"/>
  <c r="P23" i="52" s="1"/>
  <c r="M23" i="49"/>
  <c r="O23" i="49" s="1"/>
  <c r="P23" i="49" s="1"/>
  <c r="M23" i="44"/>
  <c r="O23" i="44" s="1"/>
  <c r="P23" i="44" s="1"/>
  <c r="M22" i="51"/>
  <c r="O22" i="51" s="1"/>
  <c r="P22" i="51" s="1"/>
  <c r="M18" i="48"/>
  <c r="O18" i="48" s="1"/>
  <c r="P18" i="48" s="1"/>
  <c r="M22" i="56"/>
  <c r="O22" i="56" s="1"/>
  <c r="P22" i="56" s="1"/>
  <c r="M16" i="52"/>
  <c r="O16" i="52" s="1"/>
  <c r="P16" i="52" s="1"/>
  <c r="M22" i="70"/>
  <c r="O22" i="70" s="1"/>
  <c r="P22" i="70" s="1"/>
  <c r="M20" i="50"/>
  <c r="O20" i="50" s="1"/>
  <c r="P20" i="50" s="1"/>
  <c r="M24" i="56"/>
  <c r="O24" i="56" s="1"/>
  <c r="P24" i="56" s="1"/>
  <c r="M24" i="72"/>
  <c r="K15" i="62"/>
  <c r="M24" i="45"/>
  <c r="O24" i="45" s="1"/>
  <c r="P24" i="45" s="1"/>
  <c r="M20" i="43"/>
  <c r="O20" i="43" s="1"/>
  <c r="P20" i="43" s="1"/>
  <c r="M24" i="53"/>
  <c r="O24" i="53" s="1"/>
  <c r="P24" i="53" s="1"/>
  <c r="M24" i="65"/>
  <c r="O24" i="65" s="1"/>
  <c r="P24" i="65" s="1"/>
  <c r="M24" i="50"/>
  <c r="O24" i="50" s="1"/>
  <c r="P24" i="50" s="1"/>
  <c r="M24" i="47"/>
  <c r="O24" i="47" s="1"/>
  <c r="P24" i="47" s="1"/>
  <c r="M24" i="58"/>
  <c r="M24" i="43"/>
  <c r="O24" i="43" s="1"/>
  <c r="P24" i="43" s="1"/>
  <c r="M24" i="44"/>
  <c r="O24" i="44" s="1"/>
  <c r="P24" i="44" s="1"/>
  <c r="J15" i="62"/>
  <c r="M24" i="46"/>
  <c r="O24" i="46" s="1"/>
  <c r="P24" i="46" s="1"/>
  <c r="M24" i="63"/>
  <c r="O24" i="63" s="1"/>
  <c r="P24" i="63" s="1"/>
  <c r="M23" i="51"/>
  <c r="O23" i="51" s="1"/>
  <c r="P23" i="51" s="1"/>
  <c r="M20" i="61"/>
  <c r="O20" i="61" s="1"/>
  <c r="P20" i="61" s="1"/>
  <c r="K12" i="62"/>
  <c r="M20" i="71"/>
  <c r="O20" i="71" s="1"/>
  <c r="P20" i="71" s="1"/>
  <c r="M16" i="58"/>
  <c r="O16" i="58" s="1"/>
  <c r="P16" i="58" s="1"/>
  <c r="M16" i="43"/>
  <c r="O16" i="43" s="1"/>
  <c r="J7" i="62"/>
  <c r="L22" i="16"/>
  <c r="M22" i="16" s="1"/>
  <c r="N22" i="16" s="1"/>
  <c r="M21" i="43"/>
  <c r="O21" i="43" s="1"/>
  <c r="P21" i="43" s="1"/>
  <c r="M16" i="59"/>
  <c r="O16" i="59" s="1"/>
  <c r="P16" i="59" s="1"/>
  <c r="M20" i="48"/>
  <c r="O20" i="48" s="1"/>
  <c r="P20" i="48" s="1"/>
  <c r="L21" i="16"/>
  <c r="M21" i="16" s="1"/>
  <c r="N21" i="16" s="1"/>
  <c r="O21" i="16" s="1"/>
  <c r="M17" i="61"/>
  <c r="O17" i="61" s="1"/>
  <c r="P17" i="61" s="1"/>
  <c r="M22" i="67"/>
  <c r="O22" i="67" s="1"/>
  <c r="P22" i="67" s="1"/>
  <c r="M20" i="57"/>
  <c r="O20" i="57" s="1"/>
  <c r="P20" i="57" s="1"/>
  <c r="M20" i="53"/>
  <c r="O20" i="53" s="1"/>
  <c r="P20" i="53" s="1"/>
  <c r="M21" i="52"/>
  <c r="O21" i="52" s="1"/>
  <c r="P21" i="52" s="1"/>
  <c r="M22" i="52"/>
  <c r="O22" i="52" s="1"/>
  <c r="P22" i="52" s="1"/>
  <c r="M21" i="69"/>
  <c r="O21" i="69" s="1"/>
  <c r="P21" i="69" s="1"/>
  <c r="M23" i="60"/>
  <c r="O23" i="60" s="1"/>
  <c r="P23" i="60" s="1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M18" i="53"/>
  <c r="O18" i="53" s="1"/>
  <c r="P18" i="53" s="1"/>
  <c r="M21" i="44"/>
  <c r="O21" i="44" s="1"/>
  <c r="P21" i="44" s="1"/>
  <c r="M21" i="47"/>
  <c r="O21" i="47" s="1"/>
  <c r="P21" i="47" s="1"/>
  <c r="M20" i="70"/>
  <c r="O20" i="70" s="1"/>
  <c r="P20" i="70" s="1"/>
  <c r="M17" i="72"/>
  <c r="O17" i="72" s="1"/>
  <c r="P17" i="72" s="1"/>
  <c r="M16" i="64"/>
  <c r="O16" i="64" s="1"/>
  <c r="P16" i="64" s="1"/>
  <c r="M17" i="60"/>
  <c r="O17" i="60" s="1"/>
  <c r="P17" i="60" s="1"/>
  <c r="M22" i="43"/>
  <c r="O22" i="43" s="1"/>
  <c r="P22" i="43" s="1"/>
  <c r="M16" i="65"/>
  <c r="O16" i="65" s="1"/>
  <c r="M22" i="63"/>
  <c r="O22" i="63" s="1"/>
  <c r="P22" i="63" s="1"/>
  <c r="M16" i="60"/>
  <c r="O16" i="60" s="1"/>
  <c r="P16" i="60" s="1"/>
  <c r="M21" i="51"/>
  <c r="O21" i="51" s="1"/>
  <c r="P21" i="51" s="1"/>
  <c r="M23" i="72"/>
  <c r="O23" i="72" s="1"/>
  <c r="P23" i="72" s="1"/>
  <c r="M23" i="59"/>
  <c r="O23" i="59" s="1"/>
  <c r="P23" i="59" s="1"/>
  <c r="M16" i="66"/>
  <c r="O16" i="66" s="1"/>
  <c r="M16" i="44"/>
  <c r="O16" i="44" s="1"/>
  <c r="M16" i="48"/>
  <c r="O16" i="48" s="1"/>
  <c r="P16" i="48" s="1"/>
  <c r="L17" i="16"/>
  <c r="M17" i="16" s="1"/>
  <c r="N17" i="16" s="1"/>
  <c r="L20" i="16"/>
  <c r="M20" i="16" s="1"/>
  <c r="N20" i="16" s="1"/>
  <c r="O20" i="16" s="1"/>
  <c r="L23" i="16"/>
  <c r="M23" i="16" s="1"/>
  <c r="N23" i="16" s="1"/>
  <c r="M16" i="72"/>
  <c r="O16" i="72" s="1"/>
  <c r="P16" i="72" s="1"/>
  <c r="M18" i="67"/>
  <c r="O18" i="67" s="1"/>
  <c r="P18" i="67" s="1"/>
  <c r="M21" i="53"/>
  <c r="O21" i="53" s="1"/>
  <c r="P21" i="53" s="1"/>
  <c r="M21" i="68"/>
  <c r="O21" i="68" s="1"/>
  <c r="P21" i="68" s="1"/>
  <c r="M20" i="46"/>
  <c r="O20" i="46" s="1"/>
  <c r="P20" i="46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4" i="71"/>
  <c r="P24" i="71" s="1"/>
  <c r="O23" i="69"/>
  <c r="P23" i="69" s="1"/>
  <c r="O24" i="48"/>
  <c r="P24" i="48" s="1"/>
  <c r="O23" i="66"/>
  <c r="P23" i="66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L25" i="65"/>
  <c r="J25" i="44"/>
  <c r="P29" i="44" s="1"/>
  <c r="L25" i="57"/>
  <c r="K25" i="52"/>
  <c r="J25" i="54"/>
  <c r="P29" i="54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K25" i="16"/>
  <c r="O29" i="16" s="1"/>
  <c r="L19" i="16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4" i="16" l="1"/>
  <c r="M15" i="62"/>
  <c r="M12" i="62"/>
  <c r="P16" i="43"/>
  <c r="P25" i="43" s="1"/>
  <c r="P21" i="50"/>
  <c r="O31" i="16"/>
  <c r="O32" i="16" s="1"/>
  <c r="O33" i="16" s="1"/>
  <c r="O34" i="16" s="1"/>
  <c r="O35" i="16" s="1"/>
  <c r="O22" i="16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O25" i="64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25" i="70"/>
  <c r="O25" i="55"/>
  <c r="O15" i="62"/>
  <c r="P15" i="62" s="1"/>
  <c r="O25" i="52"/>
  <c r="O18" i="16"/>
  <c r="O25" i="48"/>
  <c r="P16" i="70"/>
  <c r="P25" i="70" s="1"/>
  <c r="P16" i="53"/>
  <c r="P25" i="53" s="1"/>
  <c r="P23" i="55"/>
  <c r="P25" i="55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M22" i="11"/>
  <c r="M23" i="11"/>
  <c r="J25" i="11"/>
  <c r="P29" i="11" s="1"/>
  <c r="M17" i="11"/>
  <c r="W12" i="6"/>
  <c r="Y12" i="6" s="1"/>
  <c r="T12" i="6"/>
  <c r="V11" i="6"/>
  <c r="X11" i="6" s="1"/>
  <c r="U13" i="6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J16" i="62" l="1"/>
  <c r="P20" i="62" s="1"/>
  <c r="P21" i="62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22" i="62" l="1"/>
  <c r="P24" i="62" s="1"/>
  <c r="P30" i="1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<sst xmlns="http://schemas.openxmlformats.org/spreadsheetml/2006/main" count="3947" uniqueCount="518">
  <si>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</si>
  <si>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</si>
  <si>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</si>
  <si>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</si>
  <si>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</si>
  <si>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</si>
  <si>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</si>
  <si>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</si>
  <si>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</si>
  <si>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</si>
  <si>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</si>
  <si>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</si>
  <si>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</si>
  <si>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</si>
  <si>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</si>
  <si>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</si>
  <si>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</si>
  <si>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</si>
  <si>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</si>
  <si>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</si>
  <si>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</si>
  <si>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</si>
  <si>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</si>
  <si>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</si>
  <si>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</si>
  <si>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</si>
  <si>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</si>
  <si>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</si>
  <si>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</si>
  <si>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</si>
  <si>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</si>
  <si>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</si>
  <si>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</si>
  <si>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</si>
  <si>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</si>
  <si>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</si>
  <si>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</si>
  <si>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</si>
  <si>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</si>
  <si>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</si>
  <si>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</si>
  <si>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</si>
  <si>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</si>
  <si>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</si>
  <si>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</si>
  <si>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</si>
  <si>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</si>
  <si>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</si>
  <si>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</si>
  <si>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</si>
  <si>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</si>
  <si>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</si>
  <si>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</si>
  <si>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</si>
  <si>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</si>
  <si>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</si>
  <si>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</si>
  <si>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</si>
  <si>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</si>
  <si>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</si>
  <si>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</si>
  <si>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</si>
  <si>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</si>
  <si>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</si>
  <si>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</si>
  <si>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</si>
  <si>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</si>
  <si>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</si>
  <si>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</si>
  <si>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</si>
  <si>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</si>
  <si>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</si>
  <si>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</si>
  <si>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</si>
  <si>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</si>
  <si>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</si>
  <si>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</si>
  <si>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</si>
  <si>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</si>
  <si>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</si>
  <si>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</si>
  <si>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</si>
  <si>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</si>
  <si>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</si>
  <si>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</si>
  <si>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</si>
  <si>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</si>
  <si>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</si>
  <si>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</si>
  <si>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</si>
  <si>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</si>
  <si>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</si>
  <si>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</si>
  <si>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</si>
  <si>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</si>
  <si>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</si>
  <si>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</si>
  <si>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</si>
  <si>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</si>
  <si>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</si>
  <si>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</si>
  <si>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</si>
  <si>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</si>
  <si>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</si>
  <si>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</si>
  <si>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</si>
  <si>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</si>
  <si>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</si>
  <si>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</si>
  <si>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</si>
  <si>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</si>
  <si>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</si>
  <si>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</si>
  <si>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</si>
  <si>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</si>
  <si>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</si>
  <si>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</si>
  <si>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</si>
  <si>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</si>
  <si>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</si>
  <si>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</si>
  <si>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</si>
  <si>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</si>
  <si>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</si>
  <si>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</si>
  <si>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</si>
  <si>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</si>
  <si>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</si>
  <si>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</si>
  <si>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</si>
  <si>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</si>
  <si>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</si>
  <si>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</si>
  <si>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</si>
  <si>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</si>
  <si>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</si>
  <si>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</si>
  <si>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</si>
  <si>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</si>
  <si>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</si>
  <si>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</si>
  <si>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</si>
  <si>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</si>
  <si>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</si>
  <si>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</si>
  <si>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</si>
  <si>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</si>
  <si>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</si>
  <si>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</si>
  <si>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</si>
  <si>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</si>
  <si>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</si>
  <si>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</si>
  <si>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</si>
  <si>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</si>
  <si>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</si>
  <si>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</si>
  <si>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</si>
  <si>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</si>
  <si>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</si>
  <si>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</si>
  <si>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</si>
  <si>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</si>
  <si>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</si>
  <si>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</si>
  <si>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</si>
  <si>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</si>
  <si>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</si>
  <si>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</si>
  <si>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</si>
  <si>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</si>
  <si>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</si>
  <si>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</si>
  <si>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</si>
  <si>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</si>
  <si>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</si>
  <si>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</si>
  <si>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</si>
  <si>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</si>
  <si>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</si>
  <si>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</si>
  <si>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</si>
  <si>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</si>
  <si>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</si>
  <si>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</si>
  <si>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</si>
  <si>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</si>
  <si>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</si>
  <si>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</si>
  <si>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</si>
  <si>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</si>
  <si>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</si>
  <si>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</si>
  <si>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</si>
  <si>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</si>
  <si>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</si>
  <si>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</si>
  <si>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</si>
  <si>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</si>
  <si>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</si>
  <si>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</si>
  <si>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</si>
  <si>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</si>
  <si>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</si>
  <si>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</si>
  <si>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</si>
  <si>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</si>
  <si>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</si>
  <si>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</si>
  <si>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</si>
  <si>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</si>
  <si>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</si>
  <si>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</si>
  <si>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</si>
  <si>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</si>
  <si>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</si>
  <si>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</si>
  <si>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</si>
  <si>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</si>
  <si>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</si>
  <si>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</si>
  <si>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</si>
  <si>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</si>
  <si>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</si>
  <si>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</si>
  <si>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</si>
  <si>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</si>
  <si>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</si>
  <si>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</si>
  <si>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</si>
  <si>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</si>
  <si>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</si>
  <si>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</si>
  <si>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</si>
  <si>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</si>
  <si>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</si>
  <si>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</si>
  <si>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</si>
  <si>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</si>
  <si>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</si>
  <si>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</si>
  <si>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</si>
  <si>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</si>
  <si>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</si>
  <si>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</si>
  <si>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</si>
  <si>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</si>
  <si>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</si>
  <si>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</si>
  <si>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</si>
  <si>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</si>
  <si>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</si>
  <si>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</si>
  <si>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</si>
  <si>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</si>
  <si>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</si>
  <si>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</si>
  <si>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</si>
  <si>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</si>
  <si>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</si>
  <si>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</si>
  <si>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</si>
  <si>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</si>
  <si>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</si>
  <si>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</si>
  <si>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</si>
  <si>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</si>
  <si>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</si>
  <si>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</si>
  <si>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</si>
  <si>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</si>
  <si>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</si>
  <si>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</si>
  <si>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</si>
  <si>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</si>
  <si>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</si>
  <si>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</si>
  <si>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</si>
  <si>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</si>
  <si>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</si>
  <si>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</si>
  <si>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</si>
  <si>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</si>
  <si>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</si>
  <si>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</si>
  <si>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</si>
  <si>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</si>
  <si>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</si>
  <si>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</si>
  <si>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</si>
  <si>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</si>
  <si>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</si>
  <si>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</si>
  <si>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</si>
  <si>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</si>
  <si>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</si>
  <si>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</si>
  <si>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</si>
  <si>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</si>
  <si>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</si>
  <si>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</si>
  <si>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</si>
  <si>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</si>
  <si>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</si>
  <si>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</si>
  <si>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</si>
  <si>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</si>
  <si>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</si>
  <si>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</si>
  <si>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</si>
  <si>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</si>
  <si>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</si>
  <si>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</si>
  <si>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</si>
  <si>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</si>
  <si>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</si>
  <si>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</si>
  <si>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</si>
  <si>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</si>
  <si>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</si>
  <si>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</si>
  <si>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</si>
  <si>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</si>
  <si>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</si>
  <si>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</si>
  <si>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</si>
  <si>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</si>
  <si>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</si>
  <si>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</si>
  <si>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</si>
  <si>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</si>
  <si>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</si>
  <si>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</si>
  <si>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</si>
  <si>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</si>
  <si>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</si>
  <si>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</si>
  <si>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</si>
  <si>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</si>
  <si>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</si>
  <si>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</si>
  <si>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</si>
  <si>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</si>
  <si>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</si>
  <si>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</si>
  <si>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</si>
  <si>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</si>
  <si>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</si>
  <si>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</si>
  <si>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</si>
  <si>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</si>
  <si>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</si>
  <si>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</si>
  <si>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</si>
  <si>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</si>
  <si>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</si>
  <si>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</si>
  <si>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</si>
  <si>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</si>
  <si>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</si>
  <si>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</si>
  <si>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</si>
  <si>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</si>
  <si>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</si>
  <si>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</si>
  <si>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</si>
  <si>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</si>
  <si>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</si>
  <si>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</si>
  <si>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</si>
  <si>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</si>
  <si>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</si>
  <si>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</si>
  <si>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</si>
  <si>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</si>
  <si>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</si>
  <si>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</si>
  <si>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</si>
  <si>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</si>
  <si>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</si>
  <si>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</si>
  <si>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</si>
  <si>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</si>
  <si>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</si>
  <si>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</si>
  <si>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</si>
  <si>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</si>
  <si>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</si>
  <si>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</si>
  <si>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</si>
  <si>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</si>
  <si>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</si>
  <si>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</si>
  <si>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</si>
  <si>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</si>
  <si>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</si>
  <si>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</si>
  <si>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</si>
  <si>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</si>
  <si>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</si>
  <si>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</si>
  <si>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</si>
  <si>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</si>
  <si>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</si>
  <si>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</si>
  <si>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</si>
  <si>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</si>
  <si>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</si>
  <si>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</si>
  <si>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</si>
  <si>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</si>
  <si>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</si>
  <si>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</si>
  <si>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</si>
  <si>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</si>
  <si>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</si>
  <si>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</si>
  <si>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</si>
  <si>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</si>
  <si>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</si>
  <si>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</si>
  <si>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</si>
  <si>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</si>
  <si>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</si>
  <si>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</si>
  <si>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</si>
  <si>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</si>
  <si>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</si>
  <si>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</si>
  <si>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</si>
  <si>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</si>
  <si>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</si>
  <si>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</si>
  <si>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</si>
  <si>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</si>
  <si>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</si>
  <si>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</si>
  <si>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</si>
  <si>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</si>
  <si>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</si>
  <si>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</si>
  <si>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</si>
  <si>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</si>
  <si>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</si>
  <si>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</si>
  <si>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</si>
  <si>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</si>
  <si>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</si>
  <si>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</si>
  <si>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</si>
  <si>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</si>
  <si>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</si>
  <si>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</si>
  <si>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</si>
  <si>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</si>
  <si>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</si>
  <si>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</si>
  <si>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</si>
  <si>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</si>
  <si>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</si>
  <si>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</si>
  <si>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</si>
  <si>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</si>
  <si>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</si>
  <si>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</si>
  <si>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</si>
  <si>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</si>
  <si>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</si>
  <si>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</si>
  <si>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</si>
  <si>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</si>
  <si>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</si>
  <si>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</si>
  <si>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</si>
  <si>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</si>
  <si>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</si>
  <si>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</si>
  <si>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</si>
  <si>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</si>
  <si>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</si>
  <si>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</si>
  <si>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</si>
  <si>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</si>
  <si>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</si>
  <si>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</si>
  <si>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</si>
  <si>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</si>
  <si>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</si>
  <si>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</si>
  <si>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</si>
  <si>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</si>
  <si>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</si>
  <si>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</si>
  <si>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</si>
  <si>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</si>
  <si>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</si>
  <si>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</si>
  <si>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</si>
  <si>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</si>
  <si>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</si>
  <si>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</si>
  <si>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</si>
  <si>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</si>
  <si>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</si>
  <si>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</si>
  <si>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</si>
  <si>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</si>
  <si>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</si>
  <si>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</si>
  <si>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</si>
  <si>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</si>
  <si>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</si>
  <si>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</si>
  <si>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</si>
  <si>
    <t xml:space="preserve">CCN PROMO </t>
  </si>
  <si>
    <t>Indomie Chicken ® 4 in 1</t>
  </si>
  <si>
    <t xml:space="preserve">Nabeel Traders </t>
  </si>
  <si>
    <t>Address: Mughalpura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</si>
</sst>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R8" activePane="bottomRight" state="frozen"/>
      <selection activeCell="I11" sqref="I11"/>
      <selection pane="topRight" activeCell="I11" sqref="I11"/>
      <selection pane="bottomLeft" activeCell="I11" sqref="I11"/>
      <selection pane="bottomRight" activeCell="L13" sqref="L13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3" width="11.81640625" style="163" bestFit="1" customWidth="1"/>
    <col min="4" max="4" width="13.81640625" style="163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3.81640625" style="164" bestFit="1" customWidth="1"/>
    <col min="10" max="10" width="4.81640625" bestFit="1" customWidth="1"/>
    <col min="11" max="11" width="3.81640625" bestFit="1" customWidth="1"/>
    <col min="12" max="12" width="7.453125" bestFit="1" customWidth="1"/>
    <col min="13" max="13" width="6.453125" bestFit="1" customWidth="1"/>
    <col min="14" max="14" width="6.81640625" bestFit="1" customWidth="1"/>
    <col min="15" max="15" width="3.453125" bestFit="1" customWidth="1"/>
    <col min="16" max="16" width="3.26953125" bestFit="1" customWidth="1"/>
    <col min="17" max="17" width="3.453125" bestFit="1" customWidth="1"/>
    <col min="18" max="18" width="4.81640625" bestFit="1" customWidth="1"/>
    <col min="19" max="19" width="3.453125" bestFit="1" customWidth="1"/>
    <col min="20" max="20" width="7.453125" bestFit="1" customWidth="1"/>
    <col min="21" max="22" width="6.453125" bestFit="1" customWidth="1"/>
    <col min="23" max="23" width="5.453125" bestFit="1" customWidth="1"/>
    <col min="24" max="24" width="7.453125" bestFit="1" customWidth="1"/>
    <col min="25" max="25" width="6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514</v>
      </c>
      <c r="D13" s="166" t="s">
        <v>514</v>
      </c>
      <c r="E13" s="178" t="s">
        <v>515</v>
      </c>
      <c r="F13" s="179">
        <v>70</v>
      </c>
      <c r="G13" s="180">
        <v>12</v>
      </c>
      <c r="H13" s="180">
        <f t="shared" si="2"/>
        <v>2400</v>
      </c>
      <c r="I13" s="181">
        <v>200</v>
      </c>
      <c r="J13" s="181">
        <f t="shared" si="3"/>
        <v>2363.1887999999999</v>
      </c>
      <c r="K13" s="181">
        <f t="shared" si="12"/>
        <v>196.93239999999997</v>
      </c>
      <c r="L13" s="182">
        <v>1937.04</v>
      </c>
      <c r="M13" s="182">
        <f t="shared" si="4"/>
        <v>161.41999999999999</v>
      </c>
      <c r="N13" s="183">
        <v>0.12</v>
      </c>
      <c r="O13" s="184">
        <v>5.8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1867.4399999999996</v>
      </c>
      <c r="U13" s="182">
        <f t="shared" si="9"/>
        <v>155.61999999999998</v>
      </c>
      <c r="V13" s="182">
        <f t="shared" si="10"/>
        <v>336.1391999999999</v>
      </c>
      <c r="W13" s="182">
        <f t="shared" si="10"/>
        <v>28.011599999999994</v>
      </c>
      <c r="X13" s="182">
        <f t="shared" si="0"/>
        <v>2203.5791999999997</v>
      </c>
      <c r="Y13" s="182">
        <f t="shared" si="0"/>
        <v>183.63159999999996</v>
      </c>
      <c r="AA13" s="182">
        <f t="shared" si="1"/>
        <v>0.84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468</v>
      </c>
      <c r="D14" s="166" t="s">
        <v>468</v>
      </c>
      <c r="E14" s="178" t="s">
        <v>469</v>
      </c>
      <c r="F14" s="179">
        <v>60</v>
      </c>
      <c r="G14" s="180">
        <v>48</v>
      </c>
      <c r="H14" s="180">
        <f t="shared" si="2"/>
        <v>2400</v>
      </c>
      <c r="I14" s="181">
        <v>50</v>
      </c>
      <c r="J14" s="181">
        <f t="shared" si="3"/>
        <v>1914.424</v>
      </c>
      <c r="K14" s="181">
        <f t="shared" si="12"/>
        <v>39.883833333333335</v>
      </c>
      <c r="L14" s="182">
        <v>1569.2</v>
      </c>
      <c r="M14" s="182">
        <f t="shared" si="4"/>
        <v>32.69166666666667</v>
      </c>
      <c r="N14" s="183">
        <f t="shared" si="13"/>
        <v>0.12</v>
      </c>
      <c r="O14" s="184">
        <f t="shared" si="5"/>
        <v>3.923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1380.8960000000002</v>
      </c>
      <c r="U14" s="182">
        <f t="shared" si="9"/>
        <v>28.768666666666668</v>
      </c>
      <c r="V14" s="182">
        <f t="shared" si="10"/>
        <v>248.56128000000001</v>
      </c>
      <c r="W14" s="182">
        <f t="shared" si="10"/>
        <v>5.1783600000000005</v>
      </c>
      <c r="X14" s="182">
        <f t="shared" si="0"/>
        <v>1629.4572800000001</v>
      </c>
      <c r="Y14" s="182">
        <f t="shared" si="0"/>
        <v>33.947026666666666</v>
      </c>
      <c r="AA14" s="182">
        <f t="shared" si="1"/>
        <v>2.88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bestFit="1" customWidth="1"/>
    <col min="10" max="10" width="10.8164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5429687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497</v>
      </c>
      <c r="F2" s="358"/>
      <c r="G2" s="358"/>
      <c r="H2" s="355" t="s">
        <v>513</v>
      </c>
      <c r="I2" s="355"/>
      <c r="J2" s="356"/>
      <c r="R2" s="352" t="s">
        <v>496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507</v>
      </c>
      <c r="F3" s="362"/>
      <c r="G3" s="362"/>
      <c r="H3" s="359">
        <v>46321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 xml:space="preserve">Nabeel Traders </v>
      </c>
      <c r="T3" s="301">
        <f>+'1'!P35</f>
        <v>885655.01529788144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494</v>
      </c>
      <c r="O5" s="103" t="s">
        <v>89</v>
      </c>
      <c r="P5" s="115" t="s">
        <v>56</v>
      </c>
      <c r="Q5" s="314" t="s">
        <v>506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493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492</v>
      </c>
      <c r="M6" s="364"/>
      <c r="N6" s="366"/>
      <c r="O6" s="228" t="e">
        <f>IF(#REF!="Filer",0.5%,2.5%)</f>
        <v>#REF!</v>
      </c>
      <c r="P6" s="111" t="s">
        <v>38</v>
      </c>
      <c r="Q6" s="314" t="s">
        <v>505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25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52462.5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1836.1875000000002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42232.3125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9915.2542372881308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260.73783368644064</v>
      </c>
      <c r="P7" s="310">
        <f>M7+N7+O7</f>
        <v>52408.304570974571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25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52462.5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1836.1875000000002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42232.3125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9915.2542372881308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260.73783368644064</v>
      </c>
      <c r="P8" s="311">
        <f t="shared" ref="P8:P15" si="2">M8+N8+O8</f>
        <v>52408.304570974571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80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232448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37191.68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8135.6800000000012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187120.64000000001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43932.203389830509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1155.2642169491526</v>
      </c>
      <c r="P11" s="311">
        <f t="shared" si="2"/>
        <v>232208.10760677967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120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348672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55787.520000000004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12203.52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280680.95999999996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65898.305084745763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1732.8963254237285</v>
      </c>
      <c r="P12" s="311">
        <f t="shared" si="2"/>
        <v>348312.16141016944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514</v>
      </c>
      <c r="B14" s="307" t="str">
        <f>VLOOKUP($A14,'Cust. Price List'!$D$6:$O$14,2,0)</f>
        <v>Indomie Chicken ® 4 in 1</v>
      </c>
      <c r="C14" s="106">
        <f>VLOOKUP(B14,'Cust. Price List'!E13:P21,2,0)</f>
        <v>70</v>
      </c>
      <c r="D14" s="284">
        <f>VLOOKUP(A14,'Cust. Price List'!D13:M21,4,0)</f>
        <v>12</v>
      </c>
      <c r="E14" s="291">
        <f>VLOOKUP(A14,'Cust. Price List'!D13:M21,6,0)</f>
        <v>200</v>
      </c>
      <c r="F14" s="292">
        <f>VLOOKUP(A14,'Cust. Price List'!D13:M21,10,0)</f>
        <v>161.41999999999999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100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193703.99999999997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30992.639999999996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162711.35999999999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36610.169491525405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996.60764745762685</v>
      </c>
      <c r="P14" s="311">
        <f t="shared" si="2"/>
        <v>200318.137138983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468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48</v>
      </c>
      <c r="E15" s="293">
        <f>VLOOKUP(A15,'Cust. Price List'!D14:M22,6,0)</f>
        <v>50</v>
      </c>
      <c r="F15" s="294">
        <f>VLOOKUP(A15,'Cust. Price List'!D14:M22,10,0)</f>
        <v>32.69166666666667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0</v>
      </c>
      <c r="H16" s="113">
        <f t="shared" ref="H16:M16" si="3">SUM(H7:H15)</f>
        <v>0</v>
      </c>
      <c r="I16" s="114">
        <f t="shared" si="3"/>
        <v>879749</v>
      </c>
      <c r="J16" s="274">
        <f>SUM(J7:J15)</f>
        <v>140759.84</v>
      </c>
      <c r="K16" s="275">
        <f t="shared" si="3"/>
        <v>24011.575000000004</v>
      </c>
      <c r="L16" s="276">
        <f t="shared" si="3"/>
        <v>0</v>
      </c>
      <c r="M16" s="232">
        <f t="shared" si="3"/>
        <v>714977.58499999996</v>
      </c>
      <c r="N16" s="233">
        <f>SUM(N7:N15)</f>
        <v>166271.18644067794</v>
      </c>
      <c r="O16" s="101">
        <f>SUM(O7:O15)</f>
        <v>4406.2438572033889</v>
      </c>
      <c r="P16" s="113">
        <f>SUM(P7:P15)</f>
        <v>885655.01529788133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879749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140759.84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24011.575000000004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714977.58500000008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166271.18644067794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881248.77144067804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4406.2438572033889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885655.01529788144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495</v>
      </c>
      <c r="T33" s="304">
        <f>SUM(T3:T32)</f>
        <v>885655.01529788144</v>
      </c>
    </row>
    <row r="44" spans="2:20" x14ac:dyDescent="0.35">
      <c r="B44" t="s">
        <v>499</v>
      </c>
    </row>
    <row r="45" spans="2:20" x14ac:dyDescent="0.35">
      <c r="B45" t="s">
        <v>500</v>
      </c>
    </row>
    <row r="46" spans="2:20" x14ac:dyDescent="0.35">
      <c r="B46" t="s">
        <v>501</v>
      </c>
    </row>
    <row r="47" spans="2:20" x14ac:dyDescent="0.35">
      <c r="B47" t="s">
        <v>502</v>
      </c>
    </row>
    <row r="48" spans="2:20" x14ac:dyDescent="0.35">
      <c r="B48" t="s">
        <v>503</v>
      </c>
    </row>
    <row r="49" spans="2:2" x14ac:dyDescent="0.35">
      <c r="B49" t="s">
        <v>508</v>
      </c>
    </row>
    <row r="50" spans="2:2" x14ac:dyDescent="0.35">
      <c r="B50" t="s">
        <v>510</v>
      </c>
    </row>
    <row r="51" spans="2:2" x14ac:dyDescent="0.35">
      <c r="B51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53"/>
  <sheetViews>
    <sheetView topLeftCell="A15" workbookViewId="0">
      <selection activeCell="P16" sqref="P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9.453125" bestFit="1" customWidth="1"/>
    <col min="9" max="9" width="9.36328125" bestFit="1" customWidth="1"/>
    <col min="10" max="11" width="8.36328125" bestFit="1" customWidth="1"/>
    <col min="12" max="12" width="9.81640625" bestFit="1" customWidth="1"/>
    <col min="13" max="13" width="6.81640625" bestFit="1" customWidth="1"/>
    <col min="14" max="14" width="8.36328125" style="61" bestFit="1" customWidth="1"/>
    <col min="15" max="15" width="8.54296875" customWidth="1"/>
    <col min="16" max="16" width="9.36328125" bestFit="1" customWidth="1"/>
    <col min="17" max="17" width="8.54296875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17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321">
        <v>0.16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25</v>
      </c>
      <c r="H16" s="112"/>
      <c r="I16" s="235">
        <f>(G16*D16)*F16+H16*F16</f>
        <v>52462.5</v>
      </c>
      <c r="J16" s="271">
        <f>$I16*S16</f>
        <v>8394</v>
      </c>
      <c r="K16" s="127">
        <f>$I16*T16</f>
        <v>1836.1875000000002</v>
      </c>
      <c r="L16" s="118">
        <f>$I16*U16</f>
        <v>0</v>
      </c>
      <c r="M16" s="229">
        <f>I16-SUM(J16:L16)</f>
        <v>42232.3125</v>
      </c>
      <c r="N16" s="248">
        <f>+(G16*D16+H16)*V16</f>
        <v>9915.2542372881308</v>
      </c>
      <c r="O16" s="238">
        <f>(N16+M16)*$O$15</f>
        <v>260.73783368644064</v>
      </c>
      <c r="P16" s="118">
        <f>M16+N16+O16</f>
        <v>52408.304570974571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>
        <v>25</v>
      </c>
      <c r="H17" s="112"/>
      <c r="I17" s="236">
        <f t="shared" ref="I17:I23" si="0">(G17*D17)*F17+H17*F17</f>
        <v>52462.5</v>
      </c>
      <c r="J17" s="272">
        <f t="shared" ref="J17:L24" si="1">$I17*S17</f>
        <v>8394</v>
      </c>
      <c r="K17" s="128">
        <f>$I17*T17</f>
        <v>1836.1875000000002</v>
      </c>
      <c r="L17" s="119">
        <f>$I17*U17</f>
        <v>0</v>
      </c>
      <c r="M17" s="230">
        <f t="shared" ref="M17:M24" si="2">I17-SUM(J17:L17)</f>
        <v>42232.3125</v>
      </c>
      <c r="N17" s="277">
        <f t="shared" ref="N17:N24" si="3">+(G17*D17+H17)*V17</f>
        <v>9915.2542372881308</v>
      </c>
      <c r="O17" s="239">
        <f t="shared" ref="O17:O24" si="4">(N17+M17)*$O$15</f>
        <v>260.73783368644064</v>
      </c>
      <c r="P17" s="119">
        <f t="shared" ref="P17:P24" si="5">M17+N17+O17</f>
        <v>52408.304570974571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80</v>
      </c>
      <c r="H20" s="112"/>
      <c r="I20" s="236">
        <f t="shared" si="7"/>
        <v>232448</v>
      </c>
      <c r="J20" s="272">
        <f t="shared" si="1"/>
        <v>37191.68</v>
      </c>
      <c r="K20" s="128">
        <f t="shared" si="1"/>
        <v>8135.6800000000012</v>
      </c>
      <c r="L20" s="119">
        <f t="shared" si="1"/>
        <v>0</v>
      </c>
      <c r="M20" s="230">
        <f t="shared" si="2"/>
        <v>187120.64000000001</v>
      </c>
      <c r="N20" s="277">
        <f t="shared" si="3"/>
        <v>43932.203389830509</v>
      </c>
      <c r="O20" s="239">
        <f t="shared" si="4"/>
        <v>1155.2642169491526</v>
      </c>
      <c r="P20" s="119">
        <f t="shared" si="5"/>
        <v>232208.10760677967</v>
      </c>
      <c r="Q20" s="319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120</v>
      </c>
      <c r="H21" s="112"/>
      <c r="I21" s="236">
        <f t="shared" si="7"/>
        <v>348672</v>
      </c>
      <c r="J21" s="272">
        <f t="shared" si="1"/>
        <v>55787.520000000004</v>
      </c>
      <c r="K21" s="128">
        <f t="shared" si="1"/>
        <v>12203.52</v>
      </c>
      <c r="L21" s="119">
        <f t="shared" si="1"/>
        <v>0</v>
      </c>
      <c r="M21" s="230">
        <f t="shared" si="2"/>
        <v>280680.95999999996</v>
      </c>
      <c r="N21" s="277">
        <f t="shared" si="3"/>
        <v>65898.305084745763</v>
      </c>
      <c r="O21" s="239">
        <f t="shared" si="4"/>
        <v>1732.8963254237285</v>
      </c>
      <c r="P21" s="119">
        <f t="shared" si="5"/>
        <v>348312.16141016944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0.16</v>
      </c>
      <c r="T22" s="270">
        <v>0</v>
      </c>
      <c r="U22" s="270"/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>
        <v>100</v>
      </c>
      <c r="H23" s="112"/>
      <c r="I23" s="236">
        <f t="shared" si="0"/>
        <v>193703.99999999997</v>
      </c>
      <c r="J23" s="272">
        <f t="shared" si="1"/>
        <v>30992.639999999996</v>
      </c>
      <c r="K23" s="128">
        <f t="shared" si="1"/>
        <v>0</v>
      </c>
      <c r="L23" s="119">
        <f t="shared" si="1"/>
        <v>0</v>
      </c>
      <c r="M23" s="230">
        <f t="shared" si="2"/>
        <v>162711.35999999999</v>
      </c>
      <c r="N23" s="277">
        <f t="shared" si="3"/>
        <v>36610.169491525405</v>
      </c>
      <c r="O23" s="239">
        <f t="shared" si="4"/>
        <v>996.60764745762685</v>
      </c>
      <c r="P23" s="119">
        <f t="shared" si="5"/>
        <v>200318.137138983</v>
      </c>
      <c r="Q23" s="319"/>
      <c r="S23" s="269">
        <v>0.16</v>
      </c>
      <c r="T23" s="270">
        <v>0</v>
      </c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/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350</v>
      </c>
      <c r="H25" s="113">
        <f t="shared" ref="H25" si="9">SUM(H16:H24)</f>
        <v>0</v>
      </c>
      <c r="I25" s="114">
        <f t="shared" ref="I25:M25" si="10">SUM(I16:I24)</f>
        <v>879749</v>
      </c>
      <c r="J25" s="274">
        <f>SUM(J16:J24)</f>
        <v>140759.84</v>
      </c>
      <c r="K25" s="275">
        <f t="shared" si="10"/>
        <v>24011.575000000004</v>
      </c>
      <c r="L25" s="276">
        <f t="shared" si="10"/>
        <v>0</v>
      </c>
      <c r="M25" s="232">
        <f t="shared" si="10"/>
        <v>714977.58499999996</v>
      </c>
      <c r="N25" s="233">
        <f>SUM(N16:N24)</f>
        <v>166271.18644067794</v>
      </c>
      <c r="O25" s="101">
        <f>SUM(O16:O24)</f>
        <v>4406.2438572033889</v>
      </c>
      <c r="P25" s="234">
        <f>SUM(P16:P24)</f>
        <v>885655.01529788133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879749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140759.84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24011.575000000004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714977.58500000008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166271.18644067794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881248.77144067804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4406.2438572033907</v>
      </c>
    </row>
    <row r="35" spans="2:16" ht="15.75" customHeight="1" thickBot="1" x14ac:dyDescent="0.4">
      <c r="N35" s="346" t="s">
        <v>88</v>
      </c>
      <c r="O35" s="347"/>
      <c r="P35" s="297">
        <f>+P33+P34</f>
        <v>885655.01529788144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  <row r="46" spans="2:16" x14ac:dyDescent="0.35">
      <c r="H46">
        <v>161.41999999999999</v>
      </c>
      <c r="I46" s="131">
        <v>0.08</v>
      </c>
      <c r="J46" s="131"/>
      <c r="K46">
        <f>H46*I46</f>
        <v>12.913599999999999</v>
      </c>
      <c r="M46">
        <f>200*12</f>
        <v>2400</v>
      </c>
    </row>
    <row r="48" spans="2:16" x14ac:dyDescent="0.35">
      <c r="K48">
        <f>H46-K46</f>
        <v>148.50639999999999</v>
      </c>
    </row>
    <row r="53" spans="7:12" x14ac:dyDescent="0.35">
      <c r="G53">
        <v>161.41999999999999</v>
      </c>
      <c r="H53">
        <v>30.51</v>
      </c>
      <c r="I53" s="99">
        <v>5.0000000000000001E-3</v>
      </c>
      <c r="K53">
        <f>G53+H53</f>
        <v>191.92999999999998</v>
      </c>
      <c r="L53" s="99"/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/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B10" workbookViewId="0">
      <selection activeCell="G19" sqref="G19:G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8.7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11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8.7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13"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498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46324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46323</v>
      </c>
      <c r="O5" s="371"/>
      <c r="P5" s="371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504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72" t="s">
        <v>67</v>
      </c>
      <c r="L8" s="372"/>
      <c r="M8" s="372"/>
      <c r="N8" s="401" t="s">
        <v>504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492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514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46326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46325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479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480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e">
        <f>VLOOKUP($A23,'Cust. Price List'!$D$6:$O$14,2,0)</f>
        <v>#N/A</v>
      </c>
      <c r="C23" s="106" t="e">
        <f>VLOOKUP(B23,'Cust. Price List'!E13:P21,2,0)</f>
        <v>#N/A</v>
      </c>
      <c r="D23" s="92" t="e">
        <f>VLOOKUP(A23,'Cust. Price List'!D13:M21,4,0)</f>
        <v>#N/A</v>
      </c>
      <c r="E23" s="92" t="e">
        <f>VLOOKUP(A23,'Cust. Price List'!D13:M21,6,0)</f>
        <v>#N/A</v>
      </c>
      <c r="F23" s="263" t="e">
        <f>VLOOKUP(A23,'Cust. Price List'!D13:M21,10,0)</f>
        <v>#N/A</v>
      </c>
      <c r="G23" s="83"/>
      <c r="H23" s="96"/>
      <c r="I23" s="236" t="e">
        <f t="shared" si="4"/>
        <v>#N/A</v>
      </c>
      <c r="J23" s="128" t="e">
        <f t="shared" si="0"/>
        <v>#N/A</v>
      </c>
      <c r="K23" s="119" t="e">
        <f t="shared" si="1"/>
        <v>#N/A</v>
      </c>
      <c r="L23" s="230" t="e">
        <f t="shared" si="2"/>
        <v>#N/A</v>
      </c>
      <c r="M23" s="230" t="e">
        <f t="shared" si="5"/>
        <v>#N/A</v>
      </c>
      <c r="N23" s="239" t="e">
        <f t="shared" si="6"/>
        <v>#N/A</v>
      </c>
      <c r="O23" s="119" t="e">
        <f t="shared" si="3"/>
        <v>#N/A</v>
      </c>
    </row>
    <row r="24" spans="1:18 16383:16383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48</v>
      </c>
      <c r="E24" s="98">
        <f>VLOOKUP(A24,'Cust. Price List'!D14:M22,6,0)</f>
        <v>50</v>
      </c>
      <c r="F24" s="264">
        <f>VLOOKUP(A24,'Cust. Price List'!D14:M22,10,0)</f>
        <v>32.69166666666667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 t="e">
        <f t="shared" si="7"/>
        <v>#N/A</v>
      </c>
      <c r="J25" s="101" t="e">
        <f t="shared" si="7"/>
        <v>#N/A</v>
      </c>
      <c r="K25" s="102" t="e">
        <f t="shared" si="7"/>
        <v>#N/A</v>
      </c>
      <c r="L25" s="232" t="e">
        <f t="shared" si="7"/>
        <v>#N/A</v>
      </c>
      <c r="M25" s="233" t="e">
        <f>SUM(M16:M24)</f>
        <v>#N/A</v>
      </c>
      <c r="N25" s="101" t="e">
        <f>SUM(N16:N24)</f>
        <v>#N/A</v>
      </c>
      <c r="O25" s="234" t="e">
        <f>SUM(O16:O24)</f>
        <v>#N/A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 t="e">
        <f>I25</f>
        <v>#N/A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 t="e">
        <f>K25</f>
        <v>#N/A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 t="e">
        <f>J25</f>
        <v>#N/A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 t="e">
        <f>O28-O29-O30</f>
        <v>#N/A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 t="e">
        <f>N32*O31</f>
        <v>#N/A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 t="e">
        <f>O31+O32</f>
        <v>#N/A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 t="e">
        <f>N34*O33</f>
        <v>#N/A</v>
      </c>
    </row>
    <row r="35" spans="2:15" ht="15.75" customHeight="1" thickBot="1" x14ac:dyDescent="0.4">
      <c r="M35" s="346" t="s">
        <v>88</v>
      </c>
      <c r="N35" s="347"/>
      <c r="O35" s="141" t="e">
        <f>O28-O29+O31+O34</f>
        <v>#N/A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483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470</v>
      </c>
      <c r="N2" s="242" t="s">
        <v>481</v>
      </c>
      <c r="O2" s="242" t="s">
        <v>482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475</v>
      </c>
      <c r="D6" s="410"/>
      <c r="E6" s="410"/>
      <c r="F6" s="410"/>
      <c r="G6" s="410"/>
      <c r="T6" s="257" t="s">
        <v>486</v>
      </c>
      <c r="U6" s="257" t="s">
        <v>487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483</v>
      </c>
      <c r="N7" s="408"/>
      <c r="O7" s="409"/>
      <c r="P7" s="256" t="s">
        <v>474</v>
      </c>
      <c r="Q7" s="242" t="s">
        <v>472</v>
      </c>
      <c r="R7" s="405" t="s">
        <v>474</v>
      </c>
      <c r="S7" s="405" t="s">
        <v>484</v>
      </c>
      <c r="T7" s="403" t="s">
        <v>485</v>
      </c>
      <c r="U7" s="403" t="s">
        <v>485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470</v>
      </c>
      <c r="N8" s="242" t="s">
        <v>481</v>
      </c>
      <c r="O8" s="242" t="s">
        <v>482</v>
      </c>
      <c r="P8" s="242" t="s">
        <v>471</v>
      </c>
      <c r="Q8" s="242" t="s">
        <v>473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476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483</v>
      </c>
      <c r="N13" s="408"/>
      <c r="O13" s="409"/>
      <c r="P13" s="256" t="s">
        <v>474</v>
      </c>
      <c r="Q13" s="242" t="s">
        <v>472</v>
      </c>
      <c r="R13" s="405" t="s">
        <v>474</v>
      </c>
      <c r="S13" s="405" t="s">
        <v>484</v>
      </c>
      <c r="T13" s="403" t="s">
        <v>485</v>
      </c>
      <c r="U13" s="403" t="s">
        <v>485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470</v>
      </c>
      <c r="N14" s="242" t="s">
        <v>481</v>
      </c>
      <c r="O14" s="242" t="s">
        <v>482</v>
      </c>
      <c r="P14" s="242" t="s">
        <v>471</v>
      </c>
      <c r="Q14" s="242" t="s">
        <v>473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477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483</v>
      </c>
      <c r="N20" s="408"/>
      <c r="O20" s="409"/>
      <c r="P20" s="256" t="s">
        <v>474</v>
      </c>
      <c r="Q20" s="242" t="s">
        <v>472</v>
      </c>
      <c r="R20" s="405" t="s">
        <v>474</v>
      </c>
      <c r="S20" s="405" t="s">
        <v>484</v>
      </c>
      <c r="T20" s="403" t="s">
        <v>485</v>
      </c>
      <c r="U20" s="403" t="s">
        <v>485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470</v>
      </c>
      <c r="N21" s="242" t="s">
        <v>481</v>
      </c>
      <c r="O21" s="242" t="s">
        <v>482</v>
      </c>
      <c r="P21" s="242" t="s">
        <v>488</v>
      </c>
      <c r="Q21" s="242" t="s">
        <v>473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478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483</v>
      </c>
      <c r="N27" s="408"/>
      <c r="O27" s="409"/>
      <c r="P27" s="256" t="s">
        <v>474</v>
      </c>
      <c r="Q27" s="242" t="s">
        <v>472</v>
      </c>
      <c r="R27" s="405" t="s">
        <v>474</v>
      </c>
      <c r="S27" s="405" t="s">
        <v>484</v>
      </c>
      <c r="T27" s="403" t="s">
        <v>485</v>
      </c>
      <c r="U27" s="403" t="s">
        <v>485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470</v>
      </c>
      <c r="N28" s="242" t="s">
        <v>481</v>
      </c>
      <c r="O28" s="242" t="s">
        <v>482</v>
      </c>
      <c r="P28" s="242" t="s">
        <v>488</v>
      </c>
      <c r="Q28" s="242" t="s">
        <v>473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483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470</v>
      </c>
      <c r="M2" s="242" t="s">
        <v>481</v>
      </c>
      <c r="N2" s="242" t="s">
        <v>482</v>
      </c>
      <c r="P2" s="242" t="s">
        <v>489</v>
      </c>
      <c r="Q2" s="259" t="s">
        <v>490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2026-10-30T09:22:31Z</dcterms:modified>
</cp:coreProperties>
</file>