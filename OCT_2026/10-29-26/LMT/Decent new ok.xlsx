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652929A-686E-4447-9157-6E4F07556BAE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47" l="1"/>
  <c r="N5" i="69"/>
  <c r="N5" i="68"/>
  <c r="N5" i="67"/>
  <c r="N5" i="64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5" l="1"/>
  <c r="N5" i="44"/>
  <c r="N5" i="72"/>
  <c r="N5" i="71"/>
  <c r="N5" i="66"/>
  <c r="N5" i="43"/>
  <c r="N5" i="48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J7" i="62"/>
  <c r="J25" i="61"/>
  <c r="P29" i="61" s="1"/>
  <c r="M17" i="56"/>
  <c r="O17" i="56" s="1"/>
  <c r="P17" i="56" s="1"/>
  <c r="M21" i="44"/>
  <c r="O21" i="44" s="1"/>
  <c r="P21" i="44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7" i="60"/>
  <c r="O17" i="60" s="1"/>
  <c r="P17" i="60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<sst xmlns="http://schemas.openxmlformats.org/spreadsheetml/2006/main" count="3919" uniqueCount="518">
  <si>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</si>
  <si>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</si>
  <si>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</si>
  <si>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</si>
  <si>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</si>
  <si>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</si>
  <si>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</si>
  <si>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</si>
  <si>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</si>
  <si>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</si>
  <si>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</si>
  <si>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</si>
  <si>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</si>
  <si>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</si>
  <si>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</si>
  <si>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</si>
  <si>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</si>
  <si>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</si>
  <si>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</si>
  <si>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</si>
  <si>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</si>
  <si>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</si>
  <si>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</si>
  <si>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</si>
  <si>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</si>
  <si>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</si>
  <si>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</si>
  <si>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</si>
  <si>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</si>
  <si>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</si>
  <si>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</si>
  <si>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</si>
  <si>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</si>
  <si>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</si>
  <si>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</si>
  <si>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</si>
  <si>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</si>
  <si>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</si>
  <si>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</si>
  <si>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</si>
  <si>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</si>
  <si>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</si>
  <si>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</si>
  <si>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</si>
  <si>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</si>
  <si>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</si>
  <si>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</si>
  <si>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</si>
  <si>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</si>
  <si>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</si>
  <si>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</si>
  <si>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</si>
  <si>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</si>
  <si>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</si>
  <si>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</si>
  <si>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</si>
  <si>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</si>
  <si>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</si>
  <si>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</si>
  <si>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</si>
  <si>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</si>
  <si>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</si>
  <si>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</si>
  <si>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</si>
  <si>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</si>
  <si>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</si>
  <si>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</si>
  <si>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</si>
  <si>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</si>
  <si>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</si>
  <si>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</si>
  <si>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</si>
  <si>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</si>
  <si>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</si>
  <si>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</si>
  <si>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</si>
  <si>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</si>
  <si>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</si>
  <si>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</si>
  <si>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</si>
  <si>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</si>
  <si>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</si>
  <si>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</si>
  <si>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</si>
  <si>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</si>
  <si>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</si>
  <si>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</si>
  <si>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</si>
  <si>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</si>
  <si>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</si>
  <si>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</si>
  <si>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</si>
  <si>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</si>
  <si>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</si>
  <si>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</si>
  <si>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</si>
  <si>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</si>
  <si>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</si>
  <si>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</si>
  <si>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</si>
  <si>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</si>
  <si>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</si>
  <si>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</si>
  <si>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</si>
  <si>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</si>
  <si>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</si>
  <si>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</si>
  <si>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</si>
  <si>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</si>
  <si>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</si>
  <si>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</si>
  <si>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</si>
  <si>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</si>
  <si>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</si>
  <si>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</si>
  <si>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</si>
  <si>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</si>
  <si>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</si>
  <si>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</si>
  <si>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</si>
  <si>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</si>
  <si>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</si>
  <si>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</si>
  <si>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</si>
  <si>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</si>
  <si>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</si>
  <si>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</si>
  <si>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</si>
  <si>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</si>
  <si>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</si>
  <si>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</si>
  <si>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</si>
  <si>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</si>
  <si>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</si>
  <si>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</si>
  <si>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</si>
  <si>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</si>
  <si>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</si>
  <si>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</si>
  <si>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</si>
  <si>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</si>
  <si>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</si>
  <si>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</si>
  <si>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</si>
  <si>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</si>
  <si>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</si>
  <si>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</si>
  <si>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</si>
  <si>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</si>
  <si>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</si>
  <si>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</si>
  <si>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</si>
  <si>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</si>
  <si>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</si>
  <si>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</si>
  <si>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</si>
  <si>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</si>
  <si>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</si>
  <si>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</si>
  <si>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</si>
  <si>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</si>
  <si>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</si>
  <si>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</si>
  <si>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</si>
  <si>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</si>
  <si>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</si>
  <si>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</si>
  <si>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</si>
  <si>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</si>
  <si>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</si>
  <si>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</si>
  <si>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</si>
  <si>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</si>
  <si>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</si>
  <si>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</si>
  <si>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</si>
  <si>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</si>
  <si>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</si>
  <si>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</si>
  <si>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</si>
  <si>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</si>
  <si>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</si>
  <si>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</si>
  <si>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</si>
  <si>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</si>
  <si>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</si>
  <si>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</si>
  <si>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</si>
  <si>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</si>
  <si>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</si>
  <si>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</si>
  <si>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</si>
  <si>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</si>
  <si>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</si>
  <si>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</si>
  <si>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</si>
  <si>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</si>
  <si>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</si>
  <si>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</si>
  <si>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</si>
  <si>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</si>
  <si>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</si>
  <si>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</si>
  <si>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</si>
  <si>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</si>
  <si>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</si>
  <si>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</si>
  <si>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</si>
  <si>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</si>
  <si>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</si>
  <si>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</si>
  <si>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</si>
  <si>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</si>
  <si>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</si>
  <si>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</si>
  <si>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</si>
  <si>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</si>
  <si>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</si>
  <si>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</si>
  <si>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</si>
  <si>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</si>
  <si>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</si>
  <si>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</si>
  <si>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</si>
  <si>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</si>
  <si>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</si>
  <si>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</si>
  <si>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</si>
  <si>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</si>
  <si>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</si>
  <si>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</si>
  <si>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</si>
  <si>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</si>
  <si>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</si>
  <si>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</si>
  <si>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</si>
  <si>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</si>
  <si>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</si>
  <si>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</si>
  <si>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</si>
  <si>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</si>
  <si>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</si>
  <si>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</si>
  <si>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</si>
  <si>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</si>
  <si>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</si>
  <si>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</si>
  <si>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</si>
  <si>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</si>
  <si>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</si>
  <si>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</si>
  <si>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</si>
  <si>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</si>
  <si>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</si>
  <si>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</si>
  <si>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</si>
  <si>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</si>
  <si>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</si>
  <si>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</si>
  <si>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</si>
  <si>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</si>
  <si>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</si>
  <si>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</si>
  <si>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</si>
  <si>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</si>
  <si>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</si>
  <si>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</si>
  <si>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</si>
  <si>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</si>
  <si>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</si>
  <si>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</si>
  <si>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</si>
  <si>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</si>
  <si>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</si>
  <si>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</si>
  <si>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</si>
  <si>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</si>
  <si>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</si>
  <si>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</si>
  <si>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</si>
  <si>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</si>
  <si>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</si>
  <si>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</si>
  <si>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</si>
  <si>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</si>
  <si>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</si>
  <si>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</si>
  <si>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</si>
  <si>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</si>
  <si>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</si>
  <si>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</si>
  <si>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</si>
  <si>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</si>
  <si>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</si>
  <si>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</si>
  <si>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</si>
  <si>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</si>
  <si>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</si>
  <si>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</si>
  <si>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</si>
  <si>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</si>
  <si>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</si>
  <si>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</si>
  <si>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</si>
  <si>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</si>
  <si>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</si>
  <si>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</si>
  <si>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</si>
  <si>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</si>
  <si>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</si>
  <si>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</si>
  <si>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</si>
  <si>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</si>
  <si>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</si>
  <si>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</si>
  <si>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</si>
  <si>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</si>
  <si>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</si>
  <si>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</si>
  <si>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</si>
  <si>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</si>
  <si>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</si>
  <si>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</si>
  <si>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</si>
  <si>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</si>
  <si>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</si>
  <si>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</si>
  <si>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</si>
  <si>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</si>
  <si>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</si>
  <si>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</si>
  <si>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</si>
  <si>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</si>
  <si>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</si>
  <si>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</si>
  <si>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</si>
  <si>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</si>
  <si>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</si>
  <si>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</si>
  <si>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</si>
  <si>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</si>
  <si>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</si>
  <si>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</si>
  <si>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</si>
  <si>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</si>
  <si>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</si>
  <si>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</si>
  <si>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</si>
  <si>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</si>
  <si>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</si>
  <si>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</si>
  <si>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</si>
  <si>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</si>
  <si>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</si>
  <si>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</si>
  <si>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</si>
  <si>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</si>
  <si>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</si>
  <si>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</si>
  <si>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</si>
  <si>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</si>
  <si>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</si>
  <si>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</si>
  <si>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</si>
  <si>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</si>
  <si>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</si>
  <si>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</si>
  <si>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</si>
  <si>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</si>
  <si>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</si>
  <si>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</si>
  <si>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</si>
  <si>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</si>
  <si>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</si>
  <si>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</si>
  <si>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</si>
  <si>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</si>
  <si>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</si>
  <si>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</si>
  <si>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</si>
  <si>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</si>
  <si>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</si>
  <si>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</si>
  <si>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</si>
  <si>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</si>
  <si>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</si>
  <si>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</si>
  <si>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</si>
  <si>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</si>
  <si>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</si>
  <si>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</si>
  <si>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</si>
  <si>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</si>
  <si>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</si>
  <si>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</si>
  <si>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</si>
  <si>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</si>
  <si>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</si>
  <si>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</si>
  <si>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</si>
  <si>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</si>
  <si>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</si>
  <si>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</si>
  <si>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</si>
  <si>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</si>
  <si>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</si>
  <si>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</si>
  <si>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</si>
  <si>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</si>
  <si>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</si>
  <si>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</si>
  <si>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</si>
  <si>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</si>
  <si>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</si>
  <si>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</si>
  <si>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</si>
  <si>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</si>
  <si>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</si>
  <si>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</si>
  <si>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</si>
  <si>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</si>
  <si>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</si>
  <si>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</si>
  <si>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</si>
  <si>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</si>
  <si>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</si>
  <si>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</si>
  <si>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</si>
  <si>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</si>
  <si>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</si>
  <si>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</si>
  <si>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</si>
  <si>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</si>
  <si>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</si>
  <si>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</si>
  <si>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</si>
  <si>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</si>
  <si>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</si>
  <si>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</si>
  <si>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</si>
  <si>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</si>
  <si>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</si>
  <si>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</si>
  <si>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</si>
  <si>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</si>
  <si>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</si>
  <si>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</si>
  <si>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</si>
  <si>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</si>
  <si>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</si>
  <si>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</si>
  <si>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</si>
  <si>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</si>
  <si>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</si>
  <si>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</si>
  <si>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</si>
  <si>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</si>
  <si>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</si>
  <si>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</si>
  <si>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</si>
  <si>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</si>
  <si>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</si>
  <si>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</si>
  <si>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</si>
  <si>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</si>
  <si>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</si>
  <si>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</si>
  <si>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</si>
  <si>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</si>
  <si>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</si>
  <si>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</si>
  <si>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</si>
  <si>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</si>
  <si>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</si>
  <si>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</si>
  <si>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</si>
  <si>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</si>
  <si>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</si>
  <si>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</si>
  <si>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</si>
  <si>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</si>
  <si>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</si>
  <si>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</si>
  <si>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</si>
  <si>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</si>
  <si>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</si>
  <si>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</si>
  <si>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</si>
  <si>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</si>
  <si>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</si>
  <si>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</si>
  <si>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</si>
  <si>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</si>
  <si>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</si>
  <si>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</si>
  <si>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</si>
  <si>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</si>
  <si>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</si>
  <si>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</si>
  <si>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</si>
  <si>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</si>
  <si>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</si>
  <si>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</si>
  <si>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</si>
  <si>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</si>
  <si>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</si>
  <si>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</si>
  <si>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</si>
  <si>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</si>
  <si>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</si>
  <si>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</si>
  <si>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</si>
  <si>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Booker</t>
  </si>
  <si>
    <t>Decent</t>
  </si>
  <si>
    <t>Address: Johar Town</t>
  </si>
  <si>
    <t>NTN #: 0808678-8</t>
  </si>
  <si>
    <t>Shakoor</t>
  </si>
  <si>
    <t>Invoice No # :12245461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</si>
</sst>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46289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Decent</v>
      </c>
      <c r="T3" s="301">
        <f>+'1'!P35</f>
        <v>18729.665670508475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Decent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Decent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Decent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Decent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Decent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Decent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Decent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1046.0159999999998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7670.7839999999997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46.591208135593227</v>
      </c>
      <c r="P11" s="311">
        <f t="shared" si="2"/>
        <v>9364.8328352542376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Decent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7670.7839999999997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46.591208135593227</v>
      </c>
      <c r="P12" s="311">
        <f t="shared" si="2"/>
        <v>9364.8328352542376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Decent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Decent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Decent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Decent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6</v>
      </c>
      <c r="H16" s="113">
        <f t="shared" ref="H16:M16" si="3">SUM(H7:H15)</f>
        <v>240</v>
      </c>
      <c r="I16" s="114">
        <f t="shared" si="3"/>
        <v>17433.599999999999</v>
      </c>
      <c r="J16" s="274">
        <f>SUM(J7:J15)</f>
        <v>2092.0319999999997</v>
      </c>
      <c r="K16" s="275">
        <f t="shared" si="3"/>
        <v>0</v>
      </c>
      <c r="L16" s="276">
        <f t="shared" si="3"/>
        <v>0</v>
      </c>
      <c r="M16" s="232">
        <f t="shared" si="3"/>
        <v>15341.567999999999</v>
      </c>
      <c r="N16" s="233">
        <f>SUM(N7:N15)</f>
        <v>3294.9152542372885</v>
      </c>
      <c r="O16" s="101">
        <f>SUM(O7:O15)</f>
        <v>93.182416271186455</v>
      </c>
      <c r="P16" s="113">
        <f>SUM(P7:P15)</f>
        <v>18729.665670508475</v>
      </c>
      <c r="Q16" s="128">
        <f>SUM(Q7:Q15)</f>
        <v>0</v>
      </c>
      <c r="R16" s="313">
        <v>14</v>
      </c>
      <c r="S16" s="315" t="str">
        <f>+'14'!A6:A6</f>
        <v>Decent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Decent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Decent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17433.599999999999</v>
      </c>
      <c r="R19" s="299">
        <v>17</v>
      </c>
      <c r="S19" s="300" t="str">
        <f>+'17'!A6:A6</f>
        <v>Decent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2092.0319999999997</v>
      </c>
      <c r="R20" s="299">
        <v>18</v>
      </c>
      <c r="S20" s="300" t="str">
        <f>+'18'!A6:A6</f>
        <v>Decent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0</v>
      </c>
      <c r="R21" s="299">
        <v>19</v>
      </c>
      <c r="S21" s="300" t="str">
        <f>+'19'!A6:A6</f>
        <v>Decent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15341.567999999999</v>
      </c>
      <c r="R22" s="299">
        <v>20</v>
      </c>
      <c r="S22" s="300" t="str">
        <f>+'20'!A6:A6</f>
        <v>Decent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3294.9152542372885</v>
      </c>
      <c r="R23" s="299">
        <v>21</v>
      </c>
      <c r="S23" s="300" t="str">
        <f>+'21'!A6:A6</f>
        <v>Decent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18636.48325423729</v>
      </c>
      <c r="R24" s="299">
        <v>22</v>
      </c>
      <c r="S24" s="300" t="str">
        <f>+'22'!A6:A6</f>
        <v>Decent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93.182416271186455</v>
      </c>
      <c r="R25" s="299">
        <v>23</v>
      </c>
      <c r="S25" s="300" t="str">
        <f>+'23'!A6:A6</f>
        <v>Decent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18729.665670508475</v>
      </c>
      <c r="R26" s="299">
        <v>24</v>
      </c>
      <c r="S26" s="300" t="str">
        <f>+'24'!A6:A6</f>
        <v>Decent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Decent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Decent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Decent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Decent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Decent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Decent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18729.665670508475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517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1046.0159999999998</v>
      </c>
      <c r="K20" s="128">
        <f t="shared" si="1"/>
        <v>0</v>
      </c>
      <c r="L20" s="119">
        <f t="shared" si="1"/>
        <v>0</v>
      </c>
      <c r="M20" s="230">
        <f t="shared" si="2"/>
        <v>7670.7839999999997</v>
      </c>
      <c r="N20" s="277">
        <f t="shared" si="3"/>
        <v>1647.4576271186443</v>
      </c>
      <c r="O20" s="239">
        <f t="shared" si="4"/>
        <v>46.591208135593227</v>
      </c>
      <c r="P20" s="119">
        <f t="shared" si="5"/>
        <v>9364.8328352542376</v>
      </c>
      <c r="Q20" s="319"/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1046.0159999999998</v>
      </c>
      <c r="K21" s="128">
        <f t="shared" si="1"/>
        <v>0</v>
      </c>
      <c r="L21" s="119">
        <f t="shared" si="1"/>
        <v>0</v>
      </c>
      <c r="M21" s="230">
        <f t="shared" si="2"/>
        <v>7670.7839999999997</v>
      </c>
      <c r="N21" s="277">
        <f t="shared" si="3"/>
        <v>1647.4576271186443</v>
      </c>
      <c r="O21" s="239">
        <f t="shared" si="4"/>
        <v>46.591208135593227</v>
      </c>
      <c r="P21" s="119">
        <f t="shared" si="5"/>
        <v>9364.8328352542376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17433.599999999999</v>
      </c>
      <c r="J25" s="274">
        <f>SUM(J16:J24)</f>
        <v>2092.0319999999997</v>
      </c>
      <c r="K25" s="275">
        <f t="shared" si="10"/>
        <v>0</v>
      </c>
      <c r="L25" s="276">
        <f t="shared" si="10"/>
        <v>0</v>
      </c>
      <c r="M25" s="232">
        <f t="shared" si="10"/>
        <v>15341.567999999999</v>
      </c>
      <c r="N25" s="233">
        <f>SUM(N16:N24)</f>
        <v>3294.9152542372885</v>
      </c>
      <c r="O25" s="101">
        <f>SUM(O16:O24)</f>
        <v>93.182416271186455</v>
      </c>
      <c r="P25" s="234">
        <f>SUM(P16:P24)</f>
        <v>18729.665670508475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17433.599999999999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2092.0319999999997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15341.567999999999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3294.9152542372885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18636.48325423729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93.182416271186455</v>
      </c>
    </row>
    <row r="35" spans="2:16" ht="15.75" customHeight="1" thickBot="1" x14ac:dyDescent="0.4">
      <c r="N35" s="375" t="s">
        <v>88</v>
      </c>
      <c r="O35" s="376"/>
      <c r="P35" s="297">
        <f>+P33+P34</f>
        <v>18729.665670508475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46326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46325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2026-10-30T05:21:20Z</dcterms:modified>
</cp:coreProperties>
</file>