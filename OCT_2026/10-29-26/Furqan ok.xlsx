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7FFE2F74-6C04-4DB0-B9F9-B1C2CBFA3E54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0" l="1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L20" i="48"/>
  <c r="J20" i="48"/>
  <c r="K20" i="53"/>
  <c r="L20" i="53"/>
  <c r="M20" i="53" s="1"/>
  <c r="O20" i="53" s="1"/>
  <c r="P20" i="53" s="1"/>
  <c r="J20" i="53"/>
  <c r="K20" i="43"/>
  <c r="L20" i="43"/>
  <c r="M20" i="43"/>
  <c r="O20" i="43" s="1"/>
  <c r="P20" i="43" s="1"/>
  <c r="J20" i="43"/>
  <c r="K20" i="57"/>
  <c r="J20" i="57"/>
  <c r="L20" i="57"/>
  <c r="M20" i="57" s="1"/>
  <c r="O20" i="57" s="1"/>
  <c r="P20" i="57" s="1"/>
  <c r="K20" i="61"/>
  <c r="J20" i="61"/>
  <c r="L20" i="61"/>
  <c r="M20" i="61"/>
  <c r="O20" i="61" s="1"/>
  <c r="P20" i="61" s="1"/>
  <c r="K20" i="71"/>
  <c r="J20" i="71"/>
  <c r="M20" i="71" s="1"/>
  <c r="O20" i="71" s="1"/>
  <c r="P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6" i="48" l="1"/>
  <c r="M20" i="47"/>
  <c r="O20" i="47" s="1"/>
  <c r="P20" i="47" s="1"/>
  <c r="K12" i="62"/>
  <c r="M21" i="44"/>
  <c r="O21" i="44" s="1"/>
  <c r="P21" i="44" s="1"/>
  <c r="M20" i="46"/>
  <c r="O20" i="46" s="1"/>
  <c r="P20" i="46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M20" i="65"/>
  <c r="O20" i="65" s="1"/>
  <c r="P20" i="65" s="1"/>
  <c r="M20" i="64"/>
  <c r="O20" i="64" s="1"/>
  <c r="P20" i="64" s="1"/>
  <c r="M20" i="52"/>
  <c r="M20" i="66"/>
  <c r="O20" i="66" s="1"/>
  <c r="P20" i="66" s="1"/>
  <c r="M20" i="59"/>
  <c r="O20" i="59" s="1"/>
  <c r="P20" i="59" s="1"/>
  <c r="M20" i="54"/>
  <c r="O20" i="54" s="1"/>
  <c r="P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O21" i="50" s="1"/>
  <c r="P21" i="50" s="1"/>
  <c r="M20" i="44"/>
  <c r="O20" i="44" s="1"/>
  <c r="P20" i="44" s="1"/>
  <c r="M20" i="58"/>
  <c r="O20" i="58" s="1"/>
  <c r="P20" i="58" s="1"/>
  <c r="J25" i="47"/>
  <c r="P29" i="47" s="1"/>
  <c r="M20" i="55"/>
  <c r="O20" i="55" s="1"/>
  <c r="P20" i="55" s="1"/>
  <c r="M20" i="56"/>
  <c r="O20" i="56" s="1"/>
  <c r="P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25" i="52" l="1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<sst xmlns="http://schemas.openxmlformats.org/spreadsheetml/2006/main" count="3948" uniqueCount="533">
  <si>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</si>
  <si>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</si>
  <si>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</si>
  <si>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</si>
  <si>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</si>
  <si>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</si>
  <si>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</si>
  <si>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</si>
  <si>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</si>
  <si>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</si>
  <si>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</si>
  <si>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</si>
  <si>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</si>
  <si>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</si>
  <si>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</si>
  <si>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</si>
  <si>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</si>
  <si>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</si>
  <si>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</si>
  <si>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</si>
  <si>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</si>
  <si>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</si>
  <si>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</si>
  <si>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</si>
  <si>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</si>
  <si>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</si>
  <si>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</si>
  <si>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</si>
  <si>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</si>
  <si>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</si>
  <si>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</si>
  <si>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</si>
  <si>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</si>
  <si>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</si>
  <si>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</si>
  <si>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</si>
  <si>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</si>
  <si>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</si>
  <si>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</si>
  <si>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</si>
  <si>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</si>
  <si>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</si>
  <si>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</si>
  <si>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</si>
  <si>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</si>
  <si>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</si>
  <si>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</si>
  <si>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</si>
  <si>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</si>
  <si>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</si>
  <si>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</si>
  <si>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</si>
  <si>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</si>
  <si>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</si>
  <si>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</si>
  <si>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</si>
  <si>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</si>
  <si>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</si>
  <si>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</si>
  <si>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</si>
  <si>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</si>
  <si>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</si>
  <si>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</si>
  <si>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</si>
  <si>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</si>
  <si>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</si>
  <si>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</si>
  <si>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</si>
  <si>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</si>
  <si>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</si>
  <si>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</si>
  <si>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</si>
  <si>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</si>
  <si>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</si>
  <si>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</si>
  <si>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</si>
  <si>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</si>
  <si>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</si>
  <si>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</si>
  <si>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</si>
  <si>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</si>
  <si>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</si>
  <si>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</si>
  <si>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</si>
  <si>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</si>
  <si>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</si>
  <si>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</si>
  <si>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</si>
  <si>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</si>
  <si>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</si>
  <si>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</si>
  <si>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</si>
  <si>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</si>
  <si>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</si>
  <si>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</si>
  <si>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</si>
  <si>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</si>
  <si>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</si>
  <si>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</si>
  <si>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</si>
  <si>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</si>
  <si>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</si>
  <si>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</si>
  <si>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</si>
  <si>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</si>
  <si>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</si>
  <si>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</si>
  <si>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</si>
  <si>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</si>
  <si>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</si>
  <si>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</si>
  <si>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</si>
  <si>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</si>
  <si>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</si>
  <si>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</si>
  <si>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</si>
  <si>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</si>
  <si>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</si>
  <si>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</si>
  <si>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</si>
  <si>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</si>
  <si>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</si>
  <si>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</si>
  <si>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</si>
  <si>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</si>
  <si>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</si>
  <si>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</si>
  <si>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</si>
  <si>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</si>
  <si>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</si>
  <si>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</si>
  <si>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</si>
  <si>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</si>
  <si>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</si>
  <si>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</si>
  <si>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</si>
  <si>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</si>
  <si>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</si>
  <si>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</si>
  <si>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</si>
  <si>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</si>
  <si>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</si>
  <si>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</si>
  <si>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</si>
  <si>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</si>
  <si>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</si>
  <si>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</si>
  <si>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</si>
  <si>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</si>
  <si>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</si>
  <si>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</si>
  <si>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</si>
  <si>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</si>
  <si>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</si>
  <si>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</si>
  <si>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</si>
  <si>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</si>
  <si>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</si>
  <si>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</si>
  <si>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</si>
  <si>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</si>
  <si>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</si>
  <si>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</si>
  <si>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</si>
  <si>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</si>
  <si>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</si>
  <si>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</si>
  <si>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</si>
  <si>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</si>
  <si>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</si>
  <si>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</si>
  <si>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</si>
  <si>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</si>
  <si>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</si>
  <si>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</si>
  <si>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</si>
  <si>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</si>
  <si>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</si>
  <si>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</si>
  <si>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</si>
  <si>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</si>
  <si>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</si>
  <si>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</si>
  <si>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</si>
  <si>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</si>
  <si>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</si>
  <si>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</si>
  <si>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</si>
  <si>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</si>
  <si>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</si>
  <si>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</si>
  <si>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</si>
  <si>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</si>
  <si>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</si>
  <si>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</si>
  <si>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</si>
  <si>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</si>
  <si>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</si>
  <si>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</si>
  <si>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</si>
  <si>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</si>
  <si>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</si>
  <si>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</si>
  <si>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</si>
  <si>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</si>
  <si>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</si>
  <si>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</si>
  <si>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</si>
  <si>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</si>
  <si>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</si>
  <si>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</si>
  <si>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</si>
  <si>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</si>
  <si>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</si>
  <si>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</si>
  <si>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</si>
  <si>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</si>
  <si>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</si>
  <si>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</si>
  <si>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</si>
  <si>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</si>
  <si>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</si>
  <si>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</si>
  <si>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</si>
  <si>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</si>
  <si>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</si>
  <si>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</si>
  <si>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</si>
  <si>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</si>
  <si>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</si>
  <si>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</si>
  <si>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</si>
  <si>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</si>
  <si>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</si>
  <si>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</si>
  <si>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</si>
  <si>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</si>
  <si>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</si>
  <si>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</si>
  <si>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</si>
  <si>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</si>
  <si>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</si>
  <si>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</si>
  <si>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</si>
  <si>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</si>
  <si>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</si>
  <si>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</si>
  <si>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</si>
  <si>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</si>
  <si>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</si>
  <si>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</si>
  <si>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</si>
  <si>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</si>
  <si>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</si>
  <si>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</si>
  <si>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</si>
  <si>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</si>
  <si>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</si>
  <si>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</si>
  <si>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</si>
  <si>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</si>
  <si>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</si>
  <si>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</si>
  <si>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</si>
  <si>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</si>
  <si>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</si>
  <si>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</si>
  <si>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</si>
  <si>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</si>
  <si>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</si>
  <si>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</si>
  <si>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</si>
  <si>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</si>
  <si>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</si>
  <si>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</si>
  <si>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</si>
  <si>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</si>
  <si>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</si>
  <si>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</si>
  <si>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</si>
  <si>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</si>
  <si>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</si>
  <si>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</si>
  <si>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</si>
  <si>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</si>
  <si>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</si>
  <si>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</si>
  <si>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</si>
  <si>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</si>
  <si>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</si>
  <si>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</si>
  <si>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</si>
  <si>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</si>
  <si>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</si>
  <si>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</si>
  <si>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</si>
  <si>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</si>
  <si>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</si>
  <si>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</si>
  <si>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</si>
  <si>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</si>
  <si>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</si>
  <si>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</si>
  <si>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</si>
  <si>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</si>
  <si>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</si>
  <si>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</si>
  <si>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</si>
  <si>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</si>
  <si>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</si>
  <si>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</si>
  <si>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</si>
  <si>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</si>
  <si>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</si>
  <si>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</si>
  <si>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</si>
  <si>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</si>
  <si>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</si>
  <si>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</si>
  <si>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</si>
  <si>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</si>
  <si>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</si>
  <si>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</si>
  <si>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</si>
  <si>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</si>
  <si>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</si>
  <si>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</si>
  <si>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</si>
  <si>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</si>
  <si>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</si>
  <si>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</si>
  <si>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</si>
  <si>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</si>
  <si>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</si>
  <si>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</si>
  <si>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</si>
  <si>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</si>
  <si>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</si>
  <si>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</si>
  <si>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</si>
  <si>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</si>
  <si>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</si>
  <si>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</si>
  <si>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</si>
  <si>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</si>
  <si>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</si>
  <si>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</si>
  <si>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</si>
  <si>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</si>
  <si>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</si>
  <si>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</si>
  <si>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</si>
  <si>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</si>
  <si>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</si>
  <si>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</si>
  <si>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</si>
  <si>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</si>
  <si>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</si>
  <si>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</si>
  <si>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</si>
  <si>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</si>
  <si>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</si>
  <si>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</si>
  <si>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</si>
  <si>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</si>
  <si>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</si>
  <si>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</si>
  <si>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</si>
  <si>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</si>
  <si>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</si>
  <si>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</si>
  <si>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</si>
  <si>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</si>
  <si>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</si>
  <si>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</si>
  <si>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</si>
  <si>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</si>
  <si>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</si>
  <si>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</si>
  <si>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</si>
  <si>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</si>
  <si>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</si>
  <si>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</si>
  <si>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</si>
  <si>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</si>
  <si>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</si>
  <si>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</si>
  <si>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</si>
  <si>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</si>
  <si>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</si>
  <si>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</si>
  <si>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</si>
  <si>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</si>
  <si>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</si>
  <si>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</si>
  <si>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</si>
  <si>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</si>
  <si>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</si>
  <si>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</si>
  <si>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</si>
  <si>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</si>
  <si>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</si>
  <si>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</si>
  <si>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</si>
  <si>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</si>
  <si>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</si>
  <si>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</si>
  <si>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</si>
  <si>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</si>
  <si>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</si>
  <si>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</si>
  <si>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</si>
  <si>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</si>
  <si>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</si>
  <si>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</si>
  <si>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</si>
  <si>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</si>
  <si>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</si>
  <si>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</si>
  <si>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</si>
  <si>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</si>
  <si>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</si>
  <si>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</si>
  <si>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</si>
  <si>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</si>
  <si>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</si>
  <si>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</si>
  <si>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</si>
  <si>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</si>
  <si>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</si>
  <si>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</si>
  <si>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</si>
  <si>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</si>
  <si>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</si>
  <si>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</si>
  <si>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</si>
  <si>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</si>
  <si>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</si>
  <si>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</si>
  <si>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</si>
  <si>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</si>
  <si>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</si>
  <si>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</si>
  <si>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</si>
  <si>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</si>
  <si>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</si>
  <si>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</si>
  <si>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</si>
  <si>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</si>
  <si>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</si>
  <si>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</si>
  <si>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</si>
  <si>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</si>
  <si>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</si>
  <si>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</si>
  <si>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</si>
  <si>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</si>
  <si>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</si>
  <si>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</si>
  <si>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</si>
  <si>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</si>
  <si>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</si>
  <si>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</si>
  <si>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</si>
  <si>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</si>
  <si>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</si>
  <si>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</si>
  <si>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</si>
  <si>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</si>
  <si>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</si>
  <si>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</si>
  <si>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</si>
  <si>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</si>
  <si>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</si>
  <si>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</si>
  <si>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</si>
  <si>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</si>
  <si>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</si>
  <si>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</si>
  <si>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</si>
  <si>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</si>
  <si>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</si>
  <si>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</si>
  <si>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</si>
  <si>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</si>
  <si>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</si>
  <si>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</si>
  <si>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</si>
  <si>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</si>
  <si>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</si>
  <si>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</si>
  <si>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</si>
  <si>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</si>
  <si>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</si>
  <si>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</si>
  <si>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</si>
  <si>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</si>
  <si>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</si>
  <si>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</si>
  <si>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</si>
  <si>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</si>
  <si>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</si>
  <si>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</si>
  <si>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</si>
  <si>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</si>
  <si>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</si>
  <si>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</si>
  <si>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</si>
  <si>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</si>
  <si>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</si>
  <si>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</si>
  <si>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</si>
  <si>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</si>
  <si>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</si>
  <si>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Furqan</t>
  </si>
  <si>
    <t>Khan Gs</t>
  </si>
  <si>
    <t>Address: Guru Mangat g no 13</t>
  </si>
  <si>
    <t>Ayub Khan Store</t>
  </si>
  <si>
    <t>Address: Guru Mangat g:13</t>
  </si>
  <si>
    <t>SixEleven Store</t>
  </si>
  <si>
    <t>Address: Gurumangat G:13</t>
  </si>
  <si>
    <t>Imran Gs</t>
  </si>
  <si>
    <t>Address: Akram Park Stree:4</t>
  </si>
  <si>
    <t xml:space="preserve">Sultani Pharmacy </t>
  </si>
  <si>
    <t>Address: Academy Road</t>
  </si>
  <si>
    <t>Tofail Gs</t>
  </si>
  <si>
    <t>Address: Academy Road Stree:6</t>
  </si>
  <si>
    <t xml:space="preserve">Bilawal Bakery </t>
  </si>
  <si>
    <t>Address: Academy Road Husaina Abad</t>
  </si>
  <si>
    <t>Chishti GS</t>
  </si>
  <si>
    <t>Address: Husina Abad Near Phatak</t>
  </si>
  <si>
    <t>SM store</t>
  </si>
  <si>
    <t>Address: Gurumangat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</si>
</sst>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3" workbookViewId="0">
      <selection activeCell="H7" sqref="H7:H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514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46324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>Khan Gs</v>
      </c>
      <c r="T3" s="301">
        <f>+'1'!P35</f>
        <v>339.75773742584738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Ayub Khan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SixEleven Store</v>
      </c>
      <c r="T5" s="301">
        <f>+'3'!P35</f>
        <v>3136.2115850847458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Imran Gs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47</v>
      </c>
      <c r="I7" s="235">
        <f>(G7*D7)*F7+H7*F7</f>
        <v>2465.7374999999997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197.25899999999999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86.300812499999992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2182.1776874999996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466.01694915254222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13.24097318326271</v>
      </c>
      <c r="P7" s="310">
        <f>M7+N7+O7</f>
        <v>2661.4356098358044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12</v>
      </c>
      <c r="R7" s="313">
        <v>5</v>
      </c>
      <c r="S7" s="300" t="str">
        <f>+'5'!A6:A6</f>
        <v xml:space="preserve">Sultani Pharmacy </v>
      </c>
      <c r="T7" s="301">
        <f>+'5'!P35</f>
        <v>2613.5155837372877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30</v>
      </c>
      <c r="I8" s="236">
        <f t="shared" ref="I8:I14" si="0">(G8*D8)*F8+H8*F8</f>
        <v>1573.875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125.91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55.085625000000007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1392.879375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297.45762711864393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8.45168501059322</v>
      </c>
      <c r="P8" s="311">
        <f t="shared" ref="P8:P15" si="2">M8+N8+O8</f>
        <v>1698.7886871292369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12</v>
      </c>
      <c r="R8" s="313">
        <v>6</v>
      </c>
      <c r="S8" s="300" t="str">
        <f>+'6'!A6:A6</f>
        <v>Tofail Gs</v>
      </c>
      <c r="T8" s="301">
        <f>+'6'!P35</f>
        <v>1568.1057925423729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 xml:space="preserve">Bilawal Bakery </v>
      </c>
      <c r="T9" s="301">
        <f>+'7'!P35</f>
        <v>679.51547485169476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311">
        <f t="shared" si="2"/>
        <v>0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Chishti GS</v>
      </c>
      <c r="T10" s="301">
        <f>+'8'!P35</f>
        <v>1241.420791700212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38</v>
      </c>
      <c r="I11" s="236">
        <f t="shared" si="0"/>
        <v>2760.32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220.82560000000001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96.611200000000011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2442.8832000000002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521.69491525423734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14.822890576271188</v>
      </c>
      <c r="P11" s="311">
        <f t="shared" si="2"/>
        <v>2979.4010058305089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SM store</v>
      </c>
      <c r="T11" s="301">
        <f>+'9'!P35</f>
        <v>2700.6315839618646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63</v>
      </c>
      <c r="I12" s="236">
        <f t="shared" si="0"/>
        <v>4576.32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366.10560000000004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160.17120000000003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4050.0431999999996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864.91525423728831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24.574792271186446</v>
      </c>
      <c r="P12" s="311">
        <f t="shared" si="2"/>
        <v>4939.5332465084739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6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4.45</v>
      </c>
      <c r="H16" s="113">
        <f t="shared" ref="H16:M16" si="3">SUM(H7:H15)</f>
        <v>178</v>
      </c>
      <c r="I16" s="114">
        <f t="shared" si="3"/>
        <v>11376.252499999999</v>
      </c>
      <c r="J16" s="274">
        <f>SUM(J7:J15)</f>
        <v>910.10020000000009</v>
      </c>
      <c r="K16" s="275">
        <f t="shared" si="3"/>
        <v>398.1688375</v>
      </c>
      <c r="L16" s="276">
        <f t="shared" si="3"/>
        <v>0</v>
      </c>
      <c r="M16" s="232">
        <f t="shared" si="3"/>
        <v>10067.9834625</v>
      </c>
      <c r="N16" s="233">
        <f>SUM(N7:N15)</f>
        <v>2150.0847457627115</v>
      </c>
      <c r="O16" s="101">
        <f>SUM(O7:O15)</f>
        <v>61.090341041313565</v>
      </c>
      <c r="P16" s="113">
        <f>SUM(P7:P15)</f>
        <v>12279.158549304024</v>
      </c>
      <c r="Q16" s="128">
        <f>SUM(Q7:Q15)</f>
        <v>30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11376.252499999999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910.10020000000009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398.1688375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10067.983462499998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2150.0847457627115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12218.06820826271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61.090341041313565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12279.158549304024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12279.158549304026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activeCell="H18" sqref="H1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46324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46323</v>
      </c>
      <c r="O5" s="394"/>
      <c r="P5" s="394"/>
      <c r="R5" s="85"/>
      <c r="S5" s="266"/>
    </row>
    <row r="6" spans="1:22 16383:16384" ht="17.25" customHeight="1" x14ac:dyDescent="0.4">
      <c r="A6" s="400" t="s">
        <v>515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3</v>
      </c>
      <c r="I16" s="235">
        <f>(G16*D16)*F16+H16*F16</f>
        <v>157.38749999999999</v>
      </c>
      <c r="J16" s="271">
        <f>$I16*S16</f>
        <v>12.590999999999999</v>
      </c>
      <c r="K16" s="127">
        <f>$I16*T16</f>
        <v>5.5085625</v>
      </c>
      <c r="L16" s="118">
        <f>$I16*U16</f>
        <v>0</v>
      </c>
      <c r="M16" s="229">
        <f>I16-SUM(J16:L16)</f>
        <v>139.2879375</v>
      </c>
      <c r="N16" s="248">
        <f>+(G16*D16+H16)*V16</f>
        <v>29.745762711864394</v>
      </c>
      <c r="O16" s="238">
        <f>(N16+M16)*$O$15</f>
        <v>0.84516850105932195</v>
      </c>
      <c r="P16" s="118">
        <f>M16+N16+O16</f>
        <v>169.87886871292372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3</v>
      </c>
      <c r="I17" s="236">
        <f t="shared" ref="I17:I23" si="0">(G17*D17)*F17+H17*F17</f>
        <v>157.38749999999999</v>
      </c>
      <c r="J17" s="272">
        <f t="shared" ref="J17:L24" si="1">$I17*S17</f>
        <v>12.590999999999999</v>
      </c>
      <c r="K17" s="128">
        <f>$I17*T17</f>
        <v>5.5085625</v>
      </c>
      <c r="L17" s="119">
        <f>$I17*U17</f>
        <v>0</v>
      </c>
      <c r="M17" s="230">
        <f t="shared" ref="M17:M24" si="2">I17-SUM(J17:L17)</f>
        <v>139.2879375</v>
      </c>
      <c r="N17" s="277">
        <f t="shared" ref="N17:N24" si="3">+(G17*D17+H17)*V17</f>
        <v>29.745762711864394</v>
      </c>
      <c r="O17" s="239">
        <f t="shared" ref="O17:O24" si="4">(N17+M17)*$O$15</f>
        <v>0.84516850105932195</v>
      </c>
      <c r="P17" s="119">
        <f t="shared" ref="P17:P24" si="5">M17+N17+O17</f>
        <v>169.87886871292372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6</v>
      </c>
      <c r="I25" s="114">
        <f t="shared" ref="I25:M25" si="10">SUM(I16:I24)</f>
        <v>314.77499999999998</v>
      </c>
      <c r="J25" s="274">
        <f>SUM(J16:J24)</f>
        <v>25.181999999999999</v>
      </c>
      <c r="K25" s="275">
        <f t="shared" si="10"/>
        <v>11.017125</v>
      </c>
      <c r="L25" s="276">
        <f t="shared" si="10"/>
        <v>0</v>
      </c>
      <c r="M25" s="232">
        <f t="shared" si="10"/>
        <v>278.575875</v>
      </c>
      <c r="N25" s="233">
        <f>SUM(N16:N24)</f>
        <v>59.491525423728788</v>
      </c>
      <c r="O25" s="101">
        <f>SUM(O16:O24)</f>
        <v>1.6903370021186439</v>
      </c>
      <c r="P25" s="234">
        <f>SUM(P16:P24)</f>
        <v>339.75773742584744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314.77499999999998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25.181999999999999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11.017125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278.57587499999994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59.491525423728788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338.06740042372871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1.6903370021186437</v>
      </c>
    </row>
    <row r="35" spans="2:16" ht="15.75" customHeight="1" thickBot="1" x14ac:dyDescent="0.4">
      <c r="N35" s="374" t="s">
        <v>88</v>
      </c>
      <c r="O35" s="375"/>
      <c r="P35" s="297">
        <f>+P33+P34</f>
        <v>339.75773742584738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7" workbookViewId="0">
      <selection activeCell="H17" sqref="H16:H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46323</v>
      </c>
      <c r="O5" s="394"/>
      <c r="P5" s="394"/>
      <c r="R5" s="85"/>
      <c r="S5" s="266"/>
    </row>
    <row r="6" spans="1:22 16383:16384" ht="1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518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>
        <v>6</v>
      </c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>
        <v>6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12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5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46323</v>
      </c>
      <c r="O5" s="394"/>
      <c r="P5" s="394"/>
      <c r="R5" s="85"/>
      <c r="S5" s="266"/>
    </row>
    <row r="6" spans="1:22 16383:16384" ht="18.7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520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119">
        <f t="shared" si="5"/>
        <v>1568.1057925423729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119">
        <f t="shared" si="5"/>
        <v>1568.1057925423729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232.44800000000001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101.69600000000001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2571.4560000000001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3120.6085423728814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4" t="s">
        <v>88</v>
      </c>
      <c r="O35" s="375"/>
      <c r="P35" s="297">
        <f>+P33+P34</f>
        <v>3136.2115850847458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8" workbookViewId="0">
      <selection activeCell="H16" sqref="H16:H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46323</v>
      </c>
      <c r="O5" s="394"/>
      <c r="P5" s="394"/>
      <c r="R5" s="85"/>
      <c r="S5" s="266"/>
    </row>
    <row r="6" spans="1:22 16383:16384" ht="15" customHeight="1" x14ac:dyDescent="0.4">
      <c r="A6" s="400" t="s">
        <v>521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522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>
        <v>6</v>
      </c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>
        <v>6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>
        <v>6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18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5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46323</v>
      </c>
      <c r="O5" s="394"/>
      <c r="P5" s="394"/>
      <c r="R5" s="85"/>
      <c r="S5" s="266"/>
    </row>
    <row r="6" spans="1:22 16383:16384" ht="15" customHeight="1" x14ac:dyDescent="0.4">
      <c r="A6" s="400" t="s">
        <v>523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</v>
      </c>
      <c r="I16" s="235">
        <f>(G16*D16)*F16+H16*F16</f>
        <v>629.54999999999995</v>
      </c>
      <c r="J16" s="271">
        <f>$I16*S16</f>
        <v>50.363999999999997</v>
      </c>
      <c r="K16" s="127">
        <f>$I16*T16</f>
        <v>22.03425</v>
      </c>
      <c r="L16" s="118">
        <f>$I16*U16</f>
        <v>0</v>
      </c>
      <c r="M16" s="229">
        <f>I16-SUM(J16:L16)</f>
        <v>557.15174999999999</v>
      </c>
      <c r="N16" s="248">
        <f>+(G16*D16+H16)*V16</f>
        <v>118.98305084745758</v>
      </c>
      <c r="O16" s="238">
        <f>(N16+M16)*$O$15</f>
        <v>3.3806740042372878</v>
      </c>
      <c r="P16" s="118">
        <f>M16+N16+O16</f>
        <v>679.51547485169488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12</v>
      </c>
      <c r="I17" s="236">
        <f t="shared" ref="I17:I23" si="0">(G17*D17)*F17+H17*F17</f>
        <v>629.54999999999995</v>
      </c>
      <c r="J17" s="272">
        <f t="shared" ref="J17:L24" si="1">$I17*S17</f>
        <v>50.363999999999997</v>
      </c>
      <c r="K17" s="128">
        <f>$I17*T17</f>
        <v>22.03425</v>
      </c>
      <c r="L17" s="119">
        <f>$I17*U17</f>
        <v>0</v>
      </c>
      <c r="M17" s="230">
        <f t="shared" ref="M17:M24" si="2">I17-SUM(J17:L17)</f>
        <v>557.15174999999999</v>
      </c>
      <c r="N17" s="277">
        <f t="shared" ref="N17:N24" si="3">+(G17*D17+H17)*V17</f>
        <v>118.98305084745758</v>
      </c>
      <c r="O17" s="239">
        <f t="shared" ref="O17:O24" si="4">(N17+M17)*$O$15</f>
        <v>3.3806740042372878</v>
      </c>
      <c r="P17" s="119">
        <f t="shared" ref="P17:P24" si="5">M17+N17+O17</f>
        <v>679.51547485169488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8</v>
      </c>
      <c r="I20" s="236">
        <f t="shared" si="0"/>
        <v>581.12</v>
      </c>
      <c r="J20" s="272">
        <f t="shared" si="1"/>
        <v>46.489600000000003</v>
      </c>
      <c r="K20" s="128">
        <f t="shared" si="1"/>
        <v>20.339200000000002</v>
      </c>
      <c r="L20" s="119">
        <f t="shared" si="1"/>
        <v>0</v>
      </c>
      <c r="M20" s="230">
        <f t="shared" si="2"/>
        <v>514.2912</v>
      </c>
      <c r="N20" s="277">
        <f t="shared" si="3"/>
        <v>109.83050847457628</v>
      </c>
      <c r="O20" s="239">
        <f t="shared" si="4"/>
        <v>3.1206085423728815</v>
      </c>
      <c r="P20" s="119">
        <f t="shared" si="5"/>
        <v>627.24231701694919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</v>
      </c>
      <c r="I21" s="236">
        <f t="shared" si="0"/>
        <v>581.12</v>
      </c>
      <c r="J21" s="272">
        <f t="shared" si="1"/>
        <v>46.489600000000003</v>
      </c>
      <c r="K21" s="128">
        <f t="shared" si="1"/>
        <v>20.339200000000002</v>
      </c>
      <c r="L21" s="119">
        <f t="shared" si="1"/>
        <v>0</v>
      </c>
      <c r="M21" s="230">
        <f t="shared" si="2"/>
        <v>514.2912</v>
      </c>
      <c r="N21" s="277">
        <f t="shared" si="3"/>
        <v>109.83050847457628</v>
      </c>
      <c r="O21" s="239">
        <f t="shared" si="4"/>
        <v>3.1206085423728815</v>
      </c>
      <c r="P21" s="119">
        <f t="shared" si="5"/>
        <v>627.24231701694919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2421.3399999999997</v>
      </c>
      <c r="J25" s="274">
        <f>SUM(J16:J24)</f>
        <v>193.7072</v>
      </c>
      <c r="K25" s="275">
        <f t="shared" si="7"/>
        <v>84.746900000000011</v>
      </c>
      <c r="L25" s="276">
        <f t="shared" si="7"/>
        <v>0</v>
      </c>
      <c r="M25" s="232">
        <f t="shared" si="7"/>
        <v>2142.8859000000002</v>
      </c>
      <c r="N25" s="233">
        <f>SUM(N16:N24)</f>
        <v>457.62711864406771</v>
      </c>
      <c r="O25" s="101">
        <f>SUM(O16:O24)</f>
        <v>13.002565093220339</v>
      </c>
      <c r="P25" s="234">
        <f>SUM(P16:P24)</f>
        <v>2613.5155837372881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2421.3399999999997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193.7072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84.746900000000011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2142.8858999999998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457.62711864406771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2600.5130186440674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13.002565093220337</v>
      </c>
    </row>
    <row r="35" spans="2:16" ht="15.75" customHeight="1" thickBot="1" x14ac:dyDescent="0.4">
      <c r="N35" s="374" t="s">
        <v>88</v>
      </c>
      <c r="O35" s="375"/>
      <c r="P35" s="297">
        <f>+P33+P34</f>
        <v>2613.5155837372877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5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46324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46323</v>
      </c>
      <c r="O5" s="394"/>
      <c r="P5" s="394"/>
      <c r="R5" s="85"/>
      <c r="S5" s="266"/>
    </row>
    <row r="6" spans="1:22 16383:16384" ht="15" customHeight="1" x14ac:dyDescent="0.4">
      <c r="A6" s="400" t="s">
        <v>525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20</v>
      </c>
      <c r="I25" s="114">
        <f t="shared" si="7"/>
        <v>1452.8</v>
      </c>
      <c r="J25" s="274">
        <f>SUM(J16:J24)</f>
        <v>116.224</v>
      </c>
      <c r="K25" s="275">
        <f t="shared" si="7"/>
        <v>50.848000000000006</v>
      </c>
      <c r="L25" s="276">
        <f t="shared" si="7"/>
        <v>0</v>
      </c>
      <c r="M25" s="232">
        <f t="shared" si="7"/>
        <v>1285.7280000000001</v>
      </c>
      <c r="N25" s="233">
        <f>SUM(N16:N24)</f>
        <v>274.57627118644069</v>
      </c>
      <c r="O25" s="101">
        <f>SUM(O16:O24)</f>
        <v>7.8015213559322039</v>
      </c>
      <c r="P25" s="234">
        <f>SUM(P16:P24)</f>
        <v>1568.1057925423729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1452.8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116.224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50.848000000000006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1285.7280000000001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274.57627118644069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1560.3042711864407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7.8015213559322039</v>
      </c>
    </row>
    <row r="35" spans="2:16" ht="15.75" customHeight="1" thickBot="1" x14ac:dyDescent="0.4">
      <c r="N35" s="374" t="s">
        <v>88</v>
      </c>
      <c r="O35" s="375"/>
      <c r="P35" s="297">
        <f>+P33+P34</f>
        <v>1568.1057925423729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3" workbookViewId="0">
      <selection activeCell="H17" sqref="H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46323</v>
      </c>
      <c r="O5" s="394"/>
      <c r="P5" s="394"/>
      <c r="R5" s="85"/>
      <c r="S5" s="266"/>
    </row>
    <row r="6" spans="1:22 16383:16384" ht="15" customHeight="1" x14ac:dyDescent="0.4">
      <c r="A6" s="400" t="s">
        <v>527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528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</v>
      </c>
      <c r="I16" s="235">
        <f>(G16*D16)*F16+H16*F16</f>
        <v>629.54999999999995</v>
      </c>
      <c r="J16" s="271">
        <f>$I16*S16</f>
        <v>50.363999999999997</v>
      </c>
      <c r="K16" s="127">
        <f>$I16*T16</f>
        <v>22.03425</v>
      </c>
      <c r="L16" s="118">
        <f>$I16*U16</f>
        <v>0</v>
      </c>
      <c r="M16" s="229">
        <f>I16-SUM(J16:L16)</f>
        <v>557.15174999999999</v>
      </c>
      <c r="N16" s="248">
        <f>+(G16*D16+H16)*V16</f>
        <v>118.98305084745758</v>
      </c>
      <c r="O16" s="238">
        <f>(N16+M16)*$O$15</f>
        <v>3.3806740042372878</v>
      </c>
      <c r="P16" s="118">
        <f>M16+N16+O16</f>
        <v>679.51547485169488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12</v>
      </c>
      <c r="I25" s="114">
        <f t="shared" si="7"/>
        <v>629.54999999999995</v>
      </c>
      <c r="J25" s="274">
        <f>SUM(J16:J24)</f>
        <v>50.363999999999997</v>
      </c>
      <c r="K25" s="275">
        <f t="shared" si="7"/>
        <v>22.03425</v>
      </c>
      <c r="L25" s="276">
        <f t="shared" si="7"/>
        <v>0</v>
      </c>
      <c r="M25" s="232">
        <f t="shared" si="7"/>
        <v>557.15174999999999</v>
      </c>
      <c r="N25" s="233">
        <f>SUM(N16:N24)</f>
        <v>118.98305084745758</v>
      </c>
      <c r="O25" s="101">
        <f>SUM(O16:O24)</f>
        <v>3.3806740042372878</v>
      </c>
      <c r="P25" s="234">
        <f>SUM(P16:P24)</f>
        <v>679.51547485169488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629.54999999999995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50.363999999999997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22.03425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557.15174999999988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118.98305084745758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676.13480084745743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3.3806740042372874</v>
      </c>
    </row>
    <row r="35" spans="2:16" ht="15.75" customHeight="1" thickBot="1" x14ac:dyDescent="0.4">
      <c r="N35" s="374" t="s">
        <v>88</v>
      </c>
      <c r="O35" s="375"/>
      <c r="P35" s="297">
        <f>+P33+P34</f>
        <v>679.51547485169476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5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46323</v>
      </c>
      <c r="O5" s="394"/>
      <c r="P5" s="394"/>
      <c r="R5" s="85"/>
      <c r="S5" s="266"/>
    </row>
    <row r="6" spans="1:22 16383:16384" ht="15" customHeight="1" x14ac:dyDescent="0.4">
      <c r="A6" s="400" t="s">
        <v>529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530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118">
        <f>M16+N16+O16</f>
        <v>566.26289570974575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5</v>
      </c>
      <c r="I17" s="236">
        <f t="shared" ref="I17:I23" si="0">(G17*D17)*F17+H17*F17</f>
        <v>262.3125</v>
      </c>
      <c r="J17" s="272">
        <f t="shared" ref="J17:L24" si="1">$I17*S17</f>
        <v>20.984999999999999</v>
      </c>
      <c r="K17" s="128">
        <f>$I17*T17</f>
        <v>9.1809375000000006</v>
      </c>
      <c r="L17" s="119">
        <f>$I17*U17</f>
        <v>0</v>
      </c>
      <c r="M17" s="230">
        <f t="shared" ref="M17:M24" si="2">I17-SUM(J17:L17)</f>
        <v>232.14656250000002</v>
      </c>
      <c r="N17" s="277">
        <f t="shared" ref="N17:N24" si="3">+(G17*D17+H17)*V17</f>
        <v>49.576271186440657</v>
      </c>
      <c r="O17" s="239">
        <f t="shared" ref="O17:O24" si="4">(N17+M17)*$O$15</f>
        <v>1.4086141684322033</v>
      </c>
      <c r="P17" s="119">
        <f t="shared" ref="P17:P24" si="5">M17+N17+O17</f>
        <v>283.13144785487287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119">
        <f t="shared" si="5"/>
        <v>392.02644813559323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20</v>
      </c>
      <c r="I25" s="114">
        <f t="shared" si="7"/>
        <v>1150.1375</v>
      </c>
      <c r="J25" s="274">
        <f>SUM(J16:J24)</f>
        <v>92.010999999999996</v>
      </c>
      <c r="K25" s="275">
        <f t="shared" si="7"/>
        <v>40.254812500000007</v>
      </c>
      <c r="L25" s="276">
        <f t="shared" si="7"/>
        <v>0</v>
      </c>
      <c r="M25" s="232">
        <f t="shared" si="7"/>
        <v>1017.8716875</v>
      </c>
      <c r="N25" s="233">
        <f>SUM(N16:N24)</f>
        <v>217.37288135593212</v>
      </c>
      <c r="O25" s="101">
        <f>SUM(O16:O24)</f>
        <v>6.1762228442796605</v>
      </c>
      <c r="P25" s="234">
        <f>SUM(P16:P24)</f>
        <v>1241.4207917002118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1150.1375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92.010999999999996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40.254812500000007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1017.8716875000001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217.37288135593212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1235.2445688559324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6.1762228442796623</v>
      </c>
    </row>
    <row r="35" spans="2:16" ht="15.75" customHeight="1" thickBot="1" x14ac:dyDescent="0.4">
      <c r="N35" s="374" t="s">
        <v>88</v>
      </c>
      <c r="O35" s="375"/>
      <c r="P35" s="297">
        <f>+P33+P34</f>
        <v>1241.420791700212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5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46323</v>
      </c>
      <c r="O5" s="394"/>
      <c r="P5" s="394"/>
      <c r="R5" s="85"/>
      <c r="S5" s="266"/>
    </row>
    <row r="6" spans="1:22 16383:16384" ht="15" customHeight="1" x14ac:dyDescent="0.4">
      <c r="A6" s="400" t="s">
        <v>531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532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118">
        <f>M16+N16+O16</f>
        <v>566.26289570974575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119">
        <f t="shared" si="5"/>
        <v>1568.1057925423729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2502.0500000000002</v>
      </c>
      <c r="J25" s="274">
        <f>SUM(J16:J24)</f>
        <v>200.16399999999999</v>
      </c>
      <c r="K25" s="275">
        <f t="shared" si="7"/>
        <v>87.571750000000009</v>
      </c>
      <c r="L25" s="276">
        <f t="shared" si="7"/>
        <v>0</v>
      </c>
      <c r="M25" s="232">
        <f t="shared" si="7"/>
        <v>2214.3142500000004</v>
      </c>
      <c r="N25" s="233">
        <f>SUM(N16:N24)</f>
        <v>472.88135593220329</v>
      </c>
      <c r="O25" s="101">
        <f>SUM(O16:O24)</f>
        <v>13.435978029661017</v>
      </c>
      <c r="P25" s="234">
        <f>SUM(P16:P24)</f>
        <v>2700.6315839618646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2502.0500000000002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200.16399999999999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87.571750000000009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2214.3142500000004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472.88135593220329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2687.1956059322038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13.435978029661019</v>
      </c>
    </row>
    <row r="35" spans="2:16" ht="15.75" customHeight="1" thickBot="1" x14ac:dyDescent="0.4">
      <c r="N35" s="374" t="s">
        <v>88</v>
      </c>
      <c r="O35" s="375"/>
      <c r="P35" s="297">
        <f>+P33+P34</f>
        <v>2700.6315839618646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4" sqref="A4:C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46323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46325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46324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2026-10-29T10:19:52Z</dcterms:modified>
</cp:coreProperties>
</file>