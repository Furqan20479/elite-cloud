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2E102F-0D7F-4355-912A-A8ADFA5C787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2" i="6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<sst xmlns="http://schemas.openxmlformats.org/spreadsheetml/2006/main" count="3948" uniqueCount="531">
  <si>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</si>
  <si>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</si>
  <si>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</si>
  <si>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</si>
  <si>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</si>
  <si>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</si>
  <si>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</si>
  <si>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</si>
  <si>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</si>
  <si>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</si>
  <si>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</si>
  <si>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</si>
  <si>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</si>
  <si>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</si>
  <si>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</si>
  <si>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</si>
  <si>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</si>
  <si>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</si>
  <si>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</si>
  <si>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</si>
  <si>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</si>
  <si>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</si>
  <si>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</si>
  <si>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</si>
  <si>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</si>
  <si>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</si>
  <si>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</si>
  <si>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</si>
  <si>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</si>
  <si>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</si>
  <si>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</si>
  <si>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</si>
  <si>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</si>
  <si>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</si>
  <si>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</si>
  <si>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</si>
  <si>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</si>
  <si>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</si>
  <si>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</si>
  <si>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</si>
  <si>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</si>
  <si>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</si>
  <si>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</si>
  <si>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</si>
  <si>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</si>
  <si>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</si>
  <si>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</si>
  <si>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</si>
  <si>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</si>
  <si>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</si>
  <si>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</si>
  <si>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</si>
  <si>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</si>
  <si>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</si>
  <si>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</si>
  <si>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</si>
  <si>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</si>
  <si>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</si>
  <si>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</si>
  <si>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</si>
  <si>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</si>
  <si>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</si>
  <si>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</si>
  <si>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</si>
  <si>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</si>
  <si>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</si>
  <si>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</si>
  <si>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</si>
  <si>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</si>
  <si>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</si>
  <si>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</si>
  <si>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</si>
  <si>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</si>
  <si>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</si>
  <si>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</si>
  <si>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</si>
  <si>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</si>
  <si>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</si>
  <si>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</si>
  <si>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</si>
  <si>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</si>
  <si>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</si>
  <si>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</si>
  <si>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</si>
  <si>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</si>
  <si>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</si>
  <si>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</si>
  <si>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</si>
  <si>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</si>
  <si>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</si>
  <si>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</si>
  <si>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</si>
  <si>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</si>
  <si>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</si>
  <si>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</si>
  <si>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</si>
  <si>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</si>
  <si>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</si>
  <si>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</si>
  <si>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</si>
  <si>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</si>
  <si>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</si>
  <si>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</si>
  <si>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</si>
  <si>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</si>
  <si>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</si>
  <si>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</si>
  <si>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</si>
  <si>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</si>
  <si>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</si>
  <si>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</si>
  <si>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</si>
  <si>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</si>
  <si>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</si>
  <si>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</si>
  <si>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</si>
  <si>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</si>
  <si>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</si>
  <si>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</si>
  <si>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</si>
  <si>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</si>
  <si>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</si>
  <si>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</si>
  <si>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</si>
  <si>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</si>
  <si>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</si>
  <si>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</si>
  <si>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</si>
  <si>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</si>
  <si>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</si>
  <si>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</si>
  <si>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</si>
  <si>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</si>
  <si>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</si>
  <si>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</si>
  <si>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</si>
  <si>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</si>
  <si>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</si>
  <si>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</si>
  <si>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</si>
  <si>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</si>
  <si>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</si>
  <si>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</si>
  <si>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</si>
  <si>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</si>
  <si>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</si>
  <si>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</si>
  <si>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</si>
  <si>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</si>
  <si>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</si>
  <si>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</si>
  <si>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</si>
  <si>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</si>
  <si>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</si>
  <si>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</si>
  <si>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</si>
  <si>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</si>
  <si>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</si>
  <si>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</si>
  <si>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</si>
  <si>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</si>
  <si>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</si>
  <si>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</si>
  <si>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</si>
  <si>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</si>
  <si>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</si>
  <si>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</si>
  <si>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</si>
  <si>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</si>
  <si>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</si>
  <si>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</si>
  <si>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</si>
  <si>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</si>
  <si>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</si>
  <si>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</si>
  <si>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</si>
  <si>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</si>
  <si>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</si>
  <si>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</si>
  <si>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</si>
  <si>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</si>
  <si>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</si>
  <si>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</si>
  <si>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</si>
  <si>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</si>
  <si>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</si>
  <si>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</si>
  <si>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</si>
  <si>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</si>
  <si>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</si>
  <si>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</si>
  <si>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</si>
  <si>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</si>
  <si>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</si>
  <si>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</si>
  <si>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</si>
  <si>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</si>
  <si>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</si>
  <si>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</si>
  <si>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</si>
  <si>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</si>
  <si>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</si>
  <si>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</si>
  <si>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</si>
  <si>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</si>
  <si>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</si>
  <si>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</si>
  <si>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</si>
  <si>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</si>
  <si>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</si>
  <si>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</si>
  <si>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</si>
  <si>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</si>
  <si>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</si>
  <si>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</si>
  <si>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</si>
  <si>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</si>
  <si>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</si>
  <si>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</si>
  <si>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</si>
  <si>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</si>
  <si>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</si>
  <si>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</si>
  <si>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</si>
  <si>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</si>
  <si>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</si>
  <si>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</si>
  <si>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</si>
  <si>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</si>
  <si>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</si>
  <si>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</si>
  <si>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</si>
  <si>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</si>
  <si>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</si>
  <si>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</si>
  <si>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</si>
  <si>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</si>
  <si>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</si>
  <si>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</si>
  <si>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</si>
  <si>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</si>
  <si>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</si>
  <si>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</si>
  <si>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</si>
  <si>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</si>
  <si>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</si>
  <si>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</si>
  <si>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</si>
  <si>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</si>
  <si>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</si>
  <si>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</si>
  <si>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</si>
  <si>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</si>
  <si>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</si>
  <si>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</si>
  <si>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</si>
  <si>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</si>
  <si>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</si>
  <si>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</si>
  <si>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</si>
  <si>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</si>
  <si>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</si>
  <si>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</si>
  <si>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</si>
  <si>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</si>
  <si>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</si>
  <si>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</si>
  <si>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</si>
  <si>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</si>
  <si>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</si>
  <si>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</si>
  <si>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</si>
  <si>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</si>
  <si>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</si>
  <si>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</si>
  <si>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</si>
  <si>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</si>
  <si>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</si>
  <si>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</si>
  <si>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</si>
  <si>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</si>
  <si>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</si>
  <si>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</si>
  <si>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</si>
  <si>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</si>
  <si>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</si>
  <si>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</si>
  <si>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</si>
  <si>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</si>
  <si>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</si>
  <si>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</si>
  <si>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</si>
  <si>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</si>
  <si>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</si>
  <si>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</si>
  <si>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</si>
  <si>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</si>
  <si>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</si>
  <si>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</si>
  <si>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</si>
  <si>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</si>
  <si>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</si>
  <si>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</si>
  <si>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</si>
  <si>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</si>
  <si>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</si>
  <si>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</si>
  <si>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</si>
  <si>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</si>
  <si>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</si>
  <si>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</si>
  <si>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</si>
  <si>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</si>
  <si>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</si>
  <si>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</si>
  <si>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</si>
  <si>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</si>
  <si>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</si>
  <si>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</si>
  <si>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</si>
  <si>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</si>
  <si>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</si>
  <si>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</si>
  <si>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</si>
  <si>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</si>
  <si>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</si>
  <si>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</si>
  <si>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</si>
  <si>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</si>
  <si>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</si>
  <si>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</si>
  <si>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</si>
  <si>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</si>
  <si>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</si>
  <si>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</si>
  <si>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</si>
  <si>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</si>
  <si>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</si>
  <si>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</si>
  <si>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</si>
  <si>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</si>
  <si>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</si>
  <si>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</si>
  <si>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</si>
  <si>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</si>
  <si>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</si>
  <si>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</si>
  <si>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</si>
  <si>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</si>
  <si>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</si>
  <si>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</si>
  <si>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</si>
  <si>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</si>
  <si>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</si>
  <si>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</si>
  <si>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</si>
  <si>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</si>
  <si>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</si>
  <si>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</si>
  <si>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</si>
  <si>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</si>
  <si>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</si>
  <si>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</si>
  <si>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</si>
  <si>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</si>
  <si>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</si>
  <si>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</si>
  <si>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</si>
  <si>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</si>
  <si>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</si>
  <si>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</si>
  <si>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</si>
  <si>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</si>
  <si>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</si>
  <si>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</si>
  <si>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</si>
  <si>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</si>
  <si>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</si>
  <si>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</si>
  <si>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</si>
  <si>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</si>
  <si>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</si>
  <si>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</si>
  <si>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</si>
  <si>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</si>
  <si>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</si>
  <si>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</si>
  <si>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</si>
  <si>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</si>
  <si>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</si>
  <si>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</si>
  <si>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</si>
  <si>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</si>
  <si>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</si>
  <si>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</si>
  <si>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</si>
  <si>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</si>
  <si>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</si>
  <si>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</si>
  <si>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</si>
  <si>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</si>
  <si>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</si>
  <si>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</si>
  <si>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</si>
  <si>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</si>
  <si>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</si>
  <si>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</si>
  <si>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</si>
  <si>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</si>
  <si>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</si>
  <si>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</si>
  <si>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</si>
  <si>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</si>
  <si>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</si>
  <si>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</si>
  <si>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</si>
  <si>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</si>
  <si>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</si>
  <si>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</si>
  <si>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</si>
  <si>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</si>
  <si>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</si>
  <si>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</si>
  <si>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</si>
  <si>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</si>
  <si>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</si>
  <si>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</si>
  <si>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</si>
  <si>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</si>
  <si>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</si>
  <si>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</si>
  <si>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</si>
  <si>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</si>
  <si>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</si>
  <si>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</si>
  <si>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</si>
  <si>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</si>
  <si>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</si>
  <si>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</si>
  <si>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</si>
  <si>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</si>
  <si>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</si>
  <si>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</si>
  <si>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</si>
  <si>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</si>
  <si>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</si>
  <si>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</si>
  <si>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</si>
  <si>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</si>
  <si>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</si>
  <si>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</si>
  <si>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</si>
  <si>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</si>
  <si>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</si>
  <si>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</si>
  <si>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</si>
  <si>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</si>
  <si>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</si>
  <si>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</si>
  <si>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</si>
  <si>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</si>
  <si>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</si>
  <si>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</si>
  <si>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</si>
  <si>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</si>
  <si>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</si>
  <si>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</si>
  <si>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</si>
  <si>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</si>
  <si>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</si>
  <si>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</si>
  <si>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</si>
  <si>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</si>
  <si>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</si>
  <si>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</si>
  <si>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</si>
  <si>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</si>
  <si>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</si>
  <si>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</si>
  <si>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</si>
  <si>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</si>
  <si>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</si>
  <si>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</si>
  <si>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</si>
  <si>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</si>
  <si>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</si>
  <si>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</si>
  <si>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</si>
  <si>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</si>
  <si>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</si>
  <si>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</si>
  <si>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</si>
  <si>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</si>
  <si>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</si>
  <si>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</si>
  <si>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</si>
  <si>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</si>
  <si>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</si>
  <si>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</si>
  <si>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</si>
  <si>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</si>
  <si>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</si>
  <si>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</si>
  <si>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</si>
  <si>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</si>
  <si>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</si>
  <si>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</si>
  <si>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</si>
  <si>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</si>
  <si>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</si>
  <si>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</si>
  <si>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</si>
  <si>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</si>
  <si>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</si>
  <si>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</si>
  <si>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Khan Store</t>
  </si>
  <si>
    <t>Khan Super Store 2</t>
  </si>
  <si>
    <t>Address: Sadar Bazar</t>
  </si>
  <si>
    <t>Al Sheikh Store</t>
  </si>
  <si>
    <t>shareef Store</t>
  </si>
  <si>
    <t>Farman Khan Store</t>
  </si>
  <si>
    <t xml:space="preserve">Al Falah Bakers </t>
  </si>
  <si>
    <t>Aashiyana Store</t>
  </si>
  <si>
    <t xml:space="preserve">Al Harmain Mart </t>
  </si>
  <si>
    <t>Mughal Store</t>
  </si>
  <si>
    <t>Hadi Store</t>
  </si>
  <si>
    <t>Hafiz Super Store</t>
  </si>
  <si>
    <t>Kamal Store</t>
  </si>
  <si>
    <t>Lala G Store</t>
  </si>
  <si>
    <t>Usman Store</t>
  </si>
  <si>
    <t>Khawar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</si>
</sst>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Store</v>
      </c>
      <c r="T3" s="301">
        <f>+'1'!P35</f>
        <v>1698.7886871292369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Khan Super Store 2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Sheikh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shareef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82</v>
      </c>
      <c r="I7" s="235">
        <f>(G7*D7)*F7+H7*F7</f>
        <v>4301.9250000000002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344.154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150.567375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3807.2036250000001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813.05084745762656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23.101272362288135</v>
      </c>
      <c r="P7" s="310">
        <f>M7+N7+O7</f>
        <v>4643.3557448199144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Farman Khan Store</v>
      </c>
      <c r="T7" s="301">
        <f>+'5'!P35</f>
        <v>6969.3689604661022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86</v>
      </c>
      <c r="I8" s="236">
        <f t="shared" ref="I8:I14" si="0">(G8*D8)*F8+H8*F8</f>
        <v>4511.7749999999996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360.94200000000001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157.912125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3992.9208749999998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852.71186440677911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24.228163697033899</v>
      </c>
      <c r="P8" s="311">
        <f t="shared" ref="P8:P15" si="2">M8+N8+O8</f>
        <v>4869.8609031038131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 Falah Bakers </v>
      </c>
      <c r="T8" s="301">
        <f>+'6'!P35</f>
        <v>1881.7269510508474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Aashiyana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Al Harmain Mart </v>
      </c>
      <c r="T10" s="301">
        <f>+'8'!P35</f>
        <v>1350.3157919809323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87</v>
      </c>
      <c r="I11" s="236">
        <f t="shared" si="0"/>
        <v>6319.68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505.57440000000008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221.18880000000004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5592.9168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1194.4067796610173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33.936617898305087</v>
      </c>
      <c r="P11" s="311">
        <f t="shared" si="2"/>
        <v>6821.2601975593225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7</v>
      </c>
      <c r="R11" s="313">
        <v>9</v>
      </c>
      <c r="S11" s="300" t="str">
        <f>+'9'!A6:A6</f>
        <v>Mughal Store</v>
      </c>
      <c r="T11" s="301">
        <f>+'9'!P35</f>
        <v>1350.3157919809323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35.886998237288132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7</v>
      </c>
      <c r="R12" s="313">
        <v>10</v>
      </c>
      <c r="S12" s="300" t="str">
        <f>+'10'!A6:A6</f>
        <v>Hadi Store</v>
      </c>
      <c r="T12" s="301">
        <f>+'10'!P35</f>
        <v>1350.3157919809323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Hafiz Super Store</v>
      </c>
      <c r="T13" s="301">
        <f>+'11'!P35</f>
        <v>1350.3157919809323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Kamal Store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Lala G Store</v>
      </c>
      <c r="T15" s="301">
        <f>+'13'!P35</f>
        <v>1350.3157919809323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9.5749999999999993</v>
      </c>
      <c r="H16" s="113">
        <f t="shared" ref="H16:M16" si="3">SUM(H7:H15)</f>
        <v>383</v>
      </c>
      <c r="I16" s="114">
        <f t="shared" si="3"/>
        <v>24310.235000000001</v>
      </c>
      <c r="J16" s="274">
        <f>SUM(J7:J15)</f>
        <v>1944.8188</v>
      </c>
      <c r="K16" s="275">
        <f t="shared" si="3"/>
        <v>850.85822500000006</v>
      </c>
      <c r="L16" s="276">
        <f t="shared" si="3"/>
        <v>0</v>
      </c>
      <c r="M16" s="232">
        <f t="shared" si="3"/>
        <v>21514.557975</v>
      </c>
      <c r="N16" s="233">
        <f>SUM(N7:N15)</f>
        <v>4594.57627118644</v>
      </c>
      <c r="O16" s="101">
        <f>SUM(O7:O15)</f>
        <v>130.54567123093221</v>
      </c>
      <c r="P16" s="113">
        <f>SUM(P7:P15)</f>
        <v>26239.679917417372</v>
      </c>
      <c r="Q16" s="128">
        <f>SUM(Q7:Q15)</f>
        <v>24</v>
      </c>
      <c r="R16" s="313">
        <v>14</v>
      </c>
      <c r="S16" s="315" t="str">
        <f>+'14'!A6:A6</f>
        <v>Usman Store</v>
      </c>
      <c r="T16" s="301">
        <f>+'14'!P35</f>
        <v>1350.3157919809323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Khawar Store</v>
      </c>
      <c r="T17" s="301">
        <f>+'15'!P35</f>
        <v>1350.3157919809323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24310.235000000001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1944.8188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850.85822500000006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21514.557975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4594.57627118644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26109.134246186441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130.54567123093221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26239.679917417372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26239.679917417365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1573.875</v>
      </c>
      <c r="J25" s="274">
        <f>SUM(J16:J24)</f>
        <v>125.91</v>
      </c>
      <c r="K25" s="275">
        <f t="shared" si="10"/>
        <v>55.085625000000007</v>
      </c>
      <c r="L25" s="276">
        <f t="shared" si="10"/>
        <v>0</v>
      </c>
      <c r="M25" s="232">
        <f t="shared" si="10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1698.7886871292369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174.33599999999998</v>
      </c>
      <c r="K25" s="275">
        <f t="shared" si="7"/>
        <v>76.272000000000006</v>
      </c>
      <c r="L25" s="276">
        <f t="shared" si="7"/>
        <v>0</v>
      </c>
      <c r="M25" s="232">
        <f t="shared" si="7"/>
        <v>1928.5919999999999</v>
      </c>
      <c r="N25" s="233">
        <f>SUM(N16:N24)</f>
        <v>411.86440677966107</v>
      </c>
      <c r="O25" s="101">
        <f>SUM(O16:O24)</f>
        <v>11.702282033898305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6456.9</v>
      </c>
      <c r="J25" s="274">
        <f>SUM(J16:J24)</f>
        <v>516.55200000000002</v>
      </c>
      <c r="K25" s="275">
        <f t="shared" si="7"/>
        <v>225.99150000000003</v>
      </c>
      <c r="L25" s="276">
        <f t="shared" si="7"/>
        <v>0</v>
      </c>
      <c r="M25" s="232">
        <f t="shared" si="7"/>
        <v>5714.3564999999999</v>
      </c>
      <c r="N25" s="233">
        <f>SUM(N16:N24)</f>
        <v>1220.3389830508474</v>
      </c>
      <c r="O25" s="101">
        <f>SUM(O16:O24)</f>
        <v>34.67347741525424</v>
      </c>
      <c r="P25" s="234">
        <f>SUM(P16:P24)</f>
        <v>6969.3689604661013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6456.9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516.55200000000002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225.99150000000003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5714.3564999999999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1220.3389830508474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6934.6954830508475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74" t="s">
        <v>88</v>
      </c>
      <c r="O35" s="375"/>
      <c r="P35" s="297">
        <f>+P33+P34</f>
        <v>6969.3689604661022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>
        <v>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>
        <v>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2026-10-29T08:54:51Z</dcterms:modified>
</cp:coreProperties>
</file>