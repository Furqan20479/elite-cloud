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EF10047-6062-47DA-BEEA-FD21D077941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53"/>
  <c r="O21" i="53" s="1"/>
  <c r="P21" i="53" s="1"/>
  <c r="M21" i="52"/>
  <c r="O21" i="52" s="1"/>
  <c r="P21" i="52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<sst xmlns="http://schemas.openxmlformats.org/spreadsheetml/2006/main" count="3948" uniqueCount="533">
  <si>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</si>
  <si>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</si>
  <si>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</si>
  <si>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</si>
  <si>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</si>
  <si>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</si>
  <si>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</si>
  <si>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</si>
  <si>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</si>
  <si>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</si>
  <si>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</si>
  <si>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</si>
  <si>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</si>
  <si>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</si>
  <si>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</si>
  <si>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</si>
  <si>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</si>
  <si>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</si>
  <si>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</si>
  <si>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</si>
  <si>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</si>
  <si>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</si>
  <si>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</si>
  <si>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</si>
  <si>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</si>
  <si>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</si>
  <si>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</si>
  <si>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</si>
  <si>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</si>
  <si>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</si>
  <si>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</si>
  <si>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</si>
  <si>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</si>
  <si>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</si>
  <si>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</si>
  <si>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</si>
  <si>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</si>
  <si>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</si>
  <si>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</si>
  <si>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</si>
  <si>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</si>
  <si>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</si>
  <si>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</si>
  <si>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</si>
  <si>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</si>
  <si>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</si>
  <si>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</si>
  <si>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</si>
  <si>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</si>
  <si>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</si>
  <si>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</si>
  <si>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</si>
  <si>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</si>
  <si>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</si>
  <si>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</si>
  <si>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</si>
  <si>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</si>
  <si>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</si>
  <si>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</si>
  <si>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</si>
  <si>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</si>
  <si>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</si>
  <si>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</si>
  <si>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</si>
  <si>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</si>
  <si>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</si>
  <si>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</si>
  <si>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</si>
  <si>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</si>
  <si>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</si>
  <si>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</si>
  <si>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</si>
  <si>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</si>
  <si>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</si>
  <si>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</si>
  <si>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</si>
  <si>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</si>
  <si>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</si>
  <si>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</si>
  <si>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</si>
  <si>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</si>
  <si>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</si>
  <si>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</si>
  <si>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</si>
  <si>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</si>
  <si>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</si>
  <si>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</si>
  <si>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</si>
  <si>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</si>
  <si>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</si>
  <si>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</si>
  <si>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</si>
  <si>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</si>
  <si>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</si>
  <si>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</si>
  <si>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</si>
  <si>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</si>
  <si>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</si>
  <si>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</si>
  <si>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</si>
  <si>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</si>
  <si>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</si>
  <si>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</si>
  <si>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</si>
  <si>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</si>
  <si>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</si>
  <si>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</si>
  <si>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</si>
  <si>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</si>
  <si>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</si>
  <si>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</si>
  <si>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</si>
  <si>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</si>
  <si>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</si>
  <si>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</si>
  <si>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</si>
  <si>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</si>
  <si>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</si>
  <si>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</si>
  <si>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</si>
  <si>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</si>
  <si>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</si>
  <si>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</si>
  <si>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</si>
  <si>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</si>
  <si>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</si>
  <si>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</si>
  <si>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</si>
  <si>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</si>
  <si>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</si>
  <si>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</si>
  <si>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</si>
  <si>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</si>
  <si>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</si>
  <si>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</si>
  <si>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</si>
  <si>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</si>
  <si>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</si>
  <si>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</si>
  <si>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</si>
  <si>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</si>
  <si>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</si>
  <si>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</si>
  <si>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</si>
  <si>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</si>
  <si>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</si>
  <si>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</si>
  <si>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</si>
  <si>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</si>
  <si>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</si>
  <si>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</si>
  <si>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</si>
  <si>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</si>
  <si>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</si>
  <si>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</si>
  <si>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</si>
  <si>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</si>
  <si>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</si>
  <si>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</si>
  <si>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</si>
  <si>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</si>
  <si>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</si>
  <si>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</si>
  <si>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</si>
  <si>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</si>
  <si>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</si>
  <si>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</si>
  <si>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</si>
  <si>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</si>
  <si>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</si>
  <si>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</si>
  <si>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</si>
  <si>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</si>
  <si>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</si>
  <si>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</si>
  <si>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</si>
  <si>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</si>
  <si>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</si>
  <si>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</si>
  <si>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</si>
  <si>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</si>
  <si>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</si>
  <si>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</si>
  <si>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</si>
  <si>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</si>
  <si>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</si>
  <si>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</si>
  <si>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</si>
  <si>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</si>
  <si>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</si>
  <si>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</si>
  <si>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</si>
  <si>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</si>
  <si>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</si>
  <si>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</si>
  <si>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</si>
  <si>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</si>
  <si>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</si>
  <si>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</si>
  <si>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</si>
  <si>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</si>
  <si>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</si>
  <si>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</si>
  <si>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</si>
  <si>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</si>
  <si>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</si>
  <si>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</si>
  <si>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</si>
  <si>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</si>
  <si>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</si>
  <si>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</si>
  <si>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</si>
  <si>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</si>
  <si>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</si>
  <si>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</si>
  <si>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</si>
  <si>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</si>
  <si>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</si>
  <si>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</si>
  <si>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</si>
  <si>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</si>
  <si>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</si>
  <si>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</si>
  <si>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</si>
  <si>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</si>
  <si>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</si>
  <si>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</si>
  <si>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</si>
  <si>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</si>
  <si>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</si>
  <si>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</si>
  <si>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</si>
  <si>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</si>
  <si>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</si>
  <si>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</si>
  <si>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</si>
  <si>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</si>
  <si>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</si>
  <si>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</si>
  <si>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</si>
  <si>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</si>
  <si>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</si>
  <si>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</si>
  <si>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</si>
  <si>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</si>
  <si>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</si>
  <si>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</si>
  <si>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</si>
  <si>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</si>
  <si>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</si>
  <si>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</si>
  <si>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</si>
  <si>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</si>
  <si>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</si>
  <si>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</si>
  <si>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</si>
  <si>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</si>
  <si>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</si>
  <si>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</si>
  <si>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</si>
  <si>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</si>
  <si>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</si>
  <si>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</si>
  <si>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</si>
  <si>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</si>
  <si>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</si>
  <si>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</si>
  <si>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</si>
  <si>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</si>
  <si>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</si>
  <si>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</si>
  <si>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</si>
  <si>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</si>
  <si>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</si>
  <si>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</si>
  <si>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</si>
  <si>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</si>
  <si>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</si>
  <si>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</si>
  <si>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</si>
  <si>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</si>
  <si>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</si>
  <si>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</si>
  <si>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</si>
  <si>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</si>
  <si>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</si>
  <si>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</si>
  <si>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</si>
  <si>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</si>
  <si>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</si>
  <si>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</si>
  <si>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</si>
  <si>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</si>
  <si>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</si>
  <si>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</si>
  <si>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</si>
  <si>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</si>
  <si>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</si>
  <si>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</si>
  <si>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</si>
  <si>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</si>
  <si>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</si>
  <si>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</si>
  <si>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</si>
  <si>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</si>
  <si>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</si>
  <si>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</si>
  <si>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</si>
  <si>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</si>
  <si>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</si>
  <si>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</si>
  <si>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</si>
  <si>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</si>
  <si>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</si>
  <si>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</si>
  <si>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</si>
  <si>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</si>
  <si>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</si>
  <si>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</si>
  <si>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</si>
  <si>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</si>
  <si>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</si>
  <si>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</si>
  <si>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</si>
  <si>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</si>
  <si>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</si>
  <si>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</si>
  <si>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</si>
  <si>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</si>
  <si>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</si>
  <si>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</si>
  <si>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</si>
  <si>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</si>
  <si>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</si>
  <si>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</si>
  <si>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</si>
  <si>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</si>
  <si>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</si>
  <si>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</si>
  <si>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</si>
  <si>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</si>
  <si>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</si>
  <si>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</si>
  <si>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</si>
  <si>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</si>
  <si>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</si>
  <si>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</si>
  <si>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</si>
  <si>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</si>
  <si>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</si>
  <si>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</si>
  <si>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</si>
  <si>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</si>
  <si>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</si>
  <si>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</si>
  <si>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</si>
  <si>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</si>
  <si>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</si>
  <si>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</si>
  <si>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</si>
  <si>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</si>
  <si>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</si>
  <si>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</si>
  <si>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</si>
  <si>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</si>
  <si>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</si>
  <si>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</si>
  <si>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</si>
  <si>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</si>
  <si>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</si>
  <si>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</si>
  <si>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</si>
  <si>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</si>
  <si>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</si>
  <si>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</si>
  <si>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</si>
  <si>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</si>
  <si>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</si>
  <si>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</si>
  <si>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</si>
  <si>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</si>
  <si>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</si>
  <si>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</si>
  <si>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</si>
  <si>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</si>
  <si>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</si>
  <si>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</si>
  <si>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</si>
  <si>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</si>
  <si>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</si>
  <si>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</si>
  <si>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</si>
  <si>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</si>
  <si>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</si>
  <si>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</si>
  <si>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</si>
  <si>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</si>
  <si>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</si>
  <si>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</si>
  <si>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</si>
  <si>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</si>
  <si>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</si>
  <si>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</si>
  <si>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</si>
  <si>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</si>
  <si>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</si>
  <si>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</si>
  <si>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</si>
  <si>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</si>
  <si>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</si>
  <si>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</si>
  <si>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</si>
  <si>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</si>
  <si>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</si>
  <si>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</si>
  <si>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</si>
  <si>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</si>
  <si>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</si>
  <si>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</si>
  <si>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</si>
  <si>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</si>
  <si>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</si>
  <si>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</si>
  <si>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</si>
  <si>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</si>
  <si>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</si>
  <si>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</si>
  <si>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</si>
  <si>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</si>
  <si>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</si>
  <si>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</si>
  <si>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</si>
  <si>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</si>
  <si>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</si>
  <si>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</si>
  <si>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</si>
  <si>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</si>
  <si>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</si>
  <si>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</si>
  <si>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</si>
  <si>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</si>
  <si>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</si>
  <si>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</si>
  <si>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</si>
  <si>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</si>
  <si>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</si>
  <si>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</si>
  <si>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</si>
  <si>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</si>
  <si>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</si>
  <si>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</si>
  <si>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</si>
  <si>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</si>
  <si>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</si>
  <si>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</si>
  <si>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</si>
  <si>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</si>
  <si>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</si>
  <si>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</si>
  <si>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</si>
  <si>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</si>
  <si>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</si>
  <si>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</si>
  <si>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</si>
  <si>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</si>
  <si>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</si>
  <si>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</si>
  <si>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</si>
  <si>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</si>
  <si>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</si>
  <si>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</si>
  <si>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</si>
  <si>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</si>
  <si>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</si>
  <si>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</si>
  <si>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</si>
  <si>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</si>
  <si>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</si>
  <si>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</si>
  <si>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</si>
  <si>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</si>
  <si>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</si>
  <si>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</si>
  <si>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</si>
  <si>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</si>
  <si>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</si>
  <si>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</si>
  <si>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</si>
  <si>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</si>
  <si>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</si>
  <si>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</si>
  <si>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</si>
  <si>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</si>
  <si>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</si>
  <si>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</si>
  <si>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</si>
  <si>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</si>
  <si>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</si>
  <si>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</si>
  <si>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</si>
  <si>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</si>
  <si>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</si>
  <si>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</si>
  <si>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</si>
  <si>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</si>
  <si>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</si>
  <si>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</si>
  <si>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</si>
  <si>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</si>
  <si>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</si>
  <si>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</si>
  <si>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</si>
  <si>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</si>
  <si>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</si>
  <si>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</si>
  <si>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City Mart </t>
  </si>
  <si>
    <t xml:space="preserve">Best One Mart </t>
  </si>
  <si>
    <t>Naz Store</t>
  </si>
  <si>
    <t>Bilawal Store</t>
  </si>
  <si>
    <t>Qadri Store</t>
  </si>
  <si>
    <t>Haq Ali Store</t>
  </si>
  <si>
    <t>Sohail GS</t>
  </si>
  <si>
    <t>Ali Store</t>
  </si>
  <si>
    <t>Usman Store</t>
  </si>
  <si>
    <t>Junaid Store</t>
  </si>
  <si>
    <t>Lala Store</t>
  </si>
  <si>
    <t xml:space="preserve">Smart Pharmacy </t>
  </si>
  <si>
    <t>Askari Store</t>
  </si>
  <si>
    <t>United Store</t>
  </si>
  <si>
    <t xml:space="preserve">Classic Mart </t>
  </si>
  <si>
    <t xml:space="preserve">Al Raya Mart </t>
  </si>
  <si>
    <t>Address: Pepsi Road</t>
  </si>
  <si>
    <t>Cant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</si>
</sst>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8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City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Best One Mart </v>
      </c>
      <c r="T4" s="301">
        <f>+'2'!P35</f>
        <v>2700.6315839618646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Naz Store</v>
      </c>
      <c r="T5" s="301">
        <f>+'3'!P35</f>
        <v>1176.0793444067797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Bilawal Store</v>
      </c>
      <c r="T6" s="301">
        <f>+'4'!P35</f>
        <v>1176.0793444067797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Qadri Store</v>
      </c>
      <c r="T7" s="301">
        <f>+'5'!P35</f>
        <v>1176.0793444067797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45</v>
      </c>
      <c r="I8" s="236">
        <f t="shared" ref="I8:I14" si="0">(G8*D8)*F8+H8*F8</f>
        <v>2360.8125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188.86500000000001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82.628437500000004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2089.3190624999997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446.18644067796589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12.67752751588983</v>
      </c>
      <c r="P8" s="311">
        <f t="shared" ref="P8:P15" si="2">M8+N8+O8</f>
        <v>2548.1830306938555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</v>
      </c>
      <c r="R8" s="313">
        <v>6</v>
      </c>
      <c r="S8" s="300" t="str">
        <f>+'6'!A6:A6</f>
        <v>Haq Ali Store</v>
      </c>
      <c r="T8" s="301">
        <f>+'6'!P35</f>
        <v>1176.0793444067797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45</v>
      </c>
      <c r="I9" s="236">
        <f t="shared" si="0"/>
        <v>2360.8125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188.86500000000001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82.628437500000004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2089.3190624999997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446.18644067796589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12.67752751588983</v>
      </c>
      <c r="P9" s="311">
        <f t="shared" si="2"/>
        <v>2548.1830306938555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</v>
      </c>
      <c r="R9" s="313">
        <v>7</v>
      </c>
      <c r="S9" s="300" t="str">
        <f>+'7'!A6:A6</f>
        <v>Sohail GS</v>
      </c>
      <c r="T9" s="301">
        <f>+'7'!P35</f>
        <v>1176.0793444067797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152.54399999999998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100</v>
      </c>
      <c r="R10" s="313">
        <v>8</v>
      </c>
      <c r="S10" s="300" t="str">
        <f>+'8'!A6:A6</f>
        <v>Ali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45</v>
      </c>
      <c r="I11" s="236">
        <f t="shared" si="0"/>
        <v>3268.8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114.408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2892.8880000000004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617.7966101694916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17.55342305084746</v>
      </c>
      <c r="P11" s="311">
        <f t="shared" si="2"/>
        <v>3528.2380332203393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3">
        <v>9</v>
      </c>
      <c r="S11" s="300" t="str">
        <f>+'9'!A6:A6</f>
        <v>Usman Store</v>
      </c>
      <c r="T11" s="301">
        <f>+'9'!P35</f>
        <v>1176.0793444067797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135</v>
      </c>
      <c r="R12" s="313">
        <v>10</v>
      </c>
      <c r="S12" s="300" t="str">
        <f>+'10'!A6:A6</f>
        <v>Junaid Store</v>
      </c>
      <c r="T12" s="301">
        <f>+'10'!P35</f>
        <v>1176.0793444067797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Lala Store</v>
      </c>
      <c r="T13" s="301">
        <f>+'11'!P35</f>
        <v>1176.0793444067797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Smart Pharmacy </v>
      </c>
      <c r="T14" s="301">
        <f>+'12'!P35</f>
        <v>1176.0793444067797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Askari Store</v>
      </c>
      <c r="T15" s="301">
        <f>+'13'!P35</f>
        <v>1176.0793444067797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8.375</v>
      </c>
      <c r="H16" s="113">
        <f t="shared" ref="H16:M16" si="3">SUM(H7:H15)</f>
        <v>335</v>
      </c>
      <c r="I16" s="114">
        <f t="shared" si="3"/>
        <v>21307.775000000001</v>
      </c>
      <c r="J16" s="274">
        <f>SUM(J7:J15)</f>
        <v>1704.6219999999998</v>
      </c>
      <c r="K16" s="275">
        <f t="shared" si="3"/>
        <v>745.77212499999996</v>
      </c>
      <c r="L16" s="276">
        <f t="shared" si="3"/>
        <v>0</v>
      </c>
      <c r="M16" s="232">
        <f t="shared" si="3"/>
        <v>18857.380875000003</v>
      </c>
      <c r="N16" s="233">
        <f>SUM(N7:N15)</f>
        <v>4027.1186440677966</v>
      </c>
      <c r="O16" s="101">
        <f>SUM(O7:O15)</f>
        <v>114.422497595339</v>
      </c>
      <c r="P16" s="113">
        <f>SUM(P7:P15)</f>
        <v>22998.922016663135</v>
      </c>
      <c r="Q16" s="128">
        <f>SUM(Q7:Q15)</f>
        <v>305</v>
      </c>
      <c r="R16" s="313">
        <v>14</v>
      </c>
      <c r="S16" s="315" t="str">
        <f>+'14'!A6:A6</f>
        <v>United Store</v>
      </c>
      <c r="T16" s="301">
        <f>+'14'!P35</f>
        <v>958.28934384533898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Classic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Al Raya Mart </v>
      </c>
      <c r="T18" s="301">
        <f>+'16'!P35</f>
        <v>6795.1547485169476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21307.775000000001</v>
      </c>
      <c r="R19" s="299">
        <v>17</v>
      </c>
      <c r="S19" s="300" t="str">
        <f>+'17'!A6:A6</f>
        <v>Cant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1704.6219999999998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745.77212499999996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18857.380875000003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4027.1186440677966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22884.499519067798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114.422497595339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22998.922016663138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22998.922016663138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87.167999999999992</v>
      </c>
      <c r="K25" s="275">
        <f t="shared" si="7"/>
        <v>38.136000000000003</v>
      </c>
      <c r="L25" s="276">
        <f t="shared" si="7"/>
        <v>0</v>
      </c>
      <c r="M25" s="232">
        <f t="shared" si="7"/>
        <v>964.29599999999994</v>
      </c>
      <c r="N25" s="233">
        <f>SUM(N16:N24)</f>
        <v>205.93220338983053</v>
      </c>
      <c r="O25" s="101">
        <f>SUM(O16:O24)</f>
        <v>5.8511410169491525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87.167999999999992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1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>
        <v>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>
        <v>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>
        <v>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887.82500000000005</v>
      </c>
      <c r="J25" s="274">
        <f>SUM(J16:J24)</f>
        <v>71.025999999999996</v>
      </c>
      <c r="K25" s="275">
        <f t="shared" si="7"/>
        <v>31.073875000000001</v>
      </c>
      <c r="L25" s="276">
        <f t="shared" si="7"/>
        <v>0</v>
      </c>
      <c r="M25" s="232">
        <f t="shared" si="7"/>
        <v>785.72512500000005</v>
      </c>
      <c r="N25" s="233">
        <f>SUM(N16:N24)</f>
        <v>167.79661016949149</v>
      </c>
      <c r="O25" s="101">
        <f>SUM(O16:O24)</f>
        <v>4.7676086758474572</v>
      </c>
      <c r="P25" s="234">
        <f>SUM(P16:P24)</f>
        <v>958.28934384533898</v>
      </c>
      <c r="Q25" s="239">
        <f>SUM(Q16:Q24)</f>
        <v>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887.82500000000005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71.025999999999996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31.073875000000001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785.72512500000005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167.79661016949149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953.52173516949154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4.7676086758474581</v>
      </c>
    </row>
    <row r="35" spans="2:16" ht="15.75" customHeight="1" thickBot="1" x14ac:dyDescent="0.4">
      <c r="N35" s="345" t="s">
        <v>88</v>
      </c>
      <c r="O35" s="346"/>
      <c r="P35" s="297">
        <f>+P33+P34</f>
        <v>958.28934384533898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1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J26" sqref="J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234">
        <f>SUM(P16:P24)</f>
        <v>6795.1547485169485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6295.5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503.64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220.34250000000003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5571.5174999999999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6761.3480084745752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45" t="s">
        <v>88</v>
      </c>
      <c r="O35" s="346"/>
      <c r="P35" s="297">
        <f>+P33+P34</f>
        <v>6795.1547485169476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2026-10-21T11:28:41Z</dcterms:modified>
</cp:coreProperties>
</file>