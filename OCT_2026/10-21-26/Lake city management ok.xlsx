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2FAF1F-45B4-4C37-8AA5-0D42D6E29D61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3" l="1"/>
  <c r="O24" i="43" s="1"/>
  <c r="P24" i="43" s="1"/>
  <c r="M23" i="66"/>
  <c r="M22" i="52"/>
  <c r="O22" i="52" s="1"/>
  <c r="P22" i="52" s="1"/>
  <c r="M23" i="52"/>
  <c r="O23" i="52" s="1"/>
  <c r="P23" i="52" s="1"/>
  <c r="M24" i="48"/>
  <c r="O24" i="48" s="1"/>
  <c r="P24" i="48" s="1"/>
  <c r="M22" i="51"/>
  <c r="M23" i="48"/>
  <c r="O23" i="48" s="1"/>
  <c r="P23" i="48" s="1"/>
  <c r="M23" i="72"/>
  <c r="O23" i="72" s="1"/>
  <c r="P23" i="72" s="1"/>
  <c r="M24" i="44"/>
  <c r="O24" i="44" s="1"/>
  <c r="P24" i="44" s="1"/>
  <c r="M23" i="58"/>
  <c r="O23" i="58" s="1"/>
  <c r="P23" i="58" s="1"/>
  <c r="M23" i="69"/>
  <c r="M23" i="53"/>
  <c r="O23" i="53" s="1"/>
  <c r="P23" i="53" s="1"/>
  <c r="M24" i="63"/>
  <c r="O24" i="63" s="1"/>
  <c r="P24" i="63" s="1"/>
  <c r="M20" i="50"/>
  <c r="O20" i="50" s="1"/>
  <c r="P20" i="50" s="1"/>
  <c r="M17" i="44"/>
  <c r="O17" i="44" s="1"/>
  <c r="P17" i="44" s="1"/>
  <c r="M16" i="65"/>
  <c r="M17" i="72"/>
  <c r="O17" i="72" s="1"/>
  <c r="P17" i="72" s="1"/>
  <c r="M16" i="64"/>
  <c r="O16" i="64" s="1"/>
  <c r="P16" i="64" s="1"/>
  <c r="M16" i="66"/>
  <c r="M16" i="44"/>
  <c r="M16" i="60"/>
  <c r="M16" i="58"/>
  <c r="O16" i="58" s="1"/>
  <c r="P16" i="58" s="1"/>
  <c r="M18" i="67"/>
  <c r="O18" i="67" s="1"/>
  <c r="P18" i="67" s="1"/>
  <c r="M21" i="69"/>
  <c r="O21" i="69" s="1"/>
  <c r="P21" i="69" s="1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 s="1"/>
  <c r="O23" i="59"/>
  <c r="P23" i="59"/>
  <c r="O23" i="69"/>
  <c r="P23" i="69" s="1"/>
  <c r="O16" i="67"/>
  <c r="P16" i="67" s="1"/>
  <c r="O16" i="44"/>
  <c r="O22" i="51"/>
  <c r="P22" i="51" s="1"/>
  <c r="O23" i="60"/>
  <c r="P23" i="60" s="1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17" i="50"/>
  <c r="P17" i="50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5"/>
  <c r="O15" i="62"/>
  <c r="P15" i="62" s="1"/>
  <c r="O25" i="52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<sst xmlns="http://schemas.openxmlformats.org/spreadsheetml/2006/main" count="3918" uniqueCount="517">
  <si>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</si>
  <si>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</si>
  <si>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</si>
  <si>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</si>
  <si>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</si>
  <si>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</si>
  <si>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</si>
  <si>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</si>
  <si>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</si>
  <si>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</si>
  <si>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</si>
  <si>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</si>
  <si>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</si>
  <si>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</si>
  <si>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</si>
  <si>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</si>
  <si>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</si>
  <si>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</si>
  <si>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</si>
  <si>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</si>
  <si>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</si>
  <si>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</si>
  <si>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</si>
  <si>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</si>
  <si>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</si>
  <si>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</si>
  <si>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</si>
  <si>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</si>
  <si>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</si>
  <si>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</si>
  <si>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</si>
  <si>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</si>
  <si>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</si>
  <si>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</si>
  <si>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</si>
  <si>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</si>
  <si>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</si>
  <si>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</si>
  <si>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</si>
  <si>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</si>
  <si>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</si>
  <si>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</si>
  <si>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</si>
  <si>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</si>
  <si>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</si>
  <si>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</si>
  <si>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</si>
  <si>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</si>
  <si>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</si>
  <si>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</si>
  <si>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</si>
  <si>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</si>
  <si>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</si>
  <si>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</si>
  <si>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</si>
  <si>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</si>
  <si>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</si>
  <si>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</si>
  <si>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</si>
  <si>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</si>
  <si>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</si>
  <si>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</si>
  <si>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</si>
  <si>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</si>
  <si>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</si>
  <si>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</si>
  <si>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</si>
  <si>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</si>
  <si>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</si>
  <si>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</si>
  <si>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</si>
  <si>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</si>
  <si>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</si>
  <si>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</si>
  <si>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</si>
  <si>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</si>
  <si>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</si>
  <si>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</si>
  <si>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</si>
  <si>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</si>
  <si>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</si>
  <si>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</si>
  <si>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</si>
  <si>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</si>
  <si>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</si>
  <si>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</si>
  <si>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</si>
  <si>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</si>
  <si>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</si>
  <si>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</si>
  <si>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</si>
  <si>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</si>
  <si>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</si>
  <si>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</si>
  <si>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</si>
  <si>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</si>
  <si>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</si>
  <si>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</si>
  <si>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</si>
  <si>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</si>
  <si>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</si>
  <si>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</si>
  <si>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</si>
  <si>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</si>
  <si>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</si>
  <si>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</si>
  <si>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</si>
  <si>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</si>
  <si>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</si>
  <si>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</si>
  <si>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</si>
  <si>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</si>
  <si>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</si>
  <si>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</si>
  <si>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</si>
  <si>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</si>
  <si>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</si>
  <si>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</si>
  <si>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</si>
  <si>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</si>
  <si>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</si>
  <si>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</si>
  <si>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</si>
  <si>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</si>
  <si>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</si>
  <si>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</si>
  <si>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</si>
  <si>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</si>
  <si>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</si>
  <si>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</si>
  <si>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</si>
  <si>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</si>
  <si>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</si>
  <si>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</si>
  <si>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</si>
  <si>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</si>
  <si>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</si>
  <si>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</si>
  <si>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</si>
  <si>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</si>
  <si>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</si>
  <si>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</si>
  <si>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</si>
  <si>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</si>
  <si>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</si>
  <si>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</si>
  <si>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</si>
  <si>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</si>
  <si>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</si>
  <si>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</si>
  <si>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</si>
  <si>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</si>
  <si>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</si>
  <si>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</si>
  <si>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</si>
  <si>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</si>
  <si>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</si>
  <si>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</si>
  <si>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</si>
  <si>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</si>
  <si>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</si>
  <si>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</si>
  <si>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</si>
  <si>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</si>
  <si>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</si>
  <si>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</si>
  <si>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</si>
  <si>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</si>
  <si>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</si>
  <si>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</si>
  <si>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</si>
  <si>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</si>
  <si>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</si>
  <si>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</si>
  <si>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</si>
  <si>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</si>
  <si>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</si>
  <si>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</si>
  <si>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</si>
  <si>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</si>
  <si>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</si>
  <si>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</si>
  <si>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</si>
  <si>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</si>
  <si>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</si>
  <si>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</si>
  <si>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</si>
  <si>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</si>
  <si>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</si>
  <si>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</si>
  <si>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</si>
  <si>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</si>
  <si>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</si>
  <si>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</si>
  <si>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</si>
  <si>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</si>
  <si>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</si>
  <si>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</si>
  <si>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</si>
  <si>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</si>
  <si>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</si>
  <si>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</si>
  <si>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</si>
  <si>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</si>
  <si>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</si>
  <si>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</si>
  <si>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</si>
  <si>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</si>
  <si>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</si>
  <si>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</si>
  <si>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</si>
  <si>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</si>
  <si>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</si>
  <si>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</si>
  <si>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</si>
  <si>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</si>
  <si>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</si>
  <si>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</si>
  <si>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</si>
  <si>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</si>
  <si>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</si>
  <si>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</si>
  <si>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</si>
  <si>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</si>
  <si>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</si>
  <si>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</si>
  <si>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</si>
  <si>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</si>
  <si>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</si>
  <si>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</si>
  <si>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</si>
  <si>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</si>
  <si>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</si>
  <si>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</si>
  <si>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</si>
  <si>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</si>
  <si>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</si>
  <si>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</si>
  <si>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</si>
  <si>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</si>
  <si>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</si>
  <si>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</si>
  <si>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</si>
  <si>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</si>
  <si>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</si>
  <si>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</si>
  <si>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</si>
  <si>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</si>
  <si>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</si>
  <si>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</si>
  <si>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</si>
  <si>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</si>
  <si>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</si>
  <si>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</si>
  <si>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</si>
  <si>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</si>
  <si>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</si>
  <si>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</si>
  <si>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</si>
  <si>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</si>
  <si>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</si>
  <si>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</si>
  <si>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</si>
  <si>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</si>
  <si>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</si>
  <si>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</si>
  <si>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</si>
  <si>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</si>
  <si>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</si>
  <si>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</si>
  <si>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</si>
  <si>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</si>
  <si>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</si>
  <si>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</si>
  <si>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</si>
  <si>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</si>
  <si>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</si>
  <si>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</si>
  <si>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</si>
  <si>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</si>
  <si>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</si>
  <si>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</si>
  <si>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</si>
  <si>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</si>
  <si>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</si>
  <si>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</si>
  <si>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</si>
  <si>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</si>
  <si>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</si>
  <si>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</si>
  <si>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</si>
  <si>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</si>
  <si>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</si>
  <si>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</si>
  <si>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</si>
  <si>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</si>
  <si>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</si>
  <si>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</si>
  <si>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</si>
  <si>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</si>
  <si>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</si>
  <si>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</si>
  <si>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</si>
  <si>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</si>
  <si>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</si>
  <si>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</si>
  <si>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</si>
  <si>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</si>
  <si>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</si>
  <si>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</si>
  <si>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</si>
  <si>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</si>
  <si>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</si>
  <si>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</si>
  <si>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</si>
  <si>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</si>
  <si>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</si>
  <si>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</si>
  <si>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</si>
  <si>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</si>
  <si>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</si>
  <si>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</si>
  <si>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</si>
  <si>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</si>
  <si>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</si>
  <si>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</si>
  <si>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</si>
  <si>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</si>
  <si>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</si>
  <si>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</si>
  <si>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</si>
  <si>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</si>
  <si>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</si>
  <si>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</si>
  <si>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</si>
  <si>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</si>
  <si>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</si>
  <si>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</si>
  <si>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</si>
  <si>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</si>
  <si>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</si>
  <si>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</si>
  <si>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</si>
  <si>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</si>
  <si>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</si>
  <si>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</si>
  <si>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</si>
  <si>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</si>
  <si>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</si>
  <si>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</si>
  <si>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</si>
  <si>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</si>
  <si>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</si>
  <si>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</si>
  <si>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</si>
  <si>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</si>
  <si>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</si>
  <si>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</si>
  <si>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</si>
  <si>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</si>
  <si>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</si>
  <si>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</si>
  <si>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</si>
  <si>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</si>
  <si>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</si>
  <si>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</si>
  <si>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</si>
  <si>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</si>
  <si>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</si>
  <si>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</si>
  <si>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</si>
  <si>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</si>
  <si>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</si>
  <si>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</si>
  <si>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</si>
  <si>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</si>
  <si>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</si>
  <si>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</si>
  <si>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</si>
  <si>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</si>
  <si>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</si>
  <si>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</si>
  <si>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</si>
  <si>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</si>
  <si>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</si>
  <si>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</si>
  <si>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</si>
  <si>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</si>
  <si>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</si>
  <si>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</si>
  <si>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</si>
  <si>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</si>
  <si>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</si>
  <si>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</si>
  <si>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</si>
  <si>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</si>
  <si>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</si>
  <si>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</si>
  <si>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</si>
  <si>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</si>
  <si>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</si>
  <si>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</si>
  <si>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</si>
  <si>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</si>
  <si>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</si>
  <si>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</si>
  <si>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</si>
  <si>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</si>
  <si>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</si>
  <si>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</si>
  <si>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</si>
  <si>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</si>
  <si>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</si>
  <si>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</si>
  <si>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</si>
  <si>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</si>
  <si>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</si>
  <si>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</si>
  <si>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</si>
  <si>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</si>
  <si>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</si>
  <si>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</si>
  <si>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</si>
  <si>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</si>
  <si>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</si>
  <si>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</si>
  <si>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</si>
  <si>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</si>
  <si>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</si>
  <si>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</si>
  <si>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</si>
  <si>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</si>
  <si>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</si>
  <si>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</si>
  <si>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</si>
  <si>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</si>
  <si>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</si>
  <si>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</si>
  <si>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</si>
  <si>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</si>
  <si>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</si>
  <si>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</si>
  <si>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</si>
  <si>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</si>
  <si>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</si>
  <si>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</si>
  <si>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</si>
  <si>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</si>
  <si>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</si>
  <si>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</si>
  <si>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</si>
  <si>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</si>
  <si>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</si>
  <si>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</si>
  <si>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</si>
  <si>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</si>
  <si>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</si>
  <si>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</si>
  <si>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</si>
  <si>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</si>
  <si>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</si>
  <si>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</si>
  <si>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</si>
  <si>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</si>
  <si>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</si>
  <si>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</si>
  <si>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</si>
  <si>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</si>
  <si>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</si>
  <si>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</si>
  <si>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</si>
  <si>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</si>
  <si>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</si>
  <si>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</si>
  <si>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</si>
  <si>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</si>
  <si>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</si>
  <si>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</si>
  <si>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</si>
  <si>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</si>
  <si>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</si>
  <si>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</si>
  <si>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</si>
  <si>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</si>
  <si>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</si>
  <si>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</si>
  <si>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</si>
  <si>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</si>
  <si>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</si>
  <si>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</si>
  <si>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</si>
  <si>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</si>
  <si>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</si>
  <si>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</si>
  <si>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</si>
  <si>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</si>
  <si>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</si>
  <si>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</si>
  <si>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</si>
  <si>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</si>
  <si>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</si>
  <si>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</si>
  <si>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</si>
  <si>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</si>
  <si>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</si>
  <si>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</si>
  <si>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</si>
  <si>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</si>
  <si>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</si>
  <si>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</si>
  <si>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</si>
  <si>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</si>
  <si>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</si>
  <si>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Lake City Management Pvt Ltd</t>
  </si>
  <si>
    <t>NTN #: 7234288-7</t>
  </si>
  <si>
    <t>Address: Lake City Riwind Road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</si>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</sst>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32.3632812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46316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Lake City Management Pvt Ltd</v>
      </c>
      <c r="T3" s="301">
        <f>+'1'!P35</f>
        <v>11836.726985593219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Lake City Management Pvt Ltd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Lake City Management Pvt Ltd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Lake City Management Pvt Ltd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Lake City Management Pvt Ltd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Lake City Management Pvt Ltd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1888.65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11.426300847457625</v>
      </c>
      <c r="P9" s="311">
        <f t="shared" si="2"/>
        <v>2296.6864703389829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Lake City Management Pvt Ltd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2615.04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15.820962711864407</v>
      </c>
      <c r="P10" s="311">
        <f t="shared" si="2"/>
        <v>3180.0135050847457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Lake City Management Pvt Ltd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Lake City Management Pvt Ltd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2615.04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15.820962711864407</v>
      </c>
      <c r="P12" s="311">
        <f t="shared" si="2"/>
        <v>3180.0135050847457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Lake City Management Pvt Ltd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Lake City Management Pvt Ltd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Lake City Management Pvt Ltd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Lake City Management Pvt Ltd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4</v>
      </c>
      <c r="H16" s="113">
        <f t="shared" ref="H16:M16" si="3">SUM(H7:H15)</f>
        <v>160</v>
      </c>
      <c r="I16" s="114">
        <f t="shared" si="3"/>
        <v>10815.300000000001</v>
      </c>
      <c r="J16" s="274">
        <f>SUM(J7:J15)</f>
        <v>1081.53</v>
      </c>
      <c r="K16" s="275">
        <f t="shared" si="3"/>
        <v>0</v>
      </c>
      <c r="L16" s="276">
        <f t="shared" si="3"/>
        <v>0</v>
      </c>
      <c r="M16" s="232">
        <f t="shared" si="3"/>
        <v>9733.77</v>
      </c>
      <c r="N16" s="233">
        <f>SUM(N7:N15)</f>
        <v>2044.0677966101694</v>
      </c>
      <c r="O16" s="101">
        <f>SUM(O7:O15)</f>
        <v>58.889188983050843</v>
      </c>
      <c r="P16" s="113">
        <f>SUM(P7:P15)</f>
        <v>11836.726985593221</v>
      </c>
      <c r="Q16" s="128">
        <f>SUM(Q7:Q15)</f>
        <v>0</v>
      </c>
      <c r="R16" s="313">
        <v>14</v>
      </c>
      <c r="S16" s="315" t="str">
        <f>+'14'!A6:A6</f>
        <v>Lake City Management Pvt Ltd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Lake City Management Pvt Ltd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Lake City Management Pvt Ltd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10815.300000000001</v>
      </c>
      <c r="R19" s="299">
        <v>17</v>
      </c>
      <c r="S19" s="300" t="str">
        <f>+'17'!A6:A6</f>
        <v>Lake City Management Pvt Ltd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1081.53</v>
      </c>
      <c r="R20" s="299">
        <v>18</v>
      </c>
      <c r="S20" s="300" t="str">
        <f>+'18'!A6:A6</f>
        <v>Lake City Management Pvt Ltd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Lake City Management Pvt Ltd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9733.77</v>
      </c>
      <c r="R22" s="299">
        <v>20</v>
      </c>
      <c r="S22" s="300" t="str">
        <f>+'20'!A6:A6</f>
        <v>Lake City Management Pvt Ltd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Lake City Management Pvt Ltd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11777.837796610169</v>
      </c>
      <c r="R24" s="299">
        <v>22</v>
      </c>
      <c r="S24" s="300" t="str">
        <f>+'22'!A6:A6</f>
        <v>Lake City Management Pvt Ltd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58.889188983050843</v>
      </c>
      <c r="R25" s="299">
        <v>23</v>
      </c>
      <c r="S25" s="300" t="str">
        <f>+'23'!A6:A6</f>
        <v>Lake City Management Pvt Ltd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11836.726985593219</v>
      </c>
      <c r="R26" s="299">
        <v>24</v>
      </c>
      <c r="S26" s="300" t="str">
        <f>+'24'!A6:A6</f>
        <v>Lake City Management Pvt Ltd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Lake City Management Pvt Ltd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Lake City Management Pvt Ltd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Lake City Management Pvt Ltd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Lake City Management Pvt Ltd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Lake City Management Pvt Ltd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Lake City Management Pvt Ltd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11836.726985593219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0</v>
      </c>
      <c r="L18" s="119">
        <f t="shared" si="1"/>
        <v>0</v>
      </c>
      <c r="M18" s="230">
        <f t="shared" si="2"/>
        <v>1888.65</v>
      </c>
      <c r="N18" s="277">
        <f t="shared" si="3"/>
        <v>396.61016949152526</v>
      </c>
      <c r="O18" s="239">
        <f t="shared" si="4"/>
        <v>11.426300847457625</v>
      </c>
      <c r="P18" s="119">
        <f t="shared" si="5"/>
        <v>2296.6864703389829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0</v>
      </c>
      <c r="L19" s="119">
        <f t="shared" si="1"/>
        <v>0</v>
      </c>
      <c r="M19" s="230">
        <f t="shared" si="2"/>
        <v>2615.04</v>
      </c>
      <c r="N19" s="277">
        <f t="shared" si="3"/>
        <v>549.15254237288138</v>
      </c>
      <c r="O19" s="239">
        <f t="shared" si="4"/>
        <v>15.820962711864407</v>
      </c>
      <c r="P19" s="119">
        <f t="shared" si="5"/>
        <v>3180.0135050847457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0</v>
      </c>
      <c r="L21" s="119">
        <f t="shared" si="1"/>
        <v>0</v>
      </c>
      <c r="M21" s="230">
        <f t="shared" si="2"/>
        <v>2615.04</v>
      </c>
      <c r="N21" s="277">
        <f t="shared" si="3"/>
        <v>549.15254237288138</v>
      </c>
      <c r="O21" s="239">
        <f t="shared" si="4"/>
        <v>15.820962711864407</v>
      </c>
      <c r="P21" s="119">
        <f t="shared" si="5"/>
        <v>3180.0135050847457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1081.53</v>
      </c>
      <c r="K25" s="275">
        <f t="shared" si="10"/>
        <v>0</v>
      </c>
      <c r="L25" s="276">
        <f t="shared" si="10"/>
        <v>0</v>
      </c>
      <c r="M25" s="232">
        <f t="shared" si="10"/>
        <v>9733.77</v>
      </c>
      <c r="N25" s="233">
        <f>SUM(N16:N24)</f>
        <v>2044.0677966101694</v>
      </c>
      <c r="O25" s="101">
        <f>SUM(O16:O24)</f>
        <v>58.889188983050843</v>
      </c>
      <c r="P25" s="234">
        <f>SUM(P16:P24)</f>
        <v>11836.726985593221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10815.300000000001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1081.53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9733.77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11777.837796610169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58.889188983050843</v>
      </c>
    </row>
    <row r="35" spans="2:16" ht="15.75" customHeight="1" thickBot="1" x14ac:dyDescent="0.4">
      <c r="N35" s="346" t="s">
        <v>88</v>
      </c>
      <c r="O35" s="347"/>
      <c r="P35" s="297">
        <f>+P33+P34</f>
        <v>11836.726985593219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46318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46317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2026-10-22T05:16:44Z</dcterms:modified>
</cp:coreProperties>
</file>