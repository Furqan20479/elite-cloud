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245BEF0-D119-4EBF-AD77-0BDB7DFC96BA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J25" i="61"/>
  <c r="P29" i="61" s="1"/>
  <c r="M21" i="44"/>
  <c r="O21" i="44" s="1"/>
  <c r="P21" i="44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J7" i="62"/>
  <c r="M17" i="56"/>
  <c r="O17" i="56" s="1"/>
  <c r="P17" i="56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<sst xmlns="http://schemas.openxmlformats.org/spreadsheetml/2006/main" count="3977" uniqueCount="517">
  <si>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</si>
  <si>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</si>
  <si>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</si>
  <si>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</si>
  <si>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</si>
  <si>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</si>
  <si>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</si>
  <si>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</si>
  <si>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</si>
  <si>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</si>
  <si>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</si>
  <si>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</si>
  <si>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</si>
  <si>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</si>
  <si>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</si>
  <si>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</si>
  <si>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</si>
  <si>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</si>
  <si>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</si>
  <si>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</si>
  <si>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</si>
  <si>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</si>
  <si>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</si>
  <si>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</si>
  <si>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</si>
  <si>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</si>
  <si>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</si>
  <si>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</si>
  <si>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</si>
  <si>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</si>
  <si>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</si>
  <si>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</si>
  <si>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</si>
  <si>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</si>
  <si>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</si>
  <si>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</si>
  <si>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</si>
  <si>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</si>
  <si>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</si>
  <si>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</si>
  <si>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</si>
  <si>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</si>
  <si>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</si>
  <si>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</si>
  <si>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</si>
  <si>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</si>
  <si>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</si>
  <si>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</si>
  <si>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</si>
  <si>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</si>
  <si>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</si>
  <si>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</si>
  <si>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</si>
  <si>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</si>
  <si>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</si>
  <si>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</si>
  <si>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</si>
  <si>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</si>
  <si>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</si>
  <si>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</si>
  <si>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</si>
  <si>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</si>
  <si>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</si>
  <si>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</si>
  <si>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</si>
  <si>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</si>
  <si>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</si>
  <si>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</si>
  <si>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</si>
  <si>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</si>
  <si>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</si>
  <si>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</si>
  <si>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</si>
  <si>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</si>
  <si>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</si>
  <si>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</si>
  <si>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</si>
  <si>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</si>
  <si>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</si>
  <si>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</si>
  <si>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</si>
  <si>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</si>
  <si>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</si>
  <si>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</si>
  <si>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</si>
  <si>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</si>
  <si>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</si>
  <si>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</si>
  <si>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</si>
  <si>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</si>
  <si>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</si>
  <si>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</si>
  <si>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</si>
  <si>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</si>
  <si>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</si>
  <si>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</si>
  <si>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</si>
  <si>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</si>
  <si>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</si>
  <si>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</si>
  <si>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</si>
  <si>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</si>
  <si>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</si>
  <si>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</si>
  <si>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</si>
  <si>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</si>
  <si>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</si>
  <si>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</si>
  <si>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</si>
  <si>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</si>
  <si>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</si>
  <si>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</si>
  <si>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</si>
  <si>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</si>
  <si>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</si>
  <si>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</si>
  <si>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</si>
  <si>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</si>
  <si>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</si>
  <si>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</si>
  <si>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</si>
  <si>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</si>
  <si>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</si>
  <si>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</si>
  <si>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</si>
  <si>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</si>
  <si>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</si>
  <si>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</si>
  <si>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</si>
  <si>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</si>
  <si>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</si>
  <si>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</si>
  <si>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</si>
  <si>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</si>
  <si>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</si>
  <si>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</si>
  <si>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</si>
  <si>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</si>
  <si>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</si>
  <si>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</si>
  <si>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</si>
  <si>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</si>
  <si>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</si>
  <si>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</si>
  <si>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</si>
  <si>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</si>
  <si>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</si>
  <si>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</si>
  <si>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</si>
  <si>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</si>
  <si>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</si>
  <si>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</si>
  <si>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</si>
  <si>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</si>
  <si>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</si>
  <si>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</si>
  <si>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</si>
  <si>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</si>
  <si>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</si>
  <si>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</si>
  <si>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</si>
  <si>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</si>
  <si>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</si>
  <si>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</si>
  <si>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</si>
  <si>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</si>
  <si>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</si>
  <si>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</si>
  <si>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</si>
  <si>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</si>
  <si>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</si>
  <si>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</si>
  <si>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</si>
  <si>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</si>
  <si>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</si>
  <si>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</si>
  <si>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</si>
  <si>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</si>
  <si>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</si>
  <si>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</si>
  <si>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</si>
  <si>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</si>
  <si>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</si>
  <si>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</si>
  <si>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</si>
  <si>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</si>
  <si>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</si>
  <si>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</si>
  <si>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</si>
  <si>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</si>
  <si>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</si>
  <si>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</si>
  <si>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</si>
  <si>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</si>
  <si>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</si>
  <si>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</si>
  <si>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</si>
  <si>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</si>
  <si>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</si>
  <si>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</si>
  <si>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</si>
  <si>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</si>
  <si>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</si>
  <si>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</si>
  <si>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</si>
  <si>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</si>
  <si>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</si>
  <si>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</si>
  <si>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</si>
  <si>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</si>
  <si>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</si>
  <si>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</si>
  <si>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</si>
  <si>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</si>
  <si>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</si>
  <si>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</si>
  <si>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</si>
  <si>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</si>
  <si>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</si>
  <si>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</si>
  <si>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</si>
  <si>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</si>
  <si>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</si>
  <si>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</si>
  <si>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</si>
  <si>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</si>
  <si>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</si>
  <si>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</si>
  <si>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</si>
  <si>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</si>
  <si>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</si>
  <si>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</si>
  <si>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</si>
  <si>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</si>
  <si>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</si>
  <si>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</si>
  <si>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</si>
  <si>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</si>
  <si>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</si>
  <si>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</si>
  <si>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</si>
  <si>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</si>
  <si>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</si>
  <si>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</si>
  <si>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</si>
  <si>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</si>
  <si>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</si>
  <si>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</si>
  <si>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</si>
  <si>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</si>
  <si>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</si>
  <si>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</si>
  <si>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</si>
  <si>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</si>
  <si>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</si>
  <si>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</si>
  <si>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</si>
  <si>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</si>
  <si>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</si>
  <si>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</si>
  <si>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</si>
  <si>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</si>
  <si>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</si>
  <si>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</si>
  <si>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</si>
  <si>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</si>
  <si>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</si>
  <si>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</si>
  <si>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</si>
  <si>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</si>
  <si>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</si>
  <si>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</si>
  <si>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</si>
  <si>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</si>
  <si>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</si>
  <si>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</si>
  <si>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</si>
  <si>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</si>
  <si>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</si>
  <si>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</si>
  <si>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</si>
  <si>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</si>
  <si>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</si>
  <si>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</si>
  <si>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</si>
  <si>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</si>
  <si>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</si>
  <si>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</si>
  <si>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</si>
  <si>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</si>
  <si>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</si>
  <si>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</si>
  <si>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</si>
  <si>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</si>
  <si>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</si>
  <si>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</si>
  <si>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</si>
  <si>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</si>
  <si>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</si>
  <si>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</si>
  <si>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</si>
  <si>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</si>
  <si>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</si>
  <si>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</si>
  <si>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</si>
  <si>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</si>
  <si>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</si>
  <si>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</si>
  <si>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</si>
  <si>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</si>
  <si>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</si>
  <si>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</si>
  <si>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</si>
  <si>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</si>
  <si>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</si>
  <si>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</si>
  <si>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</si>
  <si>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</si>
  <si>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</si>
  <si>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</si>
  <si>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</si>
  <si>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</si>
  <si>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</si>
  <si>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</si>
  <si>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</si>
  <si>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</si>
  <si>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</si>
  <si>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</si>
  <si>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</si>
  <si>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</si>
  <si>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</si>
  <si>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</si>
  <si>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</si>
  <si>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</si>
  <si>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</si>
  <si>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</si>
  <si>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</si>
  <si>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</si>
  <si>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</si>
  <si>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</si>
  <si>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</si>
  <si>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</si>
  <si>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</si>
  <si>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</si>
  <si>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</si>
  <si>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</si>
  <si>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</si>
  <si>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</si>
  <si>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</si>
  <si>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</si>
  <si>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</si>
  <si>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</si>
  <si>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</si>
  <si>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</si>
  <si>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</si>
  <si>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</si>
  <si>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</si>
  <si>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</si>
  <si>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</si>
  <si>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</si>
  <si>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</si>
  <si>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</si>
  <si>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</si>
  <si>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</si>
  <si>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</si>
  <si>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</si>
  <si>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</si>
  <si>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</si>
  <si>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</si>
  <si>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</si>
  <si>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</si>
  <si>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</si>
  <si>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</si>
  <si>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</si>
  <si>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</si>
  <si>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</si>
  <si>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</si>
  <si>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</si>
  <si>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</si>
  <si>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</si>
  <si>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</si>
  <si>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</si>
  <si>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</si>
  <si>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</si>
  <si>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</si>
  <si>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</si>
  <si>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</si>
  <si>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</si>
  <si>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</si>
  <si>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</si>
  <si>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</si>
  <si>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</si>
  <si>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</si>
  <si>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</si>
  <si>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</si>
  <si>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</si>
  <si>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</si>
  <si>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</si>
  <si>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</si>
  <si>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</si>
  <si>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</si>
  <si>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</si>
  <si>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</si>
  <si>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</si>
  <si>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</si>
  <si>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</si>
  <si>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</si>
  <si>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</si>
  <si>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</si>
  <si>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</si>
  <si>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</si>
  <si>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</si>
  <si>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</si>
  <si>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</si>
  <si>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</si>
  <si>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</si>
  <si>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</si>
  <si>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</si>
  <si>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</si>
  <si>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</si>
  <si>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</si>
  <si>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</si>
  <si>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</si>
  <si>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</si>
  <si>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</si>
  <si>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</si>
  <si>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</si>
  <si>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</si>
  <si>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</si>
  <si>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</si>
  <si>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</si>
  <si>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</si>
  <si>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</si>
  <si>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</si>
  <si>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</si>
  <si>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</si>
  <si>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</si>
  <si>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</si>
  <si>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</si>
  <si>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</si>
  <si>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</si>
  <si>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</si>
  <si>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</si>
  <si>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</si>
  <si>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</si>
  <si>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</si>
  <si>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</si>
  <si>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</si>
  <si>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</si>
  <si>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</si>
  <si>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</si>
  <si>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</si>
  <si>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</si>
  <si>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</si>
  <si>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</si>
  <si>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</si>
  <si>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</si>
  <si>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</si>
  <si>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</si>
  <si>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</si>
  <si>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</si>
  <si>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</si>
  <si>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</si>
  <si>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</si>
  <si>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</si>
  <si>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</si>
  <si>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</si>
  <si>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</si>
  <si>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</si>
  <si>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</si>
  <si>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</si>
  <si>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</si>
  <si>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</si>
  <si>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</si>
  <si>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</si>
  <si>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</si>
  <si>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</si>
  <si>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</si>
  <si>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</si>
  <si>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</si>
  <si>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</si>
  <si>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</si>
  <si>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</si>
  <si>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</si>
  <si>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</si>
  <si>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</si>
  <si>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</si>
  <si>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</si>
  <si>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</si>
  <si>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</si>
  <si>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</si>
  <si>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</si>
  <si>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</si>
  <si>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</si>
  <si>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</si>
  <si>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</si>
  <si>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</si>
  <si>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</si>
  <si>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</si>
  <si>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</si>
  <si>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</si>
  <si>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</si>
  <si>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</si>
  <si>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</si>
  <si>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</si>
  <si>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</si>
  <si>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</si>
  <si>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</si>
  <si>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</si>
  <si>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</si>
  <si>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</si>
  <si>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</si>
  <si>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Zubaida Associate</t>
  </si>
  <si>
    <t>Address: Attari Darbar Ferozpur Road</t>
  </si>
  <si>
    <t>NTN #: 4269497-3</t>
  </si>
  <si>
    <t>Zubaida Traders</t>
  </si>
  <si>
    <t>Invoice No # :6154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</si>
</sst>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3" xfId="0" applyBorder="1"/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515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f ca="1">TODAY()</f>
        <v>46317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>Zubaida Associate</v>
      </c>
      <c r="T3" s="301">
        <f>+'1'!P35</f>
        <v>339655.14131949149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Zubaida Associate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Zubaida Associate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Zubaida Associate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400</v>
      </c>
      <c r="I7" s="235">
        <f>(G7*D7)*F7+H7*F7</f>
        <v>20985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3777.2999999999997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17207.7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3966.1016949152527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105.86900847457626</v>
      </c>
      <c r="P7" s="310">
        <f>M7+N7+O7</f>
        <v>21279.670703389827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Zubaida Associate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400</v>
      </c>
      <c r="I8" s="236">
        <f t="shared" ref="I8:I14" si="0">(G8*D8)*F8+H8*F8</f>
        <v>20985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3777.2999999999997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17207.7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3966.1016949152527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105.86900847457626</v>
      </c>
      <c r="P8" s="311">
        <f t="shared" ref="P8:P15" si="2">M8+N8+O8</f>
        <v>21279.670703389827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Zubaida Associate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600</v>
      </c>
      <c r="I9" s="236">
        <f t="shared" si="0"/>
        <v>31477.5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5665.95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25811.55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5949.152542372879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158.80351271186439</v>
      </c>
      <c r="P9" s="311">
        <f t="shared" si="2"/>
        <v>31919.506055084741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Zubaida Associate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600</v>
      </c>
      <c r="I10" s="236">
        <f t="shared" si="0"/>
        <v>43584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7845.12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35738.879999999997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8237.2881355932204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219.88084067796609</v>
      </c>
      <c r="P10" s="311">
        <f t="shared" si="2"/>
        <v>44196.04897627118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Zubaida Associate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1000</v>
      </c>
      <c r="I11" s="236">
        <f t="shared" si="0"/>
        <v>72640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13075.199999999999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59564.800000000003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13728.813559322034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366.46806779661023</v>
      </c>
      <c r="P11" s="311">
        <f t="shared" si="2"/>
        <v>73660.081627118649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Zubaida Associate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2000</v>
      </c>
      <c r="I12" s="236">
        <f t="shared" si="0"/>
        <v>145280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26150.399999999998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119129.60000000001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27457.627118644068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732.93613559322046</v>
      </c>
      <c r="P12" s="311">
        <f t="shared" si="2"/>
        <v>147320.1632542373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Zubaida Associate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Zubaida Associate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Zubaida Associate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Zubaida Associate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125</v>
      </c>
      <c r="H16" s="113">
        <f t="shared" ref="H16:M16" si="3">SUM(H7:H15)</f>
        <v>5000</v>
      </c>
      <c r="I16" s="114">
        <f t="shared" si="3"/>
        <v>334951.5</v>
      </c>
      <c r="J16" s="274">
        <f>SUM(J7:J15)</f>
        <v>60291.26999999999</v>
      </c>
      <c r="K16" s="275">
        <f t="shared" si="3"/>
        <v>0</v>
      </c>
      <c r="L16" s="276">
        <f t="shared" si="3"/>
        <v>0</v>
      </c>
      <c r="M16" s="232">
        <f t="shared" si="3"/>
        <v>274660.23</v>
      </c>
      <c r="N16" s="233">
        <f>SUM(N7:N15)</f>
        <v>63305.08474576271</v>
      </c>
      <c r="O16" s="101">
        <f>SUM(O7:O15)</f>
        <v>1689.8265737288139</v>
      </c>
      <c r="P16" s="113">
        <f>SUM(P7:P15)</f>
        <v>339655.14131949155</v>
      </c>
      <c r="Q16" s="128">
        <f>SUM(Q7:Q15)</f>
        <v>0</v>
      </c>
      <c r="R16" s="314">
        <v>14</v>
      </c>
      <c r="S16" s="300" t="str">
        <f>+'14'!A6:A6</f>
        <v>Zubaida Associate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Zubaida Associate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Zubaida Associate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334951.5</v>
      </c>
      <c r="R19" s="299">
        <v>17</v>
      </c>
      <c r="S19" s="300" t="str">
        <f>+'17'!A6:A6</f>
        <v>Zubaida Associate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60291.26999999999</v>
      </c>
      <c r="R20" s="299">
        <v>18</v>
      </c>
      <c r="S20" s="300" t="str">
        <f>+'18'!A6:A6</f>
        <v>Zubaida Associate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0</v>
      </c>
      <c r="R21" s="299">
        <v>19</v>
      </c>
      <c r="S21" s="300" t="str">
        <f>+'19'!A6:A6</f>
        <v>Zubaida Associate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274660.23</v>
      </c>
      <c r="R22" s="299">
        <v>20</v>
      </c>
      <c r="S22" s="300" t="str">
        <f>+'20'!A6:A6</f>
        <v>Zubaida Associate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63305.08474576271</v>
      </c>
      <c r="R23" s="299">
        <v>21</v>
      </c>
      <c r="S23" s="300" t="str">
        <f>+'21'!A6:A6</f>
        <v>Zubaida Associate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337965.31474576268</v>
      </c>
      <c r="R24" s="299">
        <v>22</v>
      </c>
      <c r="S24" s="300" t="str">
        <f>+'22'!A6:A6</f>
        <v>Zubaida Associate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1689.8265737288139</v>
      </c>
      <c r="R25" s="299">
        <v>23</v>
      </c>
      <c r="S25" s="300" t="str">
        <f>+'23'!A6:A6</f>
        <v>Zubaida Associate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339655.14131949149</v>
      </c>
      <c r="R26" s="299">
        <v>24</v>
      </c>
      <c r="S26" s="300" t="str">
        <f>+'24'!A6:A6</f>
        <v>Zubaida Associate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>Zubaida Associate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Zubaida Associate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Zubaida Associate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Zubaida Associate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Zubaida Associate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Zubaida Associate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339655.14131949149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0" width="8.36328125" bestFit="1" customWidth="1"/>
    <col min="11" max="11" width="7.36328125" bestFit="1" customWidth="1"/>
    <col min="12" max="12" width="4.36328125" bestFit="1" customWidth="1"/>
    <col min="13" max="13" width="6.81640625" bestFit="1" customWidth="1"/>
    <col min="14" max="14" width="8.36328125" style="61" bestFit="1" customWidth="1"/>
    <col min="15" max="15" width="9.26953125" customWidth="1"/>
    <col min="16" max="16" width="10.54296875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516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46316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46315</v>
      </c>
      <c r="O5" s="371"/>
      <c r="P5" s="371"/>
      <c r="R5" s="85"/>
      <c r="S5" s="266"/>
    </row>
    <row r="6" spans="1:22 16383:16384" ht="17.2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500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8" t="s">
        <v>507</v>
      </c>
      <c r="XFD14" t="s">
        <v>106</v>
      </c>
    </row>
    <row r="15" spans="1:22 16383:16384" ht="3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7">
        <v>0.18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8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400</v>
      </c>
      <c r="I16" s="235">
        <f>(G16*D16)*F16+H16*F16</f>
        <v>20985</v>
      </c>
      <c r="J16" s="271">
        <f>$I16*S16</f>
        <v>3777.2999999999997</v>
      </c>
      <c r="K16" s="127">
        <f>$I16*T16</f>
        <v>0</v>
      </c>
      <c r="L16" s="118">
        <f>$I16*U16</f>
        <v>0</v>
      </c>
      <c r="M16" s="229">
        <f>I16-SUM(J16:L16)</f>
        <v>17207.7</v>
      </c>
      <c r="N16" s="248">
        <f>+(G16*D16+H16)*V16</f>
        <v>3966.1016949152527</v>
      </c>
      <c r="O16" s="238">
        <f>(N16+M16)*$O$15</f>
        <v>105.86900847457626</v>
      </c>
      <c r="P16" s="118">
        <f>M16+N16+O16</f>
        <v>21279.670703389827</v>
      </c>
      <c r="Q16" s="320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400</v>
      </c>
      <c r="I17" s="236">
        <f t="shared" ref="I17:I23" si="0">(G17*D17)*F17+H17*F17</f>
        <v>20985</v>
      </c>
      <c r="J17" s="272">
        <f t="shared" ref="J17:L24" si="1">$I17*S17</f>
        <v>3777.2999999999997</v>
      </c>
      <c r="K17" s="128">
        <f>$I17*T17</f>
        <v>0</v>
      </c>
      <c r="L17" s="119">
        <f>$I17*U17</f>
        <v>0</v>
      </c>
      <c r="M17" s="230">
        <f t="shared" ref="M17:M24" si="2">I17-SUM(J17:L17)</f>
        <v>17207.7</v>
      </c>
      <c r="N17" s="277">
        <f t="shared" ref="N17:N24" si="3">+(G17*D17+H17)*V17</f>
        <v>3966.1016949152527</v>
      </c>
      <c r="O17" s="239">
        <f t="shared" ref="O17:O24" si="4">(N17+M17)*$O$15</f>
        <v>105.86900847457626</v>
      </c>
      <c r="P17" s="119">
        <f t="shared" ref="P17:P24" si="5">M17+N17+O17</f>
        <v>21279.670703389827</v>
      </c>
      <c r="Q17" s="321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600</v>
      </c>
      <c r="I18" s="236">
        <f t="shared" ref="I18:I21" si="7">(G18*D18)*F18+H18*F18</f>
        <v>31477.5</v>
      </c>
      <c r="J18" s="272">
        <f t="shared" si="1"/>
        <v>5665.95</v>
      </c>
      <c r="K18" s="128">
        <f t="shared" si="1"/>
        <v>0</v>
      </c>
      <c r="L18" s="119">
        <f t="shared" si="1"/>
        <v>0</v>
      </c>
      <c r="M18" s="230">
        <f t="shared" si="2"/>
        <v>25811.55</v>
      </c>
      <c r="N18" s="277">
        <f t="shared" si="3"/>
        <v>5949.152542372879</v>
      </c>
      <c r="O18" s="239">
        <f t="shared" si="4"/>
        <v>158.80351271186439</v>
      </c>
      <c r="P18" s="119">
        <f t="shared" si="5"/>
        <v>31919.506055084741</v>
      </c>
      <c r="Q18" s="321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600</v>
      </c>
      <c r="I19" s="236">
        <f t="shared" si="7"/>
        <v>43584</v>
      </c>
      <c r="J19" s="272">
        <f t="shared" si="1"/>
        <v>7845.12</v>
      </c>
      <c r="K19" s="128">
        <f t="shared" si="1"/>
        <v>0</v>
      </c>
      <c r="L19" s="119">
        <f t="shared" si="1"/>
        <v>0</v>
      </c>
      <c r="M19" s="230">
        <f t="shared" si="2"/>
        <v>35738.879999999997</v>
      </c>
      <c r="N19" s="277">
        <f t="shared" si="3"/>
        <v>8237.2881355932204</v>
      </c>
      <c r="O19" s="239">
        <f t="shared" si="4"/>
        <v>219.88084067796609</v>
      </c>
      <c r="P19" s="119">
        <f t="shared" si="5"/>
        <v>44196.04897627118</v>
      </c>
      <c r="Q19" s="321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1000</v>
      </c>
      <c r="I20" s="236">
        <f t="shared" si="7"/>
        <v>72640</v>
      </c>
      <c r="J20" s="272">
        <f t="shared" si="1"/>
        <v>13075.199999999999</v>
      </c>
      <c r="K20" s="128">
        <f t="shared" si="1"/>
        <v>0</v>
      </c>
      <c r="L20" s="119">
        <f t="shared" si="1"/>
        <v>0</v>
      </c>
      <c r="M20" s="230">
        <f t="shared" si="2"/>
        <v>59564.800000000003</v>
      </c>
      <c r="N20" s="277">
        <f t="shared" si="3"/>
        <v>13728.813559322034</v>
      </c>
      <c r="O20" s="239">
        <f t="shared" si="4"/>
        <v>366.46806779661023</v>
      </c>
      <c r="P20" s="119">
        <f t="shared" si="5"/>
        <v>73660.081627118649</v>
      </c>
      <c r="Q20" s="321"/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2000</v>
      </c>
      <c r="I21" s="236">
        <f t="shared" si="7"/>
        <v>145280</v>
      </c>
      <c r="J21" s="272">
        <f t="shared" si="1"/>
        <v>26150.399999999998</v>
      </c>
      <c r="K21" s="128">
        <f t="shared" si="1"/>
        <v>0</v>
      </c>
      <c r="L21" s="119">
        <f t="shared" si="1"/>
        <v>0</v>
      </c>
      <c r="M21" s="230">
        <f t="shared" si="2"/>
        <v>119129.60000000001</v>
      </c>
      <c r="N21" s="277">
        <f t="shared" si="3"/>
        <v>27457.627118644068</v>
      </c>
      <c r="O21" s="239">
        <f t="shared" si="4"/>
        <v>732.93613559322046</v>
      </c>
      <c r="P21" s="119">
        <f t="shared" si="5"/>
        <v>147320.1632542373</v>
      </c>
      <c r="Q21" s="321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1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5000</v>
      </c>
      <c r="I25" s="114">
        <f t="shared" ref="I25:M25" si="10">SUM(I16:I24)</f>
        <v>334951.5</v>
      </c>
      <c r="J25" s="274">
        <f>SUM(J16:J24)</f>
        <v>60291.26999999999</v>
      </c>
      <c r="K25" s="275">
        <f t="shared" si="10"/>
        <v>0</v>
      </c>
      <c r="L25" s="276">
        <f t="shared" si="10"/>
        <v>0</v>
      </c>
      <c r="M25" s="232">
        <f t="shared" si="10"/>
        <v>274660.23</v>
      </c>
      <c r="N25" s="233">
        <f>SUM(N16:N24)</f>
        <v>63305.08474576271</v>
      </c>
      <c r="O25" s="101">
        <f>SUM(O16:O24)</f>
        <v>1689.8265737288139</v>
      </c>
      <c r="P25" s="234">
        <f>SUM(P16:P24)</f>
        <v>339655.14131949155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334951.5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60291.26999999999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274660.23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63305.08474576271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337965.31474576268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1689.8265737288134</v>
      </c>
    </row>
    <row r="35" spans="2:16" ht="15.75" customHeight="1" thickBot="1" x14ac:dyDescent="0.4">
      <c r="N35" s="346" t="s">
        <v>88</v>
      </c>
      <c r="O35" s="347"/>
      <c r="P35" s="297">
        <f>+P33+P34</f>
        <v>339655.14131949149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502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46242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46241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46318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46317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2026-10-22T05:18:52Z</dcterms:modified>
</cp:coreProperties>
</file>