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74CBD2F-168F-4884-B432-ADE94A84CE2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20" i="53"/>
  <c r="O20" i="53" s="1"/>
  <c r="P20" i="53" s="1"/>
  <c r="M18" i="53"/>
  <c r="O18" i="53" s="1"/>
  <c r="P18" i="53" s="1"/>
  <c r="M21" i="52"/>
  <c r="O21" i="52" s="1"/>
  <c r="P21" i="52" s="1"/>
  <c r="M21" i="51"/>
  <c r="M20" i="50"/>
  <c r="O20" i="50" s="1"/>
  <c r="P20" i="50" s="1"/>
  <c r="M16" i="48"/>
  <c r="K12" i="62"/>
  <c r="M21" i="47"/>
  <c r="O21" i="47" s="1"/>
  <c r="P21" i="47" s="1"/>
  <c r="M20" i="47"/>
  <c r="O20" i="47" s="1"/>
  <c r="P20" i="47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O25" i="52"/>
  <c r="P12" i="6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<sst xmlns="http://schemas.openxmlformats.org/spreadsheetml/2006/main" count="3948" uniqueCount="534">
  <si>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</si>
  <si>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</si>
  <si>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</si>
  <si>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</si>
  <si>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</si>
  <si>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</si>
  <si>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</si>
  <si>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</si>
  <si>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</si>
  <si>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</si>
  <si>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</si>
  <si>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</si>
  <si>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</si>
  <si>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</si>
  <si>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</si>
  <si>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</si>
  <si>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</si>
  <si>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</si>
  <si>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</si>
  <si>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</si>
  <si>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</si>
  <si>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</si>
  <si>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</si>
  <si>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</si>
  <si>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</si>
  <si>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</si>
  <si>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</si>
  <si>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</si>
  <si>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</si>
  <si>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</si>
  <si>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</si>
  <si>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</si>
  <si>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</si>
  <si>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</si>
  <si>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</si>
  <si>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</si>
  <si>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</si>
  <si>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</si>
  <si>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</si>
  <si>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</si>
  <si>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</si>
  <si>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</si>
  <si>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</si>
  <si>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</si>
  <si>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</si>
  <si>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</si>
  <si>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</si>
  <si>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</si>
  <si>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</si>
  <si>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</si>
  <si>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</si>
  <si>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</si>
  <si>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</si>
  <si>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</si>
  <si>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</si>
  <si>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</si>
  <si>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</si>
  <si>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</si>
  <si>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</si>
  <si>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</si>
  <si>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</si>
  <si>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</si>
  <si>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</si>
  <si>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</si>
  <si>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</si>
  <si>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</si>
  <si>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</si>
  <si>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</si>
  <si>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</si>
  <si>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</si>
  <si>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</si>
  <si>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</si>
  <si>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</si>
  <si>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</si>
  <si>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</si>
  <si>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</si>
  <si>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</si>
  <si>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</si>
  <si>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</si>
  <si>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</si>
  <si>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</si>
  <si>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</si>
  <si>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</si>
  <si>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</si>
  <si>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</si>
  <si>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</si>
  <si>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</si>
  <si>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</si>
  <si>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</si>
  <si>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</si>
  <si>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</si>
  <si>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</si>
  <si>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</si>
  <si>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</si>
  <si>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</si>
  <si>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</si>
  <si>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</si>
  <si>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</si>
  <si>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</si>
  <si>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</si>
  <si>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</si>
  <si>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</si>
  <si>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</si>
  <si>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</si>
  <si>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</si>
  <si>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</si>
  <si>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</si>
  <si>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</si>
  <si>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</si>
  <si>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</si>
  <si>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</si>
  <si>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</si>
  <si>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</si>
  <si>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</si>
  <si>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</si>
  <si>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</si>
  <si>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</si>
  <si>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</si>
  <si>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</si>
  <si>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</si>
  <si>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</si>
  <si>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</si>
  <si>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</si>
  <si>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</si>
  <si>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</si>
  <si>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</si>
  <si>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</si>
  <si>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</si>
  <si>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</si>
  <si>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</si>
  <si>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</si>
  <si>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</si>
  <si>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</si>
  <si>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</si>
  <si>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</si>
  <si>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</si>
  <si>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</si>
  <si>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</si>
  <si>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</si>
  <si>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</si>
  <si>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</si>
  <si>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</si>
  <si>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</si>
  <si>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</si>
  <si>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</si>
  <si>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</si>
  <si>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</si>
  <si>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</si>
  <si>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</si>
  <si>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</si>
  <si>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</si>
  <si>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</si>
  <si>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</si>
  <si>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</si>
  <si>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</si>
  <si>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</si>
  <si>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</si>
  <si>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</si>
  <si>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</si>
  <si>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</si>
  <si>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</si>
  <si>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</si>
  <si>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</si>
  <si>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</si>
  <si>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</si>
  <si>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</si>
  <si>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</si>
  <si>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</si>
  <si>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</si>
  <si>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</si>
  <si>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</si>
  <si>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</si>
  <si>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</si>
  <si>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</si>
  <si>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</si>
  <si>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</si>
  <si>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</si>
  <si>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</si>
  <si>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</si>
  <si>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</si>
  <si>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</si>
  <si>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</si>
  <si>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</si>
  <si>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</si>
  <si>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</si>
  <si>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</si>
  <si>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</si>
  <si>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</si>
  <si>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</si>
  <si>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</si>
  <si>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</si>
  <si>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</si>
  <si>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</si>
  <si>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</si>
  <si>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</si>
  <si>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</si>
  <si>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</si>
  <si>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</si>
  <si>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</si>
  <si>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</si>
  <si>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</si>
  <si>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</si>
  <si>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</si>
  <si>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</si>
  <si>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</si>
  <si>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</si>
  <si>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</si>
  <si>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</si>
  <si>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</si>
  <si>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</si>
  <si>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</si>
  <si>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</si>
  <si>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</si>
  <si>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</si>
  <si>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</si>
  <si>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</si>
  <si>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</si>
  <si>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</si>
  <si>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</si>
  <si>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</si>
  <si>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</si>
  <si>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</si>
  <si>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</si>
  <si>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</si>
  <si>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</si>
  <si>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</si>
  <si>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</si>
  <si>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</si>
  <si>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</si>
  <si>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</si>
  <si>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</si>
  <si>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</si>
  <si>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</si>
  <si>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</si>
  <si>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</si>
  <si>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</si>
  <si>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</si>
  <si>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</si>
  <si>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</si>
  <si>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</si>
  <si>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</si>
  <si>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</si>
  <si>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</si>
  <si>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</si>
  <si>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</si>
  <si>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</si>
  <si>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</si>
  <si>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</si>
  <si>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</si>
  <si>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</si>
  <si>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</si>
  <si>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</si>
  <si>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</si>
  <si>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</si>
  <si>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</si>
  <si>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</si>
  <si>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</si>
  <si>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</si>
  <si>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</si>
  <si>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</si>
  <si>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</si>
  <si>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</si>
  <si>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</si>
  <si>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</si>
  <si>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</si>
  <si>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</si>
  <si>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</si>
  <si>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</si>
  <si>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</si>
  <si>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</si>
  <si>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</si>
  <si>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</si>
  <si>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</si>
  <si>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</si>
  <si>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</si>
  <si>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</si>
  <si>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</si>
  <si>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</si>
  <si>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</si>
  <si>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</si>
  <si>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</si>
  <si>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</si>
  <si>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</si>
  <si>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</si>
  <si>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</si>
  <si>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</si>
  <si>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</si>
  <si>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</si>
  <si>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</si>
  <si>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</si>
  <si>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</si>
  <si>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</si>
  <si>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</si>
  <si>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</si>
  <si>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</si>
  <si>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</si>
  <si>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</si>
  <si>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</si>
  <si>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</si>
  <si>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</si>
  <si>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</si>
  <si>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</si>
  <si>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</si>
  <si>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</si>
  <si>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</si>
  <si>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</si>
  <si>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</si>
  <si>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</si>
  <si>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</si>
  <si>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</si>
  <si>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</si>
  <si>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</si>
  <si>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</si>
  <si>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</si>
  <si>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</si>
  <si>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</si>
  <si>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</si>
  <si>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</si>
  <si>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</si>
  <si>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</si>
  <si>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</si>
  <si>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</si>
  <si>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</si>
  <si>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</si>
  <si>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</si>
  <si>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</si>
  <si>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</si>
  <si>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</si>
  <si>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</si>
  <si>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</si>
  <si>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</si>
  <si>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</si>
  <si>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</si>
  <si>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</si>
  <si>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</si>
  <si>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</si>
  <si>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</si>
  <si>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</si>
  <si>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</si>
  <si>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</si>
  <si>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</si>
  <si>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</si>
  <si>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</si>
  <si>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</si>
  <si>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</si>
  <si>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</si>
  <si>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</si>
  <si>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</si>
  <si>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</si>
  <si>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</si>
  <si>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</si>
  <si>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</si>
  <si>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</si>
  <si>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</si>
  <si>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</si>
  <si>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</si>
  <si>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</si>
  <si>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</si>
  <si>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</si>
  <si>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</si>
  <si>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</si>
  <si>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</si>
  <si>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</si>
  <si>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</si>
  <si>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</si>
  <si>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</si>
  <si>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</si>
  <si>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</si>
  <si>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</si>
  <si>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</si>
  <si>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</si>
  <si>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</si>
  <si>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</si>
  <si>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</si>
  <si>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</si>
  <si>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</si>
  <si>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</si>
  <si>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</si>
  <si>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</si>
  <si>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</si>
  <si>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</si>
  <si>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</si>
  <si>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</si>
  <si>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</si>
  <si>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</si>
  <si>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</si>
  <si>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</si>
  <si>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</si>
  <si>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</si>
  <si>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</si>
  <si>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</si>
  <si>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</si>
  <si>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</si>
  <si>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</si>
  <si>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</si>
  <si>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</si>
  <si>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</si>
  <si>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</si>
  <si>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</si>
  <si>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</si>
  <si>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</si>
  <si>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</si>
  <si>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</si>
  <si>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</si>
  <si>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</si>
  <si>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</si>
  <si>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</si>
  <si>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</si>
  <si>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</si>
  <si>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</si>
  <si>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</si>
  <si>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</si>
  <si>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</si>
  <si>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</si>
  <si>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</si>
  <si>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</si>
  <si>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</si>
  <si>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</si>
  <si>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</si>
  <si>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</si>
  <si>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</si>
  <si>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</si>
  <si>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</si>
  <si>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</si>
  <si>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</si>
  <si>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</si>
  <si>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</si>
  <si>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</si>
  <si>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</si>
  <si>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</si>
  <si>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</si>
  <si>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</si>
  <si>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</si>
  <si>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</si>
  <si>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</si>
  <si>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</si>
  <si>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</si>
  <si>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</si>
  <si>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</si>
  <si>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</si>
  <si>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</si>
  <si>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</si>
  <si>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</si>
  <si>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</si>
  <si>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</si>
  <si>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</si>
  <si>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</si>
  <si>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</si>
  <si>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</si>
  <si>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</si>
  <si>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</si>
  <si>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</si>
  <si>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</si>
  <si>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</si>
  <si>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</si>
  <si>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</si>
  <si>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</si>
  <si>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</si>
  <si>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</si>
  <si>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</si>
  <si>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</si>
  <si>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</si>
  <si>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</si>
  <si>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</si>
  <si>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</si>
  <si>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</si>
  <si>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</si>
  <si>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</si>
  <si>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</si>
  <si>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</si>
  <si>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</si>
  <si>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</si>
  <si>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</si>
  <si>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</si>
  <si>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</si>
  <si>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</si>
  <si>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</si>
  <si>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</si>
  <si>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</si>
  <si>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</si>
  <si>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</si>
  <si>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</si>
  <si>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</si>
  <si>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</si>
  <si>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</si>
  <si>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</si>
  <si>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</si>
  <si>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</si>
  <si>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</si>
  <si>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</si>
  <si>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</si>
  <si>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</si>
  <si>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</si>
  <si>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</si>
  <si>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</si>
  <si>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</si>
  <si>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</si>
  <si>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</si>
  <si>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</si>
  <si>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</si>
  <si>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</si>
  <si>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</si>
  <si>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</si>
  <si>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</si>
  <si>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</si>
  <si>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</si>
  <si>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</si>
  <si>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</si>
  <si>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</si>
  <si>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</si>
  <si>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</si>
  <si>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</si>
  <si>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</si>
  <si>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</si>
  <si>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</si>
  <si>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SM Store</t>
  </si>
  <si>
    <t xml:space="preserve">Address: Guru Mangat </t>
  </si>
  <si>
    <t xml:space="preserve">Fatima Mini Mart </t>
  </si>
  <si>
    <t xml:space="preserve">Address: Main Market Gullberg </t>
  </si>
  <si>
    <t>Bake And Bite</t>
  </si>
  <si>
    <t xml:space="preserve">Umer Bakery </t>
  </si>
  <si>
    <t xml:space="preserve">Manchiz Mart </t>
  </si>
  <si>
    <t xml:space="preserve">Peer Cash &amp; Carry </t>
  </si>
  <si>
    <t>Address: Zahoor Ilahi Store</t>
  </si>
  <si>
    <t>Hikma Super Store</t>
  </si>
  <si>
    <t>Address: Askari 5</t>
  </si>
  <si>
    <t>Sanwal Medical And GS</t>
  </si>
  <si>
    <t>Quality Store</t>
  </si>
  <si>
    <t xml:space="preserve">Kashmir Bakery </t>
  </si>
  <si>
    <t xml:space="preserve">Address: Gopal Nager </t>
  </si>
  <si>
    <t>Sawad Verity Store</t>
  </si>
  <si>
    <t>Address: Gopal Nager</t>
  </si>
  <si>
    <t>Bismillah Store</t>
  </si>
  <si>
    <t>NTN #:7087637-2 STRN:/ 3277876263643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</si>
</sst>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3" fontId="17" fillId="0" borderId="1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5" workbookViewId="0">
      <selection activeCell="H7" sqref="H7: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514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46316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SM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Fatima Mini Mart </v>
      </c>
      <c r="T4" s="301">
        <f>+'2'!P35</f>
        <v>453.01031656779651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Bake And Bite</v>
      </c>
      <c r="T5" s="301">
        <f>+'3'!P35</f>
        <v>2265.051582838983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Umer Bakery 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84</v>
      </c>
      <c r="I7" s="235">
        <f>(G7*D7)*F7+H7*F7</f>
        <v>4406.8499999999995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352.54799999999994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154.23975000000002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3900.0622499999995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832.88135593220306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23.664718029661017</v>
      </c>
      <c r="P7" s="310">
        <f>M7+N7+O7</f>
        <v>4756.6083239618638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21</v>
      </c>
      <c r="R7" s="313">
        <v>5</v>
      </c>
      <c r="S7" s="300" t="str">
        <f>+'5'!A6:A6</f>
        <v xml:space="preserve">Manchiz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48</v>
      </c>
      <c r="I8" s="236">
        <f t="shared" ref="I8:I14" si="0">(G8*D8)*F8+H8*F8</f>
        <v>2518.1999999999998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201.45599999999999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88.137000000000015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2228.607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475.93220338983031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13.522696016949151</v>
      </c>
      <c r="P8" s="311">
        <f t="shared" ref="P8:P15" si="2">M8+N8+O8</f>
        <v>2718.0618994067795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16</v>
      </c>
      <c r="R8" s="313">
        <v>6</v>
      </c>
      <c r="S8" s="300" t="str">
        <f>+'6'!A6:A6</f>
        <v xml:space="preserve">Peer Cash &amp; Carry </v>
      </c>
      <c r="T8" s="301">
        <f>+'6'!P35</f>
        <v>6969.3689604661022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74</v>
      </c>
      <c r="I9" s="236">
        <f t="shared" si="0"/>
        <v>3882.2249999999999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310.57799999999992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135.87787500000002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3435.7691249999998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733.72881355932168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20.847489692796611</v>
      </c>
      <c r="P9" s="311">
        <f t="shared" si="2"/>
        <v>4190.3454282521179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21</v>
      </c>
      <c r="R9" s="313">
        <v>7</v>
      </c>
      <c r="S9" s="300" t="str">
        <f>+'7'!A6:A6</f>
        <v>Hikma Super Store</v>
      </c>
      <c r="T9" s="301">
        <f>+'7'!P35</f>
        <v>1019.2732122775423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87</v>
      </c>
      <c r="I10" s="236">
        <f t="shared" si="0"/>
        <v>6319.68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563.68640000000005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221.18880000000001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5534.8047999999999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1194.406779661017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33.646057898305081</v>
      </c>
      <c r="P10" s="311">
        <f t="shared" si="2"/>
        <v>6762.857637559322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15</v>
      </c>
      <c r="R10" s="313">
        <v>8</v>
      </c>
      <c r="S10" s="300" t="str">
        <f>+'8'!A6:A6</f>
        <v>Sanwal Medical And GS</v>
      </c>
      <c r="T10" s="301">
        <f>+'8'!P35</f>
        <v>1359.0309497033895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88</v>
      </c>
      <c r="I11" s="236">
        <f t="shared" si="0"/>
        <v>6392.32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569.49760000000003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223.73120000000003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5599.0911999999998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1208.1355932203392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34.036133966101694</v>
      </c>
      <c r="P11" s="311">
        <f t="shared" si="2"/>
        <v>6841.2629271864407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Quality Store</v>
      </c>
      <c r="T11" s="301">
        <f>+'9'!P35</f>
        <v>940.86347552542372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93</v>
      </c>
      <c r="I12" s="236">
        <f t="shared" si="0"/>
        <v>6755.52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598.55359999999996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236.44320000000005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5920.5232000000005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1276.7796610169494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35.986514305084746</v>
      </c>
      <c r="P12" s="311">
        <f t="shared" si="2"/>
        <v>7233.2893753220342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15</v>
      </c>
      <c r="R12" s="313">
        <v>10</v>
      </c>
      <c r="S12" s="300" t="str">
        <f>+'10'!A6:A6</f>
        <v xml:space="preserve">Kashmir Bakery </v>
      </c>
      <c r="T12" s="301">
        <f>+'10'!P35</f>
        <v>4861.1368511313567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Sawad Verity Store</v>
      </c>
      <c r="T13" s="301">
        <f>+'11'!P35</f>
        <v>9233.4270752542379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Bismillah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11.85</v>
      </c>
      <c r="H16" s="113">
        <f t="shared" ref="H16:M16" si="3">SUM(H7:H15)</f>
        <v>474</v>
      </c>
      <c r="I16" s="114">
        <f t="shared" si="3"/>
        <v>30274.795000000002</v>
      </c>
      <c r="J16" s="274">
        <f>SUM(J7:J15)</f>
        <v>2596.3195999999998</v>
      </c>
      <c r="K16" s="275">
        <f t="shared" si="3"/>
        <v>1059.6178250000003</v>
      </c>
      <c r="L16" s="276">
        <f t="shared" si="3"/>
        <v>0</v>
      </c>
      <c r="M16" s="232">
        <f t="shared" si="3"/>
        <v>26618.857574999998</v>
      </c>
      <c r="N16" s="233">
        <f>SUM(N7:N15)</f>
        <v>5721.8644067796613</v>
      </c>
      <c r="O16" s="101">
        <f>SUM(O7:O15)</f>
        <v>161.7036099088983</v>
      </c>
      <c r="P16" s="113">
        <f>SUM(P7:P15)</f>
        <v>32502.42559168856</v>
      </c>
      <c r="Q16" s="128">
        <f>SUM(Q7:Q15)</f>
        <v>98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30274.795000000002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2596.3195999999998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1059.6178250000003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26618.857575000002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5721.8644067796613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32340.721981779665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161.7036099088983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32502.425591688563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32502.42559168856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Summary!H3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7.2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73.447500000000019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2098.5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167.88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73.447500000000019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1857.1724999999999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2253.7826694915252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5" t="s">
        <v>88</v>
      </c>
      <c r="O35" s="376"/>
      <c r="P35" s="297">
        <f>+P33+P34</f>
        <v>2265.051582838983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517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518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8</v>
      </c>
      <c r="I25" s="114">
        <f t="shared" si="7"/>
        <v>419.7</v>
      </c>
      <c r="J25" s="274">
        <f>SUM(J16:J24)</f>
        <v>33.576000000000001</v>
      </c>
      <c r="K25" s="275">
        <f t="shared" si="7"/>
        <v>14.689500000000001</v>
      </c>
      <c r="L25" s="276">
        <f t="shared" si="7"/>
        <v>0</v>
      </c>
      <c r="M25" s="232">
        <f t="shared" si="7"/>
        <v>371.43449999999996</v>
      </c>
      <c r="N25" s="233">
        <f>SUM(N16:N24)</f>
        <v>79.322033898305051</v>
      </c>
      <c r="O25" s="101">
        <f>SUM(O16:O24)</f>
        <v>2.2537826694915251</v>
      </c>
      <c r="P25" s="234">
        <f>SUM(P16:P24)</f>
        <v>453.01031656779651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419.7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33.576000000000001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14.689500000000001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371.43449999999996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79.322033898305051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450.75653389830501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2.2537826694915251</v>
      </c>
    </row>
    <row r="35" spans="2:16" ht="15.75" customHeight="1" thickBot="1" x14ac:dyDescent="0.4">
      <c r="N35" s="375" t="s">
        <v>88</v>
      </c>
      <c r="O35" s="376"/>
      <c r="P35" s="297">
        <f>+P33+P34</f>
        <v>453.01031656779651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8.75" customHeight="1" x14ac:dyDescent="0.4">
      <c r="A6" s="401" t="s">
        <v>519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2098.5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167.88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73.447500000000019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1857.1724999999999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2253.7826694915252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5" t="s">
        <v>88</v>
      </c>
      <c r="O35" s="376"/>
      <c r="P35" s="297">
        <f>+P33+P34</f>
        <v>2265.051582838983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520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2905.6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232.44799999999998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101.696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2571.4560000000001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3120.6085423728814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5" t="s">
        <v>88</v>
      </c>
      <c r="O35" s="376"/>
      <c r="P35" s="297">
        <f>+P33+P34</f>
        <v>3136.2115850847458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16" sqref="H16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521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2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522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533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100</v>
      </c>
      <c r="I25" s="114">
        <f t="shared" si="7"/>
        <v>6456.9000000000005</v>
      </c>
      <c r="J25" s="274">
        <f>SUM(J16:J24)</f>
        <v>516.55200000000002</v>
      </c>
      <c r="K25" s="275">
        <f t="shared" si="7"/>
        <v>225.99150000000003</v>
      </c>
      <c r="L25" s="276">
        <f t="shared" si="7"/>
        <v>0</v>
      </c>
      <c r="M25" s="232">
        <f t="shared" si="7"/>
        <v>5714.3565000000008</v>
      </c>
      <c r="N25" s="233">
        <f>SUM(N16:N24)</f>
        <v>1220.3389830508472</v>
      </c>
      <c r="O25" s="101">
        <f>SUM(O16:O24)</f>
        <v>34.673477415254233</v>
      </c>
      <c r="P25" s="234">
        <f>SUM(P16:P24)</f>
        <v>6969.3689604661022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6456.9000000000005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516.55200000000002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225.99150000000003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5714.3565000000008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1220.3389830508472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6934.6954830508475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34.67347741525424</v>
      </c>
    </row>
    <row r="35" spans="2:16" ht="15.75" customHeight="1" thickBot="1" x14ac:dyDescent="0.4">
      <c r="N35" s="375" t="s">
        <v>88</v>
      </c>
      <c r="O35" s="376"/>
      <c r="P35" s="297">
        <f>+P33+P34</f>
        <v>6969.3689604661022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524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18</v>
      </c>
      <c r="I25" s="114">
        <f t="shared" si="7"/>
        <v>944.32499999999993</v>
      </c>
      <c r="J25" s="274">
        <f>SUM(J16:J24)</f>
        <v>75.545999999999992</v>
      </c>
      <c r="K25" s="275">
        <f t="shared" si="7"/>
        <v>33.051375</v>
      </c>
      <c r="L25" s="276">
        <f t="shared" si="7"/>
        <v>0</v>
      </c>
      <c r="M25" s="232">
        <f t="shared" si="7"/>
        <v>835.72762499999999</v>
      </c>
      <c r="N25" s="233">
        <f>SUM(N16:N24)</f>
        <v>178.47457627118638</v>
      </c>
      <c r="O25" s="101">
        <f>SUM(O16:O24)</f>
        <v>5.0710110063559313</v>
      </c>
      <c r="P25" s="234">
        <f>SUM(P16:P24)</f>
        <v>1019.2732122775424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944.32499999999993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75.545999999999992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33.051375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835.72762499999999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178.47457627118638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1014.2022012711864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5.0710110063559322</v>
      </c>
    </row>
    <row r="35" spans="2:16" ht="15.75" customHeight="1" thickBot="1" x14ac:dyDescent="0.4">
      <c r="N35" s="375" t="s">
        <v>88</v>
      </c>
      <c r="O35" s="376"/>
      <c r="P35" s="297">
        <f>+P33+P34</f>
        <v>1019.2732122775423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526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1259.0999999999999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100.72799999999999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44.0685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1114.3034999999998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1352.2696016949149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5" t="s">
        <v>88</v>
      </c>
      <c r="O35" s="376"/>
      <c r="P35" s="297">
        <f>+P33+P34</f>
        <v>1359.0309497033895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527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871.68000000000006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69.734400000000008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30.508800000000004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771.43680000000006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936.18256271186442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5" t="s">
        <v>88</v>
      </c>
      <c r="O35" s="376"/>
      <c r="P35" s="297">
        <f>+P33+P34</f>
        <v>940.86347552542372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528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529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72</v>
      </c>
      <c r="I25" s="114">
        <f t="shared" si="7"/>
        <v>4503.6900000000005</v>
      </c>
      <c r="J25" s="274">
        <f>SUM(J16:J24)</f>
        <v>360.29519999999997</v>
      </c>
      <c r="K25" s="275">
        <f t="shared" si="7"/>
        <v>157.62915000000001</v>
      </c>
      <c r="L25" s="276">
        <f t="shared" si="7"/>
        <v>0</v>
      </c>
      <c r="M25" s="232">
        <f t="shared" si="7"/>
        <v>3985.7656499999998</v>
      </c>
      <c r="N25" s="233">
        <f>SUM(N16:N24)</f>
        <v>851.18644067796617</v>
      </c>
      <c r="O25" s="101">
        <f>SUM(O16:O24)</f>
        <v>24.184760453389828</v>
      </c>
      <c r="P25" s="234">
        <f>SUM(P16:P24)</f>
        <v>4861.1368511313558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4503.6900000000005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360.29519999999997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157.62915000000001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3985.7656500000007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851.18644067796617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4836.9520906779671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24.184760453389835</v>
      </c>
    </row>
    <row r="35" spans="2:16" ht="15.75" customHeight="1" thickBot="1" x14ac:dyDescent="0.4">
      <c r="N35" s="375" t="s">
        <v>88</v>
      </c>
      <c r="O35" s="376"/>
      <c r="P35" s="297">
        <f>+P33+P34</f>
        <v>4861.1368511313567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530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531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871.68000000000006</v>
      </c>
      <c r="K25" s="275">
        <f t="shared" si="7"/>
        <v>305.08800000000002</v>
      </c>
      <c r="L25" s="276">
        <f t="shared" si="7"/>
        <v>0</v>
      </c>
      <c r="M25" s="232">
        <f t="shared" si="7"/>
        <v>7540.0320000000002</v>
      </c>
      <c r="N25" s="233">
        <f>SUM(N16:N24)</f>
        <v>1647.4576271186443</v>
      </c>
      <c r="O25" s="101">
        <f>SUM(O16:O24)</f>
        <v>45.937448135593222</v>
      </c>
      <c r="P25" s="234">
        <f>SUM(P16:P24)</f>
        <v>9233.4270752542379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8716.7999999999993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871.68000000000006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305.08800000000002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7540.0319999999992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9187.4896271186444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45.937448135593222</v>
      </c>
    </row>
    <row r="35" spans="2:16" ht="15.75" customHeight="1" thickBot="1" x14ac:dyDescent="0.4">
      <c r="N35" s="375" t="s">
        <v>88</v>
      </c>
      <c r="O35" s="376"/>
      <c r="P35" s="297">
        <f>+P33+P34</f>
        <v>9233.4270752542379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Q19" sqref="Q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532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21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321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321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321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21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321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4" sqref="A4: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2"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46315</v>
      </c>
      <c r="O5" s="395"/>
      <c r="P5" s="395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Furqan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513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143" t="s">
        <v>59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46318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46317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2026-10-22T05:13:41Z</dcterms:modified>
</cp:coreProperties>
</file>