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BBDE2BD-63CA-40B7-9816-348C78E1381E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<sst xmlns="http://schemas.openxmlformats.org/spreadsheetml/2006/main" count="3977" uniqueCount="517">
  <si>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</si>
  <si>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</si>
  <si>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</si>
  <si>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</si>
  <si>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</si>
  <si>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</si>
  <si>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</si>
  <si>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</si>
  <si>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</si>
  <si>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</si>
  <si>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</si>
  <si>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</si>
  <si>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</si>
  <si>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</si>
  <si>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</si>
  <si>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</si>
  <si>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</si>
  <si>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</si>
  <si>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</si>
  <si>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</si>
  <si>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</si>
  <si>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</si>
  <si>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</si>
  <si>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</si>
  <si>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</si>
  <si>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</si>
  <si>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</si>
  <si>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</si>
  <si>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</si>
  <si>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</si>
  <si>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</si>
  <si>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</si>
  <si>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</si>
  <si>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</si>
  <si>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</si>
  <si>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</si>
  <si>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</si>
  <si>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</si>
  <si>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</si>
  <si>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</si>
  <si>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</si>
  <si>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</si>
  <si>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</si>
  <si>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</si>
  <si>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</si>
  <si>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</si>
  <si>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</si>
  <si>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</si>
  <si>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</si>
  <si>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</si>
  <si>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</si>
  <si>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</si>
  <si>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</si>
  <si>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</si>
  <si>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</si>
  <si>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</si>
  <si>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</si>
  <si>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</si>
  <si>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</si>
  <si>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</si>
  <si>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</si>
  <si>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</si>
  <si>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</si>
  <si>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</si>
  <si>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</si>
  <si>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</si>
  <si>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</si>
  <si>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</si>
  <si>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</si>
  <si>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</si>
  <si>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</si>
  <si>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</si>
  <si>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</si>
  <si>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</si>
  <si>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</si>
  <si>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</si>
  <si>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</si>
  <si>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</si>
  <si>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</si>
  <si>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</si>
  <si>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</si>
  <si>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</si>
  <si>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</si>
  <si>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</si>
  <si>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</si>
  <si>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</si>
  <si>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</si>
  <si>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</si>
  <si>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</si>
  <si>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</si>
  <si>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</si>
  <si>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</si>
  <si>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</si>
  <si>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</si>
  <si>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</si>
  <si>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</si>
  <si>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</si>
  <si>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</si>
  <si>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</si>
  <si>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</si>
  <si>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</si>
  <si>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</si>
  <si>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</si>
  <si>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</si>
  <si>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</si>
  <si>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</si>
  <si>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</si>
  <si>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</si>
  <si>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</si>
  <si>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</si>
  <si>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</si>
  <si>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</si>
  <si>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</si>
  <si>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</si>
  <si>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</si>
  <si>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</si>
  <si>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</si>
  <si>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</si>
  <si>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</si>
  <si>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</si>
  <si>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</si>
  <si>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</si>
  <si>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</si>
  <si>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</si>
  <si>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</si>
  <si>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</si>
  <si>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</si>
  <si>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</si>
  <si>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</si>
  <si>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</si>
  <si>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</si>
  <si>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</si>
  <si>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</si>
  <si>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</si>
  <si>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</si>
  <si>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</si>
  <si>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</si>
  <si>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</si>
  <si>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</si>
  <si>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</si>
  <si>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</si>
  <si>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</si>
  <si>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</si>
  <si>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</si>
  <si>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</si>
  <si>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</si>
  <si>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</si>
  <si>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</si>
  <si>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</si>
  <si>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</si>
  <si>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</si>
  <si>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</si>
  <si>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</si>
  <si>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</si>
  <si>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</si>
  <si>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</si>
  <si>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</si>
  <si>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</si>
  <si>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</si>
  <si>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</si>
  <si>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</si>
  <si>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</si>
  <si>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</si>
  <si>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</si>
  <si>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</si>
  <si>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</si>
  <si>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</si>
  <si>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</si>
  <si>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</si>
  <si>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</si>
  <si>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</si>
  <si>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</si>
  <si>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</si>
  <si>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</si>
  <si>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</si>
  <si>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</si>
  <si>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</si>
  <si>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</si>
  <si>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</si>
  <si>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</si>
  <si>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</si>
  <si>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</si>
  <si>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</si>
  <si>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</si>
  <si>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</si>
  <si>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</si>
  <si>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</si>
  <si>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</si>
  <si>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</si>
  <si>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</si>
  <si>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</si>
  <si>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</si>
  <si>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</si>
  <si>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</si>
  <si>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</si>
  <si>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</si>
  <si>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</si>
  <si>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</si>
  <si>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</si>
  <si>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</si>
  <si>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</si>
  <si>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</si>
  <si>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</si>
  <si>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</si>
  <si>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</si>
  <si>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</si>
  <si>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</si>
  <si>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</si>
  <si>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</si>
  <si>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</si>
  <si>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</si>
  <si>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</si>
  <si>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</si>
  <si>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</si>
  <si>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</si>
  <si>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</si>
  <si>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</si>
  <si>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</si>
  <si>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</si>
  <si>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</si>
  <si>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</si>
  <si>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</si>
  <si>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</si>
  <si>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</si>
  <si>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</si>
  <si>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</si>
  <si>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</si>
  <si>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</si>
  <si>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</si>
  <si>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</si>
  <si>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</si>
  <si>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</si>
  <si>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</si>
  <si>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</si>
  <si>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</si>
  <si>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</si>
  <si>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</si>
  <si>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</si>
  <si>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</si>
  <si>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</si>
  <si>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</si>
  <si>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</si>
  <si>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</si>
  <si>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</si>
  <si>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</si>
  <si>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</si>
  <si>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</si>
  <si>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</si>
  <si>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</si>
  <si>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</si>
  <si>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</si>
  <si>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</si>
  <si>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</si>
  <si>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</si>
  <si>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</si>
  <si>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</si>
  <si>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</si>
  <si>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</si>
  <si>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</si>
  <si>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</si>
  <si>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</si>
  <si>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</si>
  <si>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</si>
  <si>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</si>
  <si>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</si>
  <si>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</si>
  <si>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</si>
  <si>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</si>
  <si>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</si>
  <si>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</si>
  <si>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</si>
  <si>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</si>
  <si>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</si>
  <si>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</si>
  <si>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</si>
  <si>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</si>
  <si>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</si>
  <si>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</si>
  <si>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</si>
  <si>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</si>
  <si>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</si>
  <si>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</si>
  <si>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</si>
  <si>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</si>
  <si>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</si>
  <si>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</si>
  <si>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</si>
  <si>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</si>
  <si>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</si>
  <si>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</si>
  <si>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</si>
  <si>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</si>
  <si>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</si>
  <si>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</si>
  <si>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</si>
  <si>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</si>
  <si>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</si>
  <si>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</si>
  <si>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</si>
  <si>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</si>
  <si>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</si>
  <si>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</si>
  <si>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</si>
  <si>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</si>
  <si>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</si>
  <si>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</si>
  <si>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</si>
  <si>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</si>
  <si>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</si>
  <si>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</si>
  <si>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</si>
  <si>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</si>
  <si>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</si>
  <si>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</si>
  <si>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</si>
  <si>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</si>
  <si>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</si>
  <si>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</si>
  <si>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</si>
  <si>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</si>
  <si>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</si>
  <si>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</si>
  <si>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</si>
  <si>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</si>
  <si>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</si>
  <si>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</si>
  <si>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</si>
  <si>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</si>
  <si>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</si>
  <si>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</si>
  <si>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</si>
  <si>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</si>
  <si>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</si>
  <si>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</si>
  <si>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</si>
  <si>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</si>
  <si>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</si>
  <si>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</si>
  <si>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</si>
  <si>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</si>
  <si>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</si>
  <si>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</si>
  <si>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</si>
  <si>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</si>
  <si>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</si>
  <si>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</si>
  <si>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</si>
  <si>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</si>
  <si>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</si>
  <si>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</si>
  <si>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</si>
  <si>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</si>
  <si>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</si>
  <si>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</si>
  <si>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</si>
  <si>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</si>
  <si>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</si>
  <si>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</si>
  <si>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</si>
  <si>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</si>
  <si>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</si>
  <si>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</si>
  <si>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</si>
  <si>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</si>
  <si>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</si>
  <si>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</si>
  <si>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</si>
  <si>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</si>
  <si>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</si>
  <si>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</si>
  <si>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</si>
  <si>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</si>
  <si>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</si>
  <si>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</si>
  <si>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</si>
  <si>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</si>
  <si>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</si>
  <si>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</si>
  <si>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</si>
  <si>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</si>
  <si>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</si>
  <si>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</si>
  <si>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</si>
  <si>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</si>
  <si>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</si>
  <si>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</si>
  <si>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</si>
  <si>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</si>
  <si>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</si>
  <si>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</si>
  <si>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</si>
  <si>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</si>
  <si>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</si>
  <si>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</si>
  <si>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</si>
  <si>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</si>
  <si>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</si>
  <si>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</si>
  <si>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</si>
  <si>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</si>
  <si>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</si>
  <si>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</si>
  <si>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</si>
  <si>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</si>
  <si>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</si>
  <si>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</si>
  <si>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</si>
  <si>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</si>
  <si>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</si>
  <si>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</si>
  <si>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</si>
  <si>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</si>
  <si>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</si>
  <si>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</si>
  <si>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</si>
  <si>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</si>
  <si>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</si>
  <si>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</si>
  <si>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</si>
  <si>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</si>
  <si>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</si>
  <si>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</si>
  <si>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</si>
  <si>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</si>
  <si>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</si>
  <si>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</si>
  <si>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</si>
  <si>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</si>
  <si>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</si>
  <si>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</si>
  <si>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</si>
  <si>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</si>
  <si>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</si>
  <si>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</si>
  <si>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</si>
  <si>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</si>
  <si>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</si>
  <si>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</si>
  <si>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</si>
  <si>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</si>
  <si>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</si>
  <si>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</si>
  <si>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</si>
  <si>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</si>
  <si>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</si>
  <si>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</si>
  <si>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</si>
  <si>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</si>
  <si>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</si>
  <si>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</si>
  <si>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</si>
  <si>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</si>
  <si>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</si>
  <si>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</si>
  <si>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</si>
  <si>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</si>
  <si>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</si>
  <si>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</si>
  <si>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</si>
  <si>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</si>
  <si>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</si>
  <si>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</si>
  <si>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</si>
  <si>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</si>
  <si>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</si>
  <si>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</si>
  <si>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</si>
  <si>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</si>
  <si>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</si>
  <si>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</si>
  <si>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</si>
  <si>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</si>
  <si>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</si>
  <si>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</si>
  <si>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</si>
  <si>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</si>
  <si>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</si>
  <si>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</si>
  <si>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</si>
  <si>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</si>
  <si>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</si>
  <si>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</si>
  <si>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</si>
  <si>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</si>
  <si>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</si>
  <si>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</si>
  <si>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</si>
  <si>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</si>
  <si>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</si>
  <si>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</si>
  <si>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</si>
  <si>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</si>
  <si>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</si>
  <si>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</si>
  <si>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</si>
  <si>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</si>
  <si>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</si>
  <si>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</si>
  <si>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</si>
  <si>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</si>
  <si>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</si>
  <si>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</si>
  <si>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</si>
  <si>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</si>
  <si>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</si>
  <si>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</si>
  <si>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</si>
  <si>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</si>
  <si>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</si>
  <si>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</si>
  <si>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</si>
  <si>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</si>
  <si>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</si>
  <si>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</si>
  <si>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>Euro Stores (G-1 Market)</t>
  </si>
  <si>
    <t xml:space="preserve">Address: Johar Town </t>
  </si>
  <si>
    <t>Invoice No # :4516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</si>
</sst>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46317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 Stores (G-1 Market)</v>
      </c>
      <c r="T3" s="301">
        <f>+'1'!P35</f>
        <v>76492.739068855924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Stores (G-1 Market)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Euro Stores (G-1 Market)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Euro Stores (G-1 Market)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Stores (G-1 Market)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53.196816737288138</v>
      </c>
      <c r="P8" s="311">
        <f t="shared" ref="P8:P15" si="2">M8+N8+O8</f>
        <v>10692.560164194916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Stores (G-1 Market)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Euro Stores (G-1 Market)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Euro Stores (G-1 Market)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1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Euro Stores (G-1 Market)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Euro Stores (G-1 Market)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Euro Stores (G-1 Market)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Stores (G-1 Market)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Euro Stores (G-1 Market)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30</v>
      </c>
      <c r="H16" s="113">
        <f t="shared" ref="H16:M16" si="3">SUM(H7:H15)</f>
        <v>1200</v>
      </c>
      <c r="I16" s="114">
        <f t="shared" si="3"/>
        <v>75061.5</v>
      </c>
      <c r="J16" s="274">
        <f>SUM(J7:J15)</f>
        <v>10508.61</v>
      </c>
      <c r="K16" s="275">
        <f t="shared" si="3"/>
        <v>2627.1525000000001</v>
      </c>
      <c r="L16" s="276">
        <f t="shared" si="3"/>
        <v>0</v>
      </c>
      <c r="M16" s="232">
        <f t="shared" si="3"/>
        <v>61925.737499999996</v>
      </c>
      <c r="N16" s="233">
        <f>SUM(N7:N15)</f>
        <v>14186.4406779661</v>
      </c>
      <c r="O16" s="101">
        <f>SUM(O7:O15)</f>
        <v>380.56089088983049</v>
      </c>
      <c r="P16" s="113">
        <f>SUM(P7:P15)</f>
        <v>76492.739068855924</v>
      </c>
      <c r="Q16" s="128">
        <f>SUM(Q7:Q15)</f>
        <v>0</v>
      </c>
      <c r="R16" s="314">
        <v>14</v>
      </c>
      <c r="S16" s="300" t="str">
        <f>+'14'!A6:A6</f>
        <v>Euro Stores (G-1 Market)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Stores (G-1 Market)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Stores (G-1 Market)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75061.5</v>
      </c>
      <c r="R19" s="299">
        <v>17</v>
      </c>
      <c r="S19" s="300" t="str">
        <f>+'17'!A6:A6</f>
        <v>Euro Stores (G-1 Market)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10508.61</v>
      </c>
      <c r="R20" s="299">
        <v>18</v>
      </c>
      <c r="S20" s="300" t="str">
        <f>+'18'!A6:A6</f>
        <v>Euro Stores (G-1 Market)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2627.1525000000001</v>
      </c>
      <c r="R21" s="299">
        <v>19</v>
      </c>
      <c r="S21" s="300" t="str">
        <f>+'19'!A6:A6</f>
        <v>Euro Stores (G-1 Market)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61925.737500000003</v>
      </c>
      <c r="R22" s="299">
        <v>20</v>
      </c>
      <c r="S22" s="300" t="str">
        <f>+'20'!A6:A6</f>
        <v>Euro Stores (G-1 Market)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14186.4406779661</v>
      </c>
      <c r="R23" s="299">
        <v>21</v>
      </c>
      <c r="S23" s="300" t="str">
        <f>+'21'!A6:A6</f>
        <v>Euro Stores (G-1 Market)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76112.178177966096</v>
      </c>
      <c r="R24" s="299">
        <v>22</v>
      </c>
      <c r="S24" s="300" t="str">
        <f>+'22'!A6:A6</f>
        <v>Euro Stores (G-1 Market)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380.56089088983049</v>
      </c>
      <c r="R25" s="299">
        <v>23</v>
      </c>
      <c r="S25" s="300" t="str">
        <f>+'23'!A6:A6</f>
        <v>Euro Stores (G-1 Market)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76492.739068855924</v>
      </c>
      <c r="R26" s="299">
        <v>24</v>
      </c>
      <c r="S26" s="300" t="str">
        <f>+'24'!A6:A6</f>
        <v>Euro Stores (G-1 Market)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Euro Stores (G-1 Market)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Stores (G-1 Market)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Stores (G-1 Market)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Stores (G-1 Market)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Stores (G-1 Market)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Stores (G-1 Market)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76492.739068855924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46315</v>
      </c>
      <c r="O5" s="368"/>
      <c r="P5" s="368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310">
        <f>M16+N16+O16</f>
        <v>10692.560164194916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311">
        <f t="shared" ref="P17:P24" si="5">M17+N17+O17</f>
        <v>10692.560164194916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75061.5</v>
      </c>
      <c r="J25" s="274">
        <f>SUM(J16:J24)</f>
        <v>10508.61</v>
      </c>
      <c r="K25" s="275">
        <f t="shared" si="10"/>
        <v>2627.1525000000001</v>
      </c>
      <c r="L25" s="276">
        <f t="shared" si="10"/>
        <v>0</v>
      </c>
      <c r="M25" s="232">
        <f t="shared" si="10"/>
        <v>61925.737499999996</v>
      </c>
      <c r="N25" s="233">
        <f>SUM(N16:N24)</f>
        <v>14186.4406779661</v>
      </c>
      <c r="O25" s="101">
        <f>SUM(O16:O24)</f>
        <v>380.56089088983049</v>
      </c>
      <c r="P25" s="113">
        <f>SUM(P16:P24)</f>
        <v>76492.739068855924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75061.5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10508.61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2627.1525000000001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61925.737500000003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76112.178177966096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380.56089088983049</v>
      </c>
    </row>
    <row r="35" spans="2:16" ht="15.75" customHeight="1" thickBot="1" x14ac:dyDescent="0.4">
      <c r="N35" s="343" t="s">
        <v>88</v>
      </c>
      <c r="O35" s="344"/>
      <c r="P35" s="297">
        <f>+P33+P34</f>
        <v>76492.739068855924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46318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46317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2026-10-22T05:15:48Z</dcterms:modified>
</cp:coreProperties>
</file>