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AD2809F2-7AFE-4665-99A5-77539456C685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5" l="1"/>
  <c r="N5" i="65" s="1"/>
  <c r="N4" i="60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J20" i="53"/>
  <c r="K20" i="43"/>
  <c r="L20" i="43"/>
  <c r="M20" i="43"/>
  <c r="O20" i="43" s="1"/>
  <c r="P20" i="43" s="1"/>
  <c r="J20" i="43"/>
  <c r="K20" i="57"/>
  <c r="J20" i="57"/>
  <c r="L20" i="57"/>
  <c r="M20" i="57" s="1"/>
  <c r="O20" i="57" s="1"/>
  <c r="P20" i="57" s="1"/>
  <c r="K20" i="61"/>
  <c r="J20" i="61"/>
  <c r="L20" i="61"/>
  <c r="M20" i="61"/>
  <c r="O20" i="61" s="1"/>
  <c r="P20" i="61" s="1"/>
  <c r="K20" i="71"/>
  <c r="J20" i="71"/>
  <c r="M20" i="71" s="1"/>
  <c r="O20" i="71" s="1"/>
  <c r="P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O18" i="43" s="1"/>
  <c r="P18" i="43" s="1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M20" i="65"/>
  <c r="O20" i="65" s="1"/>
  <c r="P20" i="65" s="1"/>
  <c r="M20" i="64"/>
  <c r="O20" i="64" s="1"/>
  <c r="P20" i="64" s="1"/>
  <c r="M20" i="52"/>
  <c r="M20" i="66"/>
  <c r="O20" i="66" s="1"/>
  <c r="P20" i="66" s="1"/>
  <c r="M20" i="59"/>
  <c r="O20" i="59" s="1"/>
  <c r="P20" i="59" s="1"/>
  <c r="M20" i="54"/>
  <c r="O20" i="54" s="1"/>
  <c r="P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M20" i="58"/>
  <c r="O20" i="58" s="1"/>
  <c r="P20" i="58" s="1"/>
  <c r="J25" i="47"/>
  <c r="P29" i="47" s="1"/>
  <c r="M20" i="55"/>
  <c r="O20" i="55" s="1"/>
  <c r="P20" i="55" s="1"/>
  <c r="M20" i="56"/>
  <c r="O20" i="56" s="1"/>
  <c r="P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P25" i="52" l="1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<sst xmlns="http://schemas.openxmlformats.org/spreadsheetml/2006/main" count="3948" uniqueCount="524">
  <si>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</si>
  <si>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</si>
  <si>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</si>
  <si>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</si>
  <si>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</si>
  <si>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</si>
  <si>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</si>
  <si>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</si>
  <si>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</si>
  <si>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</si>
  <si>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</si>
  <si>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</si>
  <si>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</si>
  <si>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</si>
  <si>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</si>
  <si>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</si>
  <si>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</si>
  <si>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</si>
  <si>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</si>
  <si>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</si>
  <si>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</si>
  <si>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</si>
  <si>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</si>
  <si>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</si>
  <si>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</si>
  <si>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</si>
  <si>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</si>
  <si>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</si>
  <si>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</si>
  <si>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</si>
  <si>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</si>
  <si>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</si>
  <si>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</si>
  <si>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</si>
  <si>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</si>
  <si>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</si>
  <si>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</si>
  <si>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</si>
  <si>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</si>
  <si>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</si>
  <si>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</si>
  <si>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</si>
  <si>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</si>
  <si>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</si>
  <si>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</si>
  <si>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</si>
  <si>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</si>
  <si>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</si>
  <si>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</si>
  <si>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</si>
  <si>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</si>
  <si>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</si>
  <si>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</si>
  <si>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</si>
  <si>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</si>
  <si>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</si>
  <si>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</si>
  <si>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</si>
  <si>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</si>
  <si>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</si>
  <si>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</si>
  <si>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</si>
  <si>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</si>
  <si>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</si>
  <si>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</si>
  <si>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</si>
  <si>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</si>
  <si>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</si>
  <si>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</si>
  <si>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</si>
  <si>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</si>
  <si>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</si>
  <si>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</si>
  <si>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</si>
  <si>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</si>
  <si>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</si>
  <si>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</si>
  <si>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</si>
  <si>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</si>
  <si>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</si>
  <si>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</si>
  <si>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</si>
  <si>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</si>
  <si>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</si>
  <si>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</si>
  <si>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</si>
  <si>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</si>
  <si>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</si>
  <si>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</si>
  <si>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</si>
  <si>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</si>
  <si>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</si>
  <si>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</si>
  <si>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</si>
  <si>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</si>
  <si>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</si>
  <si>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</si>
  <si>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</si>
  <si>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</si>
  <si>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</si>
  <si>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</si>
  <si>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</si>
  <si>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</si>
  <si>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</si>
  <si>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</si>
  <si>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</si>
  <si>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</si>
  <si>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</si>
  <si>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</si>
  <si>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</si>
  <si>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</si>
  <si>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</si>
  <si>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</si>
  <si>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</si>
  <si>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</si>
  <si>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</si>
  <si>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</si>
  <si>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</si>
  <si>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</si>
  <si>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</si>
  <si>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</si>
  <si>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</si>
  <si>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</si>
  <si>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</si>
  <si>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</si>
  <si>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</si>
  <si>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</si>
  <si>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</si>
  <si>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</si>
  <si>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</si>
  <si>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</si>
  <si>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</si>
  <si>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</si>
  <si>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</si>
  <si>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</si>
  <si>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</si>
  <si>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</si>
  <si>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</si>
  <si>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</si>
  <si>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</si>
  <si>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</si>
  <si>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</si>
  <si>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</si>
  <si>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</si>
  <si>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</si>
  <si>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</si>
  <si>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</si>
  <si>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</si>
  <si>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</si>
  <si>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</si>
  <si>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</si>
  <si>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</si>
  <si>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</si>
  <si>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</si>
  <si>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</si>
  <si>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</si>
  <si>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</si>
  <si>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</si>
  <si>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</si>
  <si>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</si>
  <si>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</si>
  <si>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</si>
  <si>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</si>
  <si>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</si>
  <si>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</si>
  <si>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</si>
  <si>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</si>
  <si>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</si>
  <si>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</si>
  <si>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</si>
  <si>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</si>
  <si>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</si>
  <si>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</si>
  <si>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</si>
  <si>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</si>
  <si>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</si>
  <si>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</si>
  <si>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</si>
  <si>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</si>
  <si>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</si>
  <si>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</si>
  <si>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</si>
  <si>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</si>
  <si>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</si>
  <si>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</si>
  <si>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</si>
  <si>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</si>
  <si>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</si>
  <si>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</si>
  <si>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</si>
  <si>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</si>
  <si>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</si>
  <si>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</si>
  <si>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</si>
  <si>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</si>
  <si>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</si>
  <si>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</si>
  <si>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</si>
  <si>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</si>
  <si>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</si>
  <si>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</si>
  <si>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</si>
  <si>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</si>
  <si>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</si>
  <si>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</si>
  <si>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</si>
  <si>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</si>
  <si>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</si>
  <si>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</si>
  <si>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</si>
  <si>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</si>
  <si>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</si>
  <si>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</si>
  <si>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</si>
  <si>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</si>
  <si>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</si>
  <si>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</si>
  <si>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</si>
  <si>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</si>
  <si>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</si>
  <si>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</si>
  <si>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</si>
  <si>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</si>
  <si>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</si>
  <si>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</si>
  <si>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</si>
  <si>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</si>
  <si>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</si>
  <si>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</si>
  <si>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</si>
  <si>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</si>
  <si>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</si>
  <si>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</si>
  <si>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</si>
  <si>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</si>
  <si>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</si>
  <si>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</si>
  <si>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</si>
  <si>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</si>
  <si>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</si>
  <si>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</si>
  <si>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</si>
  <si>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</si>
  <si>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</si>
  <si>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</si>
  <si>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</si>
  <si>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</si>
  <si>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</si>
  <si>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</si>
  <si>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</si>
  <si>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</si>
  <si>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</si>
  <si>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</si>
  <si>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</si>
  <si>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</si>
  <si>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</si>
  <si>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</si>
  <si>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</si>
  <si>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</si>
  <si>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</si>
  <si>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</si>
  <si>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</si>
  <si>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</si>
  <si>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</si>
  <si>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</si>
  <si>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</si>
  <si>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</si>
  <si>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</si>
  <si>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</si>
  <si>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</si>
  <si>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</si>
  <si>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</si>
  <si>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</si>
  <si>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</si>
  <si>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</si>
  <si>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</si>
  <si>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</si>
  <si>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</si>
  <si>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</si>
  <si>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</si>
  <si>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</si>
  <si>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</si>
  <si>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</si>
  <si>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</si>
  <si>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</si>
  <si>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</si>
  <si>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</si>
  <si>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</si>
  <si>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</si>
  <si>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</si>
  <si>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</si>
  <si>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</si>
  <si>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</si>
  <si>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</si>
  <si>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</si>
  <si>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</si>
  <si>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</si>
  <si>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</si>
  <si>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</si>
  <si>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</si>
  <si>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</si>
  <si>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</si>
  <si>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</si>
  <si>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</si>
  <si>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</si>
  <si>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</si>
  <si>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</si>
  <si>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</si>
  <si>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</si>
  <si>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</si>
  <si>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</si>
  <si>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</si>
  <si>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</si>
  <si>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</si>
  <si>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</si>
  <si>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</si>
  <si>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</si>
  <si>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</si>
  <si>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</si>
  <si>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</si>
  <si>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</si>
  <si>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</si>
  <si>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</si>
  <si>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</si>
  <si>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</si>
  <si>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</si>
  <si>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</si>
  <si>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</si>
  <si>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</si>
  <si>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</si>
  <si>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</si>
  <si>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</si>
  <si>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</si>
  <si>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</si>
  <si>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</si>
  <si>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</si>
  <si>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</si>
  <si>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</si>
  <si>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</si>
  <si>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</si>
  <si>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</si>
  <si>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</si>
  <si>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</si>
  <si>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</si>
  <si>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</si>
  <si>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</si>
  <si>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</si>
  <si>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</si>
  <si>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</si>
  <si>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</si>
  <si>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</si>
  <si>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</si>
  <si>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</si>
  <si>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</si>
  <si>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</si>
  <si>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</si>
  <si>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</si>
  <si>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</si>
  <si>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</si>
  <si>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</si>
  <si>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</si>
  <si>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</si>
  <si>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</si>
  <si>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</si>
  <si>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</si>
  <si>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</si>
  <si>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</si>
  <si>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</si>
  <si>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</si>
  <si>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</si>
  <si>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</si>
  <si>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</si>
  <si>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</si>
  <si>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</si>
  <si>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</si>
  <si>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</si>
  <si>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</si>
  <si>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</si>
  <si>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</si>
  <si>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</si>
  <si>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</si>
  <si>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</si>
  <si>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</si>
  <si>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</si>
  <si>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</si>
  <si>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</si>
  <si>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</si>
  <si>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</si>
  <si>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</si>
  <si>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</si>
  <si>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</si>
  <si>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</si>
  <si>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</si>
  <si>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</si>
  <si>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</si>
  <si>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</si>
  <si>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</si>
  <si>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</si>
  <si>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</si>
  <si>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</si>
  <si>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</si>
  <si>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</si>
  <si>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</si>
  <si>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</si>
  <si>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</si>
  <si>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</si>
  <si>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</si>
  <si>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</si>
  <si>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</si>
  <si>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</si>
  <si>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</si>
  <si>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</si>
  <si>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</si>
  <si>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</si>
  <si>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</si>
  <si>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</si>
  <si>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</si>
  <si>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</si>
  <si>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</si>
  <si>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</si>
  <si>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</si>
  <si>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</si>
  <si>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</si>
  <si>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</si>
  <si>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</si>
  <si>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</si>
  <si>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</si>
  <si>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</si>
  <si>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</si>
  <si>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</si>
  <si>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</si>
  <si>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</si>
  <si>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</si>
  <si>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</si>
  <si>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</si>
  <si>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</si>
  <si>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</si>
  <si>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</si>
  <si>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</si>
  <si>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</si>
  <si>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</si>
  <si>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</si>
  <si>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</si>
  <si>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</si>
  <si>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</si>
  <si>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</si>
  <si>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</si>
  <si>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</si>
  <si>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</si>
  <si>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</si>
  <si>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</si>
  <si>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</si>
  <si>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</si>
  <si>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</si>
  <si>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</si>
  <si>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</si>
  <si>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</si>
  <si>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</si>
  <si>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</si>
  <si>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</si>
  <si>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</si>
  <si>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</si>
  <si>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</si>
  <si>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</si>
  <si>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</si>
  <si>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</si>
  <si>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</si>
  <si>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</si>
  <si>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</si>
  <si>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</si>
  <si>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</si>
  <si>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</si>
  <si>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</si>
  <si>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</si>
  <si>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</si>
  <si>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</si>
  <si>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</si>
  <si>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</si>
  <si>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</si>
  <si>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</si>
  <si>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</si>
  <si>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</si>
  <si>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</si>
  <si>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</si>
  <si>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</si>
  <si>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</si>
  <si>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</si>
  <si>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</si>
  <si>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</si>
  <si>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</si>
  <si>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</si>
  <si>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</si>
  <si>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</si>
  <si>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</si>
  <si>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</si>
  <si>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</si>
  <si>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</si>
  <si>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</si>
  <si>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</si>
  <si>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</si>
  <si>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</si>
  <si>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</si>
  <si>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</si>
  <si>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</si>
  <si>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</si>
  <si>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</si>
  <si>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</si>
  <si>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</si>
  <si>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</si>
  <si>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</si>
  <si>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</si>
  <si>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</si>
  <si>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</si>
  <si>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</si>
  <si>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</si>
  <si>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>Latif Store</t>
  </si>
  <si>
    <t>Lal Store</t>
  </si>
  <si>
    <t>Nishat Store</t>
  </si>
  <si>
    <t>Qadri Store</t>
  </si>
  <si>
    <t>Rana Store</t>
  </si>
  <si>
    <t>Essa G</t>
  </si>
  <si>
    <t>Address: Phase 5</t>
  </si>
  <si>
    <t xml:space="preserve">Sharif Mart </t>
  </si>
  <si>
    <t>Address:  Nishat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</si>
</sst>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D2" sqref="D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46316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Latif Store</v>
      </c>
      <c r="T3" s="301">
        <f>+'1'!P35</f>
        <v>18468.841086610166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Lal Store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Nishat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Qadri Store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Rana Store</v>
      </c>
      <c r="T7" s="301">
        <f>+'5'!P35</f>
        <v>566.26289570974575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Essa G</v>
      </c>
      <c r="T8" s="301">
        <f>+'6'!P35</f>
        <v>45729.116176271185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160</v>
      </c>
      <c r="I9" s="236">
        <f t="shared" si="0"/>
        <v>8394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671.5200000000001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293.79000000000002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7428.69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1586.4406779661008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45.075653389830492</v>
      </c>
      <c r="P9" s="311">
        <f t="shared" si="2"/>
        <v>9060.206331355932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 xml:space="preserve">Sharif Mart </v>
      </c>
      <c r="T9" s="301">
        <f>+'7'!P35</f>
        <v>3136.2115850847458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250</v>
      </c>
      <c r="I10" s="236">
        <f t="shared" si="0"/>
        <v>18160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1888.64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635.6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15635.76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3432.2033898305085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95.339816949152549</v>
      </c>
      <c r="P10" s="311">
        <f t="shared" si="2"/>
        <v>19163.303206779659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210</v>
      </c>
      <c r="I11" s="236">
        <f t="shared" si="0"/>
        <v>15254.4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1656.192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533.90400000000011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13064.304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2883.0508474576272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79.736774237288145</v>
      </c>
      <c r="P11" s="311">
        <f t="shared" si="2"/>
        <v>16027.091621694915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300</v>
      </c>
      <c r="I12" s="236">
        <f t="shared" si="0"/>
        <v>21792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2179.2000000000003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762.72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18850.080000000002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4118.6440677966102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114.84362033898307</v>
      </c>
      <c r="P12" s="311">
        <f t="shared" si="2"/>
        <v>23083.567688135594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24</v>
      </c>
      <c r="H16" s="113">
        <f t="shared" ref="H16:M16" si="3">SUM(H7:H15)</f>
        <v>960</v>
      </c>
      <c r="I16" s="114">
        <f t="shared" si="3"/>
        <v>65698.899999999994</v>
      </c>
      <c r="J16" s="274">
        <f>SUM(J7:J15)</f>
        <v>6563.4320000000007</v>
      </c>
      <c r="K16" s="275">
        <f t="shared" si="3"/>
        <v>2299.4615000000003</v>
      </c>
      <c r="L16" s="276">
        <f t="shared" si="3"/>
        <v>0</v>
      </c>
      <c r="M16" s="232">
        <f t="shared" si="3"/>
        <v>56836.006500000003</v>
      </c>
      <c r="N16" s="233">
        <f>SUM(N7:N15)</f>
        <v>12416.949152542373</v>
      </c>
      <c r="O16" s="101">
        <f>SUM(O7:O15)</f>
        <v>346.26477826271184</v>
      </c>
      <c r="P16" s="113">
        <f>SUM(P7:P15)</f>
        <v>69599.220430805086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65698.899999999994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6563.4320000000007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2299.4615000000003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56836.006499999996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12416.949152542373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69252.955652542369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346.26477826271184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69599.220430805086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69599.220430805071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118">
        <f>M16+N16+O16</f>
        <v>2265.051582838983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120</v>
      </c>
      <c r="I18" s="236">
        <f t="shared" ref="I18:I21" si="7">(G18*D18)*F18+H18*F18</f>
        <v>6295.5</v>
      </c>
      <c r="J18" s="272">
        <f t="shared" si="1"/>
        <v>503.64</v>
      </c>
      <c r="K18" s="128">
        <f t="shared" si="1"/>
        <v>220.34250000000003</v>
      </c>
      <c r="L18" s="119">
        <f t="shared" si="1"/>
        <v>0</v>
      </c>
      <c r="M18" s="230">
        <f t="shared" si="2"/>
        <v>5571.5174999999999</v>
      </c>
      <c r="N18" s="277">
        <f t="shared" si="3"/>
        <v>1189.8305084745757</v>
      </c>
      <c r="O18" s="239">
        <f t="shared" si="4"/>
        <v>33.80674004237288</v>
      </c>
      <c r="P18" s="119">
        <f t="shared" si="5"/>
        <v>6795.1547485169476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7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280</v>
      </c>
      <c r="I25" s="114">
        <f t="shared" ref="I25:M25" si="10">SUM(I16:I24)</f>
        <v>17110.8</v>
      </c>
      <c r="J25" s="274">
        <f>SUM(J16:J24)</f>
        <v>1368.864</v>
      </c>
      <c r="K25" s="275">
        <f t="shared" si="10"/>
        <v>598.87800000000004</v>
      </c>
      <c r="L25" s="276">
        <f t="shared" si="10"/>
        <v>0</v>
      </c>
      <c r="M25" s="232">
        <f t="shared" si="10"/>
        <v>15143.058000000001</v>
      </c>
      <c r="N25" s="233">
        <f>SUM(N16:N24)</f>
        <v>3233.8983050847455</v>
      </c>
      <c r="O25" s="101">
        <f>SUM(O16:O24)</f>
        <v>91.884781525423733</v>
      </c>
      <c r="P25" s="234">
        <f>SUM(P16:P24)</f>
        <v>18468.841086610169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17110.8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1368.864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598.87800000000004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15143.057999999999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3233.8983050847455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18376.956305084743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91.884781525423719</v>
      </c>
    </row>
    <row r="35" spans="2:16" ht="15.75" customHeight="1" thickBot="1" x14ac:dyDescent="0.4">
      <c r="N35" s="345" t="s">
        <v>88</v>
      </c>
      <c r="O35" s="346"/>
      <c r="P35" s="297">
        <f>+P33+P34</f>
        <v>18468.841086610166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516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8.7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521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0.11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0.11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0"/>
        <v>14528</v>
      </c>
      <c r="J19" s="272">
        <f t="shared" si="1"/>
        <v>1598.08</v>
      </c>
      <c r="K19" s="128">
        <f t="shared" si="1"/>
        <v>508.48000000000008</v>
      </c>
      <c r="L19" s="119">
        <f t="shared" si="1"/>
        <v>0</v>
      </c>
      <c r="M19" s="230">
        <f t="shared" si="2"/>
        <v>12421.44</v>
      </c>
      <c r="N19" s="277">
        <f t="shared" si="3"/>
        <v>2745.7627118644068</v>
      </c>
      <c r="O19" s="239">
        <f t="shared" si="4"/>
        <v>75.836013559322041</v>
      </c>
      <c r="P19" s="119">
        <f t="shared" si="5"/>
        <v>15243.038725423728</v>
      </c>
      <c r="Q19" s="319"/>
      <c r="S19" s="269">
        <f>+S18</f>
        <v>0.11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0"/>
        <v>14528</v>
      </c>
      <c r="J20" s="272">
        <f t="shared" si="1"/>
        <v>1598.08</v>
      </c>
      <c r="K20" s="128">
        <f t="shared" si="1"/>
        <v>508.48000000000008</v>
      </c>
      <c r="L20" s="119">
        <f t="shared" si="1"/>
        <v>0</v>
      </c>
      <c r="M20" s="230">
        <f t="shared" si="2"/>
        <v>12421.44</v>
      </c>
      <c r="N20" s="277">
        <f t="shared" si="3"/>
        <v>2745.7627118644068</v>
      </c>
      <c r="O20" s="239">
        <f t="shared" si="4"/>
        <v>75.836013559322041</v>
      </c>
      <c r="P20" s="119">
        <f t="shared" si="5"/>
        <v>15243.038725423728</v>
      </c>
      <c r="Q20" s="319"/>
      <c r="S20" s="269">
        <f>+S19</f>
        <v>0.11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1598.08</v>
      </c>
      <c r="K21" s="128">
        <f t="shared" si="1"/>
        <v>508.48000000000008</v>
      </c>
      <c r="L21" s="119">
        <f t="shared" si="1"/>
        <v>0</v>
      </c>
      <c r="M21" s="230">
        <f t="shared" si="2"/>
        <v>12421.44</v>
      </c>
      <c r="N21" s="277">
        <f t="shared" si="3"/>
        <v>2745.7627118644068</v>
      </c>
      <c r="O21" s="239">
        <f t="shared" si="4"/>
        <v>75.836013559322041</v>
      </c>
      <c r="P21" s="119">
        <f t="shared" si="5"/>
        <v>15243.038725423728</v>
      </c>
      <c r="Q21" s="319"/>
      <c r="S21" s="269">
        <f>+S20</f>
        <v>0.11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600</v>
      </c>
      <c r="I25" s="114">
        <f t="shared" si="7"/>
        <v>43584</v>
      </c>
      <c r="J25" s="274">
        <f>SUM(J16:J24)</f>
        <v>4794.24</v>
      </c>
      <c r="K25" s="275">
        <f t="shared" si="7"/>
        <v>1525.4400000000003</v>
      </c>
      <c r="L25" s="276">
        <f t="shared" si="7"/>
        <v>0</v>
      </c>
      <c r="M25" s="232">
        <f t="shared" si="7"/>
        <v>37264.32</v>
      </c>
      <c r="N25" s="233">
        <f>SUM(N16:N24)</f>
        <v>8237.2881355932204</v>
      </c>
      <c r="O25" s="101">
        <f>SUM(O16:O24)</f>
        <v>227.50804067796611</v>
      </c>
      <c r="P25" s="234">
        <f>SUM(P16:P24)</f>
        <v>45729.116176271185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43584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4794.24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1525.4400000000003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37264.32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8237.2881355932204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45501.608135593218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227.50804067796611</v>
      </c>
    </row>
    <row r="35" spans="2:16" ht="15.75" customHeight="1" thickBot="1" x14ac:dyDescent="0.4">
      <c r="N35" s="345" t="s">
        <v>88</v>
      </c>
      <c r="O35" s="346"/>
      <c r="P35" s="297">
        <f>+P33+P34</f>
        <v>45729.116176271185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119">
        <f t="shared" si="5"/>
        <v>1568.1057925423729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46316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46315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Zeshan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2026-10-21T05:26:13Z</dcterms:modified>
</cp:coreProperties>
</file>