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0AD6F45-31C6-4F66-905D-B7923DD3B8D8}" xr6:coauthVersionLast="47" xr6:coauthVersionMax="47" xr10:uidLastSave="{00000000-0000-0000-0000-000000000000}"/>
  <bookViews>
    <workbookView xWindow="-110" yWindow="-110" windowWidth="19420" windowHeight="10420" tabRatio="948" firstSheet="3" activeTab="9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18" i="53"/>
  <c r="O18" i="53" s="1"/>
  <c r="P18" i="53" s="1"/>
  <c r="M21" i="52"/>
  <c r="O21" i="52" s="1"/>
  <c r="P21" i="52" s="1"/>
  <c r="M21" i="51"/>
  <c r="M20" i="50"/>
  <c r="O20" i="50" s="1"/>
  <c r="P20" i="50" s="1"/>
  <c r="M16" i="48"/>
  <c r="K12" i="62"/>
  <c r="M21" i="47"/>
  <c r="O21" i="47" s="1"/>
  <c r="P21" i="47" s="1"/>
  <c r="M20" i="47"/>
  <c r="O20" i="47" s="1"/>
  <c r="P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O25" i="52"/>
  <c r="P12" i="6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<sst xmlns="http://schemas.openxmlformats.org/spreadsheetml/2006/main" count="3948" uniqueCount="534">
  <si>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</si>
  <si>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</si>
  <si>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</si>
  <si>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</si>
  <si>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</si>
  <si>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</si>
  <si>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</si>
  <si>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</si>
  <si>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</si>
  <si>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</si>
  <si>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</si>
  <si>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</si>
  <si>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</si>
  <si>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</si>
  <si>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</si>
  <si>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</si>
  <si>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</si>
  <si>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</si>
  <si>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</si>
  <si>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</si>
  <si>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</si>
  <si>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</si>
  <si>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</si>
  <si>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</si>
  <si>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</si>
  <si>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</si>
  <si>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</si>
  <si>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</si>
  <si>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</si>
  <si>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</si>
  <si>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</si>
  <si>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</si>
  <si>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</si>
  <si>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</si>
  <si>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</si>
  <si>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</si>
  <si>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</si>
  <si>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</si>
  <si>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</si>
  <si>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</si>
  <si>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</si>
  <si>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</si>
  <si>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</si>
  <si>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</si>
  <si>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</si>
  <si>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</si>
  <si>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</si>
  <si>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</si>
  <si>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</si>
  <si>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</si>
  <si>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</si>
  <si>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</si>
  <si>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</si>
  <si>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</si>
  <si>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</si>
  <si>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</si>
  <si>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</si>
  <si>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</si>
  <si>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</si>
  <si>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</si>
  <si>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</si>
  <si>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</si>
  <si>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</si>
  <si>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</si>
  <si>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</si>
  <si>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</si>
  <si>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</si>
  <si>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</si>
  <si>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</si>
  <si>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</si>
  <si>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</si>
  <si>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</si>
  <si>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</si>
  <si>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</si>
  <si>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</si>
  <si>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</si>
  <si>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</si>
  <si>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</si>
  <si>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</si>
  <si>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</si>
  <si>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</si>
  <si>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</si>
  <si>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</si>
  <si>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</si>
  <si>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</si>
  <si>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</si>
  <si>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</si>
  <si>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</si>
  <si>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</si>
  <si>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</si>
  <si>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</si>
  <si>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</si>
  <si>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</si>
  <si>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</si>
  <si>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</si>
  <si>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</si>
  <si>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</si>
  <si>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</si>
  <si>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</si>
  <si>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</si>
  <si>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</si>
  <si>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</si>
  <si>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</si>
  <si>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</si>
  <si>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</si>
  <si>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</si>
  <si>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</si>
  <si>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</si>
  <si>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</si>
  <si>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</si>
  <si>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</si>
  <si>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</si>
  <si>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</si>
  <si>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</si>
  <si>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</si>
  <si>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</si>
  <si>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</si>
  <si>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</si>
  <si>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</si>
  <si>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</si>
  <si>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</si>
  <si>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</si>
  <si>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</si>
  <si>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</si>
  <si>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</si>
  <si>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</si>
  <si>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</si>
  <si>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</si>
  <si>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</si>
  <si>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</si>
  <si>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</si>
  <si>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</si>
  <si>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</si>
  <si>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</si>
  <si>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</si>
  <si>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</si>
  <si>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</si>
  <si>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</si>
  <si>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</si>
  <si>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</si>
  <si>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</si>
  <si>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</si>
  <si>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</si>
  <si>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</si>
  <si>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</si>
  <si>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</si>
  <si>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</si>
  <si>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</si>
  <si>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</si>
  <si>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</si>
  <si>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</si>
  <si>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</si>
  <si>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</si>
  <si>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</si>
  <si>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</si>
  <si>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</si>
  <si>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</si>
  <si>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</si>
  <si>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</si>
  <si>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</si>
  <si>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</si>
  <si>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</si>
  <si>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</si>
  <si>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</si>
  <si>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</si>
  <si>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</si>
  <si>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</si>
  <si>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</si>
  <si>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</si>
  <si>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</si>
  <si>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</si>
  <si>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</si>
  <si>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</si>
  <si>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</si>
  <si>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</si>
  <si>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</si>
  <si>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</si>
  <si>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</si>
  <si>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</si>
  <si>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</si>
  <si>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</si>
  <si>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</si>
  <si>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</si>
  <si>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</si>
  <si>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</si>
  <si>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</si>
  <si>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</si>
  <si>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</si>
  <si>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</si>
  <si>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</si>
  <si>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</si>
  <si>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</si>
  <si>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</si>
  <si>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</si>
  <si>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</si>
  <si>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</si>
  <si>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</si>
  <si>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</si>
  <si>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</si>
  <si>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</si>
  <si>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</si>
  <si>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</si>
  <si>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</si>
  <si>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</si>
  <si>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</si>
  <si>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</si>
  <si>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</si>
  <si>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</si>
  <si>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</si>
  <si>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</si>
  <si>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</si>
  <si>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</si>
  <si>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</si>
  <si>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</si>
  <si>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</si>
  <si>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</si>
  <si>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</si>
  <si>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</si>
  <si>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</si>
  <si>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</si>
  <si>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</si>
  <si>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</si>
  <si>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</si>
  <si>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</si>
  <si>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</si>
  <si>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</si>
  <si>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</si>
  <si>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</si>
  <si>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</si>
  <si>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</si>
  <si>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</si>
  <si>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</si>
  <si>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</si>
  <si>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</si>
  <si>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</si>
  <si>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</si>
  <si>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</si>
  <si>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</si>
  <si>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</si>
  <si>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</si>
  <si>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</si>
  <si>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</si>
  <si>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</si>
  <si>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</si>
  <si>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</si>
  <si>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</si>
  <si>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</si>
  <si>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</si>
  <si>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</si>
  <si>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</si>
  <si>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</si>
  <si>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</si>
  <si>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</si>
  <si>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</si>
  <si>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</si>
  <si>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</si>
  <si>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</si>
  <si>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</si>
  <si>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</si>
  <si>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</si>
  <si>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</si>
  <si>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</si>
  <si>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</si>
  <si>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</si>
  <si>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</si>
  <si>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</si>
  <si>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</si>
  <si>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</si>
  <si>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</si>
  <si>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</si>
  <si>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</si>
  <si>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</si>
  <si>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</si>
  <si>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</si>
  <si>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</si>
  <si>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</si>
  <si>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</si>
  <si>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</si>
  <si>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</si>
  <si>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</si>
  <si>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</si>
  <si>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</si>
  <si>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</si>
  <si>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</si>
  <si>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</si>
  <si>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</si>
  <si>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</si>
  <si>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</si>
  <si>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</si>
  <si>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</si>
  <si>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</si>
  <si>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</si>
  <si>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</si>
  <si>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</si>
  <si>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</si>
  <si>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</si>
  <si>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</si>
  <si>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</si>
  <si>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</si>
  <si>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</si>
  <si>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</si>
  <si>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</si>
  <si>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</si>
  <si>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</si>
  <si>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</si>
  <si>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</si>
  <si>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</si>
  <si>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</si>
  <si>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</si>
  <si>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</si>
  <si>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</si>
  <si>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</si>
  <si>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</si>
  <si>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</si>
  <si>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</si>
  <si>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</si>
  <si>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</si>
  <si>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</si>
  <si>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</si>
  <si>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</si>
  <si>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</si>
  <si>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</si>
  <si>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</si>
  <si>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</si>
  <si>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</si>
  <si>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</si>
  <si>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</si>
  <si>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</si>
  <si>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</si>
  <si>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</si>
  <si>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</si>
  <si>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</si>
  <si>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</si>
  <si>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</si>
  <si>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</si>
  <si>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</si>
  <si>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</si>
  <si>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</si>
  <si>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</si>
  <si>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</si>
  <si>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</si>
  <si>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</si>
  <si>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</si>
  <si>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</si>
  <si>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</si>
  <si>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</si>
  <si>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</si>
  <si>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</si>
  <si>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</si>
  <si>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</si>
  <si>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</si>
  <si>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</si>
  <si>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</si>
  <si>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</si>
  <si>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</si>
  <si>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</si>
  <si>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</si>
  <si>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</si>
  <si>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</si>
  <si>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</si>
  <si>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</si>
  <si>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</si>
  <si>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</si>
  <si>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</si>
  <si>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</si>
  <si>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</si>
  <si>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</si>
  <si>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</si>
  <si>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</si>
  <si>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</si>
  <si>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</si>
  <si>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</si>
  <si>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</si>
  <si>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</si>
  <si>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</si>
  <si>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</si>
  <si>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</si>
  <si>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</si>
  <si>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</si>
  <si>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</si>
  <si>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</si>
  <si>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</si>
  <si>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</si>
  <si>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</si>
  <si>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</si>
  <si>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</si>
  <si>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</si>
  <si>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</si>
  <si>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</si>
  <si>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</si>
  <si>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</si>
  <si>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</si>
  <si>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</si>
  <si>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</si>
  <si>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</si>
  <si>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</si>
  <si>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</si>
  <si>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</si>
  <si>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</si>
  <si>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</si>
  <si>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</si>
  <si>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</si>
  <si>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</si>
  <si>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</si>
  <si>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</si>
  <si>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</si>
  <si>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</si>
  <si>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</si>
  <si>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</si>
  <si>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</si>
  <si>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</si>
  <si>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</si>
  <si>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</si>
  <si>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</si>
  <si>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</si>
  <si>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</si>
  <si>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</si>
  <si>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</si>
  <si>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</si>
  <si>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</si>
  <si>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</si>
  <si>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</si>
  <si>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</si>
  <si>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</si>
  <si>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</si>
  <si>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</si>
  <si>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</si>
  <si>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</si>
  <si>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</si>
  <si>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</si>
  <si>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</si>
  <si>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</si>
  <si>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</si>
  <si>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</si>
  <si>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</si>
  <si>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</si>
  <si>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</si>
  <si>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</si>
  <si>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</si>
  <si>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</si>
  <si>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</si>
  <si>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</si>
  <si>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</si>
  <si>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</si>
  <si>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</si>
  <si>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</si>
  <si>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</si>
  <si>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</si>
  <si>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</si>
  <si>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</si>
  <si>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</si>
  <si>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</si>
  <si>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</si>
  <si>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</si>
  <si>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</si>
  <si>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</si>
  <si>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</si>
  <si>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</si>
  <si>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</si>
  <si>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</si>
  <si>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</si>
  <si>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</si>
  <si>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</si>
  <si>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</si>
  <si>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</si>
  <si>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</si>
  <si>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</si>
  <si>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</si>
  <si>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</si>
  <si>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</si>
  <si>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</si>
  <si>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</si>
  <si>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</si>
  <si>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</si>
  <si>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</si>
  <si>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</si>
  <si>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</si>
  <si>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</si>
  <si>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</si>
  <si>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</si>
  <si>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</si>
  <si>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</si>
  <si>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</si>
  <si>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</si>
  <si>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</si>
  <si>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</si>
  <si>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</si>
  <si>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</si>
  <si>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</si>
  <si>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</si>
  <si>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</si>
  <si>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</si>
  <si>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</si>
  <si>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</si>
  <si>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</si>
  <si>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</si>
  <si>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</si>
  <si>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</si>
  <si>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</si>
  <si>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</si>
  <si>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</si>
  <si>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</si>
  <si>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</si>
  <si>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</si>
  <si>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</si>
  <si>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</si>
  <si>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</si>
  <si>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</si>
  <si>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</si>
  <si>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</si>
  <si>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</si>
  <si>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</si>
  <si>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</si>
  <si>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</si>
  <si>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</si>
  <si>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SM Store</t>
  </si>
  <si>
    <t xml:space="preserve">Address: Guru Mangat </t>
  </si>
  <si>
    <t xml:space="preserve">Fatima Mini Mart </t>
  </si>
  <si>
    <t xml:space="preserve">Address: Main Market Gullberg </t>
  </si>
  <si>
    <t>Bake And Bite</t>
  </si>
  <si>
    <t xml:space="preserve">Umer Bakery </t>
  </si>
  <si>
    <t xml:space="preserve">Manchiz Mart </t>
  </si>
  <si>
    <t xml:space="preserve">Peer Cash &amp; Carry </t>
  </si>
  <si>
    <t>Address: Zahoor Ilahi Store</t>
  </si>
  <si>
    <t>Hikma Super Store</t>
  </si>
  <si>
    <t>Address: Askari 5</t>
  </si>
  <si>
    <t>Sanwal Medical And GS</t>
  </si>
  <si>
    <t>Quality Store</t>
  </si>
  <si>
    <t xml:space="preserve">Kashmir Bakery </t>
  </si>
  <si>
    <t xml:space="preserve">Address: Gopal Nager </t>
  </si>
  <si>
    <t>Sawad Verity Store</t>
  </si>
  <si>
    <t>Address: Gopal Nager</t>
  </si>
  <si>
    <t>Bismillah Store</t>
  </si>
  <si>
    <t>NTN #:7087637-2 STRN:/ 3277876263643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</si>
</sst>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SM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Fatima Mini Mart </v>
      </c>
      <c r="T4" s="301">
        <f>+'2'!P35</f>
        <v>453.01031656779651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Bake And Bite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Umer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105</v>
      </c>
      <c r="I7" s="235">
        <f>(G7*D7)*F7+H7*F7</f>
        <v>5508.5625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440.68499999999989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192.79968749999998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4875.0778124999997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1041.1016949152538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29.580897537076268</v>
      </c>
      <c r="P7" s="310">
        <f>M7+N7+O7</f>
        <v>5945.7604049523297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Manchiz Mart </v>
      </c>
      <c r="T7" s="301">
        <f>+'5'!P35</f>
        <v>1019.2732122775423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</v>
      </c>
      <c r="I8" s="236">
        <f t="shared" ref="I8:I14" si="0">(G8*D8)*F8+H8*F8</f>
        <v>3357.6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268.60799999999995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117.51600000000001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2971.4760000000001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634.57627118644041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18.030261355932204</v>
      </c>
      <c r="P8" s="311">
        <f t="shared" ref="P8:P15" si="2">M8+N8+O8</f>
        <v>3624.0825325423725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Peer Cash &amp; Carry </v>
      </c>
      <c r="T8" s="301">
        <f>+'6'!P35</f>
        <v>6969.3689604661022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398.71499999999992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26.763669200211865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Hikma Super Store</v>
      </c>
      <c r="T9" s="301">
        <f>+'7'!P35</f>
        <v>1019.2732122775423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102</v>
      </c>
      <c r="I10" s="236">
        <f t="shared" si="0"/>
        <v>7409.28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650.85440000000006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259.32480000000004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6499.1008000000002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1400.3389830508477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39.497198915254231</v>
      </c>
      <c r="P10" s="311">
        <f t="shared" si="2"/>
        <v>7938.9369819661024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Sanwal Medical And GS</v>
      </c>
      <c r="T10" s="301">
        <f>+'8'!P35</f>
        <v>1359.0309497033895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98</v>
      </c>
      <c r="I11" s="236">
        <f t="shared" si="0"/>
        <v>7118.72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627.6096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249.15520000000004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6241.9552000000003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1345.4237288135596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37.936894644067799</v>
      </c>
      <c r="P11" s="311">
        <f t="shared" si="2"/>
        <v>7625.3158234576276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Quality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108</v>
      </c>
      <c r="I12" s="236">
        <f t="shared" si="0"/>
        <v>7845.12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685.72159999999997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274.57920000000007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6884.8191999999999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1482.71186440678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41.837655322033896</v>
      </c>
      <c r="P12" s="311">
        <f t="shared" si="2"/>
        <v>8409.3687197288127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Kashmir Bakery </v>
      </c>
      <c r="T12" s="301">
        <f>+'10'!P35</f>
        <v>4861.1368511313567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Sawad Verity Store</v>
      </c>
      <c r="T13" s="301">
        <f>+'11'!P35</f>
        <v>9233.4270752542379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Bismillah Store</v>
      </c>
      <c r="T14" s="301">
        <f>+'12'!P35</f>
        <v>5401.2631679237284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14.3</v>
      </c>
      <c r="H16" s="113">
        <f t="shared" ref="H16:M16" si="3">SUM(H7:H15)</f>
        <v>572</v>
      </c>
      <c r="I16" s="114">
        <f t="shared" si="3"/>
        <v>36223.22</v>
      </c>
      <c r="J16" s="274">
        <f>SUM(J7:J15)</f>
        <v>3072.1935999999996</v>
      </c>
      <c r="K16" s="275">
        <f t="shared" si="3"/>
        <v>1267.8127000000002</v>
      </c>
      <c r="L16" s="276">
        <f t="shared" si="3"/>
        <v>0</v>
      </c>
      <c r="M16" s="232">
        <f t="shared" si="3"/>
        <v>31883.2137</v>
      </c>
      <c r="N16" s="233">
        <f>SUM(N7:N15)</f>
        <v>6846.1016949152545</v>
      </c>
      <c r="O16" s="101">
        <f>SUM(O7:O15)</f>
        <v>193.64657697457628</v>
      </c>
      <c r="P16" s="113">
        <f>SUM(P7:P15)</f>
        <v>38922.961971889832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36223.22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3072.1935999999996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1267.8127000000002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31883.213700000004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6846.1016949152545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38729.315394915262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193.64657697457628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38922.961971889839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38922.961971889832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2.2537826694915251</v>
      </c>
      <c r="P25" s="234">
        <f>SUM(P16:P24)</f>
        <v>453.01031656779651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419.7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33.576000000000001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14.689500000000001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371.43449999999996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450.75653389830501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4" t="s">
        <v>88</v>
      </c>
      <c r="O35" s="375"/>
      <c r="P35" s="297">
        <f>+P33+P34</f>
        <v>453.01031656779651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topLeftCell="A2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533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516.55200000000002</v>
      </c>
      <c r="K25" s="275">
        <f t="shared" si="7"/>
        <v>225.99150000000003</v>
      </c>
      <c r="L25" s="276">
        <f t="shared" si="7"/>
        <v>0</v>
      </c>
      <c r="M25" s="232">
        <f t="shared" si="7"/>
        <v>5714.3565000000008</v>
      </c>
      <c r="N25" s="233">
        <f>SUM(N16:N24)</f>
        <v>1220.3389830508472</v>
      </c>
      <c r="O25" s="101">
        <f>SUM(O16:O24)</f>
        <v>34.673477415254233</v>
      </c>
      <c r="P25" s="234">
        <f>SUM(P16:P24)</f>
        <v>6969.3689604661022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6456.9000000000005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516.55200000000002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225.99150000000003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5714.3565000000008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6934.6954830508475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74" t="s">
        <v>88</v>
      </c>
      <c r="O35" s="375"/>
      <c r="P35" s="297">
        <f>+P33+P34</f>
        <v>6969.3689604661022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4503.6900000000005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360.29519999999997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157.62915000000001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3985.7656500000007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4836.9520906779671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74" t="s">
        <v>88</v>
      </c>
      <c r="O35" s="375"/>
      <c r="P35" s="297">
        <f>+P33+P34</f>
        <v>4861.1368511313567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871.68000000000006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7540.0319999999992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9187.4896271186444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74" t="s">
        <v>88</v>
      </c>
      <c r="O35" s="375"/>
      <c r="P35" s="297">
        <f>+P33+P34</f>
        <v>9233.4270752542379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2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2026-10-21T11:25:53Z</dcterms:modified>
</cp:coreProperties>
</file>