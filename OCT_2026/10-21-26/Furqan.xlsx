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58FAD69-2A7B-40E6-A923-CAE3A7BD9BA0}" xr6:coauthVersionLast="47" xr6:coauthVersionMax="47" xr10:uidLastSave="{00000000-0000-0000-0000-000000000000}"/>
  <bookViews>
    <workbookView xWindow="-110" yWindow="-110" windowWidth="19420" windowHeight="10420" tabRatio="948" firstSheet="3" activeTab="20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3" l="1"/>
  <c r="O21" i="53" s="1"/>
  <c r="P21" i="53" s="1"/>
  <c r="M20" i="53"/>
  <c r="O20" i="53" s="1"/>
  <c r="P20" i="53" s="1"/>
  <c r="M18" i="53"/>
  <c r="O18" i="53" s="1"/>
  <c r="P18" i="53" s="1"/>
  <c r="M21" i="52"/>
  <c r="O21" i="52" s="1"/>
  <c r="P21" i="52" s="1"/>
  <c r="M21" i="51"/>
  <c r="M20" i="50"/>
  <c r="O20" i="50" s="1"/>
  <c r="P20" i="50" s="1"/>
  <c r="M16" i="48"/>
  <c r="K12" i="62"/>
  <c r="M21" i="47"/>
  <c r="O21" i="47" s="1"/>
  <c r="P21" i="47" s="1"/>
  <c r="M20" i="47"/>
  <c r="O20" i="47" s="1"/>
  <c r="P20" i="47" s="1"/>
  <c r="M16" i="44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53" l="1"/>
  <c r="P25" i="53" s="1"/>
  <c r="O25" i="52"/>
  <c r="P12" i="6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<sst xmlns="http://schemas.openxmlformats.org/spreadsheetml/2006/main" count="3948" uniqueCount="533">
  <si>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</si>
  <si>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</si>
  <si>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</si>
  <si>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</si>
  <si>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</si>
  <si>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</si>
  <si>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</si>
  <si>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</si>
  <si>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</si>
  <si>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</si>
  <si>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</si>
  <si>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</si>
  <si>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</si>
  <si>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</si>
  <si>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</si>
  <si>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</si>
  <si>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</si>
  <si>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</si>
  <si>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</si>
  <si>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</si>
  <si>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</si>
  <si>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</si>
  <si>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</si>
  <si>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</si>
  <si>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</si>
  <si>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</si>
  <si>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</si>
  <si>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</si>
  <si>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</si>
  <si>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</si>
  <si>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</si>
  <si>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</si>
  <si>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</si>
  <si>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</si>
  <si>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</si>
  <si>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</si>
  <si>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</si>
  <si>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</si>
  <si>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</si>
  <si>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</si>
  <si>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</si>
  <si>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</si>
  <si>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</si>
  <si>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</si>
  <si>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</si>
  <si>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</si>
  <si>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</si>
  <si>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</si>
  <si>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</si>
  <si>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</si>
  <si>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</si>
  <si>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</si>
  <si>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</si>
  <si>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</si>
  <si>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</si>
  <si>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</si>
  <si>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</si>
  <si>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</si>
  <si>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</si>
  <si>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</si>
  <si>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</si>
  <si>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</si>
  <si>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</si>
  <si>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</si>
  <si>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</si>
  <si>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</si>
  <si>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</si>
  <si>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</si>
  <si>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</si>
  <si>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</si>
  <si>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</si>
  <si>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</si>
  <si>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</si>
  <si>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</si>
  <si>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</si>
  <si>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</si>
  <si>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</si>
  <si>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</si>
  <si>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</si>
  <si>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</si>
  <si>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</si>
  <si>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</si>
  <si>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</si>
  <si>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</si>
  <si>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</si>
  <si>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</si>
  <si>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</si>
  <si>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</si>
  <si>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</si>
  <si>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</si>
  <si>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</si>
  <si>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</si>
  <si>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</si>
  <si>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</si>
  <si>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</si>
  <si>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</si>
  <si>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</si>
  <si>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</si>
  <si>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</si>
  <si>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</si>
  <si>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</si>
  <si>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</si>
  <si>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</si>
  <si>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</si>
  <si>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</si>
  <si>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</si>
  <si>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</si>
  <si>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</si>
  <si>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</si>
  <si>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</si>
  <si>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</si>
  <si>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</si>
  <si>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</si>
  <si>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</si>
  <si>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</si>
  <si>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</si>
  <si>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</si>
  <si>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</si>
  <si>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</si>
  <si>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</si>
  <si>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</si>
  <si>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</si>
  <si>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</si>
  <si>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</si>
  <si>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</si>
  <si>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</si>
  <si>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</si>
  <si>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</si>
  <si>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</si>
  <si>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</si>
  <si>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</si>
  <si>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</si>
  <si>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</si>
  <si>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</si>
  <si>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</si>
  <si>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</si>
  <si>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</si>
  <si>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</si>
  <si>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</si>
  <si>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</si>
  <si>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</si>
  <si>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</si>
  <si>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</si>
  <si>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</si>
  <si>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</si>
  <si>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</si>
  <si>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</si>
  <si>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</si>
  <si>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</si>
  <si>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</si>
  <si>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</si>
  <si>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</si>
  <si>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</si>
  <si>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</si>
  <si>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</si>
  <si>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</si>
  <si>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</si>
  <si>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</si>
  <si>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</si>
  <si>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</si>
  <si>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</si>
  <si>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</si>
  <si>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</si>
  <si>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</si>
  <si>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</si>
  <si>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</si>
  <si>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</si>
  <si>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</si>
  <si>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</si>
  <si>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</si>
  <si>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</si>
  <si>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</si>
  <si>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</si>
  <si>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</si>
  <si>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</si>
  <si>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</si>
  <si>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</si>
  <si>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</si>
  <si>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</si>
  <si>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</si>
  <si>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</si>
  <si>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</si>
  <si>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</si>
  <si>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</si>
  <si>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</si>
  <si>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</si>
  <si>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</si>
  <si>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</si>
  <si>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</si>
  <si>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</si>
  <si>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</si>
  <si>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</si>
  <si>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</si>
  <si>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</si>
  <si>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</si>
  <si>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</si>
  <si>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</si>
  <si>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</si>
  <si>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</si>
  <si>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</si>
  <si>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</si>
  <si>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</si>
  <si>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</si>
  <si>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</si>
  <si>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</si>
  <si>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</si>
  <si>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</si>
  <si>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</si>
  <si>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</si>
  <si>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</si>
  <si>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</si>
  <si>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</si>
  <si>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</si>
  <si>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</si>
  <si>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</si>
  <si>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</si>
  <si>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</si>
  <si>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</si>
  <si>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</si>
  <si>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</si>
  <si>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</si>
  <si>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</si>
  <si>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</si>
  <si>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</si>
  <si>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</si>
  <si>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</si>
  <si>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</si>
  <si>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</si>
  <si>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</si>
  <si>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</si>
  <si>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</si>
  <si>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</si>
  <si>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</si>
  <si>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</si>
  <si>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</si>
  <si>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</si>
  <si>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</si>
  <si>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</si>
  <si>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</si>
  <si>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</si>
  <si>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</si>
  <si>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</si>
  <si>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</si>
  <si>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</si>
  <si>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</si>
  <si>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</si>
  <si>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</si>
  <si>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</si>
  <si>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</si>
  <si>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</si>
  <si>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</si>
  <si>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</si>
  <si>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</si>
  <si>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</si>
  <si>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</si>
  <si>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</si>
  <si>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</si>
  <si>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</si>
  <si>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</si>
  <si>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</si>
  <si>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</si>
  <si>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</si>
  <si>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</si>
  <si>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</si>
  <si>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</si>
  <si>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</si>
  <si>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</si>
  <si>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</si>
  <si>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</si>
  <si>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</si>
  <si>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</si>
  <si>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</si>
  <si>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</si>
  <si>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</si>
  <si>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</si>
  <si>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</si>
  <si>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</si>
  <si>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</si>
  <si>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</si>
  <si>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</si>
  <si>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</si>
  <si>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</si>
  <si>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</si>
  <si>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</si>
  <si>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</si>
  <si>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</si>
  <si>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</si>
  <si>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</si>
  <si>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</si>
  <si>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</si>
  <si>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</si>
  <si>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</si>
  <si>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</si>
  <si>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</si>
  <si>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</si>
  <si>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</si>
  <si>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</si>
  <si>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</si>
  <si>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</si>
  <si>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</si>
  <si>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</si>
  <si>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</si>
  <si>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</si>
  <si>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</si>
  <si>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</si>
  <si>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</si>
  <si>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</si>
  <si>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</si>
  <si>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</si>
  <si>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</si>
  <si>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</si>
  <si>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</si>
  <si>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</si>
  <si>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</si>
  <si>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</si>
  <si>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</si>
  <si>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</si>
  <si>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</si>
  <si>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</si>
  <si>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</si>
  <si>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</si>
  <si>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</si>
  <si>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</si>
  <si>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</si>
  <si>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</si>
  <si>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</si>
  <si>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</si>
  <si>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</si>
  <si>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</si>
  <si>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</si>
  <si>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</si>
  <si>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</si>
  <si>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</si>
  <si>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</si>
  <si>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</si>
  <si>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</si>
  <si>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</si>
  <si>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</si>
  <si>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</si>
  <si>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</si>
  <si>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</si>
  <si>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</si>
  <si>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</si>
  <si>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</si>
  <si>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</si>
  <si>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</si>
  <si>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</si>
  <si>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</si>
  <si>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</si>
  <si>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</si>
  <si>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</si>
  <si>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</si>
  <si>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</si>
  <si>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</si>
  <si>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</si>
  <si>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</si>
  <si>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</si>
  <si>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</si>
  <si>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</si>
  <si>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</si>
  <si>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</si>
  <si>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</si>
  <si>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</si>
  <si>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</si>
  <si>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</si>
  <si>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</si>
  <si>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</si>
  <si>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</si>
  <si>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</si>
  <si>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</si>
  <si>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</si>
  <si>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</si>
  <si>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</si>
  <si>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</si>
  <si>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</si>
  <si>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</si>
  <si>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</si>
  <si>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</si>
  <si>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</si>
  <si>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</si>
  <si>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</si>
  <si>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</si>
  <si>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</si>
  <si>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</si>
  <si>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</si>
  <si>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</si>
  <si>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</si>
  <si>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</si>
  <si>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</si>
  <si>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</si>
  <si>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</si>
  <si>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</si>
  <si>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</si>
  <si>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</si>
  <si>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</si>
  <si>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</si>
  <si>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</si>
  <si>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</si>
  <si>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</si>
  <si>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</si>
  <si>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</si>
  <si>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</si>
  <si>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</si>
  <si>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</si>
  <si>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</si>
  <si>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</si>
  <si>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</si>
  <si>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</si>
  <si>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</si>
  <si>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</si>
  <si>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</si>
  <si>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</si>
  <si>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</si>
  <si>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</si>
  <si>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</si>
  <si>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</si>
  <si>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</si>
  <si>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</si>
  <si>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</si>
  <si>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</si>
  <si>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</si>
  <si>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</si>
  <si>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</si>
  <si>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</si>
  <si>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</si>
  <si>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</si>
  <si>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</si>
  <si>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</si>
  <si>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</si>
  <si>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</si>
  <si>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</si>
  <si>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</si>
  <si>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</si>
  <si>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</si>
  <si>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</si>
  <si>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</si>
  <si>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</si>
  <si>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</si>
  <si>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</si>
  <si>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</si>
  <si>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</si>
  <si>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</si>
  <si>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</si>
  <si>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</si>
  <si>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</si>
  <si>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</si>
  <si>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</si>
  <si>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</si>
  <si>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</si>
  <si>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</si>
  <si>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</si>
  <si>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</si>
  <si>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</si>
  <si>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</si>
  <si>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</si>
  <si>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</si>
  <si>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</si>
  <si>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</si>
  <si>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</si>
  <si>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</si>
  <si>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</si>
  <si>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</si>
  <si>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</si>
  <si>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</si>
  <si>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</si>
  <si>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</si>
  <si>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</si>
  <si>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</si>
  <si>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</si>
  <si>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</si>
  <si>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</si>
  <si>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</si>
  <si>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</si>
  <si>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</si>
  <si>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</si>
  <si>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</si>
  <si>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</si>
  <si>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</si>
  <si>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</si>
  <si>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</si>
  <si>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</si>
  <si>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</si>
  <si>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</si>
  <si>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</si>
  <si>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</si>
  <si>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</si>
  <si>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</si>
  <si>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</si>
  <si>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</si>
  <si>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</si>
  <si>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</si>
  <si>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</si>
  <si>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</si>
  <si>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</si>
  <si>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</si>
  <si>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</si>
  <si>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</si>
  <si>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</si>
  <si>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</si>
  <si>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</si>
  <si>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</si>
  <si>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</si>
  <si>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</si>
  <si>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</si>
  <si>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</si>
  <si>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</si>
  <si>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</si>
  <si>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</si>
  <si>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</si>
  <si>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</si>
  <si>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</si>
  <si>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</si>
  <si>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</si>
  <si>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</si>
  <si>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Furqan</t>
  </si>
  <si>
    <t>SM Store</t>
  </si>
  <si>
    <t xml:space="preserve">Address: Guru Mangat </t>
  </si>
  <si>
    <t xml:space="preserve">Fatima Mini Mart </t>
  </si>
  <si>
    <t xml:space="preserve">Address: Main Market Gullberg </t>
  </si>
  <si>
    <t>Bake And Bite</t>
  </si>
  <si>
    <t xml:space="preserve">Umer Bakery </t>
  </si>
  <si>
    <t xml:space="preserve">Manchiz Mart </t>
  </si>
  <si>
    <t xml:space="preserve">Peer Cash &amp; Carry </t>
  </si>
  <si>
    <t>Address: Zahoor Ilahi Store</t>
  </si>
  <si>
    <t>Hikma Super Store</t>
  </si>
  <si>
    <t>Address: Askari 5</t>
  </si>
  <si>
    <t>Sanwal Medical And GS</t>
  </si>
  <si>
    <t>Quality Store</t>
  </si>
  <si>
    <t xml:space="preserve">Kashmir Bakery </t>
  </si>
  <si>
    <t xml:space="preserve">Address: Gopal Nager </t>
  </si>
  <si>
    <t>Sawad Verity Store</t>
  </si>
  <si>
    <t>Address: Gopal Nager</t>
  </si>
  <si>
    <t>Bismillah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</si>
</sst>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46316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>SM Store</v>
      </c>
      <c r="T3" s="301">
        <f>+'1'!P35</f>
        <v>2265.051582838983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Fatima Mini Mart </v>
      </c>
      <c r="T4" s="301">
        <f>+'2'!P35</f>
        <v>453.01031656779651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Bake And Bite</v>
      </c>
      <c r="T5" s="301">
        <f>+'3'!P35</f>
        <v>2265.051582838983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Umer Bakery </v>
      </c>
      <c r="T6" s="301">
        <f>+'4'!P35</f>
        <v>3136.2115850847458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105</v>
      </c>
      <c r="I7" s="235">
        <f>(G7*D7)*F7+H7*F7</f>
        <v>5508.5625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440.68499999999989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192.79968749999998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4875.0778124999997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1041.1016949152538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29.580897537076268</v>
      </c>
      <c r="P7" s="310">
        <f>M7+N7+O7</f>
        <v>5945.7604049523297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 xml:space="preserve">Manchiz Mart </v>
      </c>
      <c r="T7" s="301">
        <f>+'5'!P35</f>
        <v>1019.2732122775423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64</v>
      </c>
      <c r="I8" s="236">
        <f t="shared" ref="I8:I14" si="0">(G8*D8)*F8+H8*F8</f>
        <v>3357.6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268.60799999999995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117.51600000000001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2971.4760000000001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634.57627118644041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18.030261355932204</v>
      </c>
      <c r="P8" s="311">
        <f t="shared" ref="P8:P15" si="2">M8+N8+O8</f>
        <v>3624.0825325423725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 xml:space="preserve">Peer Cash &amp; Carry </v>
      </c>
      <c r="T8" s="301">
        <f>+'6'!P35</f>
        <v>6969.3689604661022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95</v>
      </c>
      <c r="I9" s="236">
        <f t="shared" si="0"/>
        <v>4983.9375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398.71499999999992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174.43781250000001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4410.7846874999996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941.94915254237253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26.763669200211865</v>
      </c>
      <c r="P9" s="311">
        <f t="shared" si="2"/>
        <v>5379.4975092425839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Hikma Super Store</v>
      </c>
      <c r="T9" s="301">
        <f>+'7'!P35</f>
        <v>1019.2732122775423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102</v>
      </c>
      <c r="I10" s="236">
        <f t="shared" si="0"/>
        <v>7409.28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650.85440000000006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259.32480000000004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6499.1008000000002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1400.3389830508477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39.497198915254231</v>
      </c>
      <c r="P10" s="311">
        <f t="shared" si="2"/>
        <v>7938.9369819661024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Sanwal Medical And GS</v>
      </c>
      <c r="T10" s="301">
        <f>+'8'!P35</f>
        <v>1359.0309497033895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98</v>
      </c>
      <c r="I11" s="236">
        <f t="shared" si="0"/>
        <v>7118.72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627.6096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249.15520000000004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6241.9552000000003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1345.4237288135596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37.936894644067799</v>
      </c>
      <c r="P11" s="311">
        <f t="shared" si="2"/>
        <v>7625.3158234576276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Quality Store</v>
      </c>
      <c r="T11" s="301">
        <f>+'9'!P35</f>
        <v>940.86347552542372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108</v>
      </c>
      <c r="I12" s="236">
        <f t="shared" si="0"/>
        <v>7845.12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685.72159999999997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274.57920000000007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6884.8191999999999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1482.71186440678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41.837655322033896</v>
      </c>
      <c r="P12" s="311">
        <f t="shared" si="2"/>
        <v>8409.3687197288127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 xml:space="preserve">Kashmir Bakery </v>
      </c>
      <c r="T12" s="301">
        <f>+'10'!P35</f>
        <v>4861.1368511313567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Sawad Verity Store</v>
      </c>
      <c r="T13" s="301">
        <f>+'11'!P35</f>
        <v>9233.4270752542379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Bismillah Store</v>
      </c>
      <c r="T14" s="301">
        <f>+'12'!P35</f>
        <v>5401.2631679237284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14.3</v>
      </c>
      <c r="H16" s="113">
        <f t="shared" ref="H16:M16" si="3">SUM(H7:H15)</f>
        <v>572</v>
      </c>
      <c r="I16" s="114">
        <f t="shared" si="3"/>
        <v>36223.22</v>
      </c>
      <c r="J16" s="274">
        <f>SUM(J7:J15)</f>
        <v>3072.1935999999996</v>
      </c>
      <c r="K16" s="275">
        <f t="shared" si="3"/>
        <v>1267.8127000000002</v>
      </c>
      <c r="L16" s="276">
        <f t="shared" si="3"/>
        <v>0</v>
      </c>
      <c r="M16" s="232">
        <f t="shared" si="3"/>
        <v>31883.2137</v>
      </c>
      <c r="N16" s="233">
        <f>SUM(N7:N15)</f>
        <v>6846.1016949152545</v>
      </c>
      <c r="O16" s="101">
        <f>SUM(O7:O15)</f>
        <v>193.64657697457628</v>
      </c>
      <c r="P16" s="113">
        <f>SUM(P7:P15)</f>
        <v>38922.961971889832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36223.22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3072.1935999999996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1267.8127000000002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31883.213700000004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6846.1016949152545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38729.315394915262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193.64657697457628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38922.961971889839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38922.961971889832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ref="I18:I21" si="7">(G18*D18)*F18+H18*F18</f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2098.5</v>
      </c>
      <c r="J25" s="274">
        <f>SUM(J16:J24)</f>
        <v>167.88</v>
      </c>
      <c r="K25" s="275">
        <f t="shared" si="10"/>
        <v>73.447500000000019</v>
      </c>
      <c r="L25" s="276">
        <f t="shared" si="10"/>
        <v>0</v>
      </c>
      <c r="M25" s="232">
        <f t="shared" si="10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73.447500000000019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2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</v>
      </c>
      <c r="I25" s="114">
        <f t="shared" si="7"/>
        <v>419.7</v>
      </c>
      <c r="J25" s="274">
        <f>SUM(J16:J24)</f>
        <v>33.576000000000001</v>
      </c>
      <c r="K25" s="275">
        <f t="shared" si="7"/>
        <v>14.689500000000001</v>
      </c>
      <c r="L25" s="276">
        <f t="shared" si="7"/>
        <v>0</v>
      </c>
      <c r="M25" s="232">
        <f t="shared" si="7"/>
        <v>371.43449999999996</v>
      </c>
      <c r="N25" s="233">
        <f>SUM(N16:N24)</f>
        <v>79.322033898305051</v>
      </c>
      <c r="O25" s="101">
        <f>SUM(O16:O24)</f>
        <v>2.2537826694915251</v>
      </c>
      <c r="P25" s="234">
        <f>SUM(P16:P24)</f>
        <v>453.01031656779651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419.7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33.576000000000001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14.689500000000001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371.43449999999996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79.322033898305051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450.75653389830501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2.2537826694915251</v>
      </c>
    </row>
    <row r="35" spans="2:16" ht="15.75" customHeight="1" thickBot="1" x14ac:dyDescent="0.4">
      <c r="N35" s="374" t="s">
        <v>88</v>
      </c>
      <c r="O35" s="375"/>
      <c r="P35" s="297">
        <f>+P33+P34</f>
        <v>453.01031656779651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8.75" customHeight="1" x14ac:dyDescent="0.4">
      <c r="A6" s="400" t="s">
        <v>519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167.88</v>
      </c>
      <c r="K25" s="275">
        <f t="shared" si="7"/>
        <v>73.447500000000019</v>
      </c>
      <c r="L25" s="276">
        <f t="shared" si="7"/>
        <v>0</v>
      </c>
      <c r="M25" s="232">
        <f t="shared" si="7"/>
        <v>1857.1724999999999</v>
      </c>
      <c r="N25" s="233">
        <f>SUM(N16:N24)</f>
        <v>396.61016949152526</v>
      </c>
      <c r="O25" s="101">
        <f>SUM(O16:O24)</f>
        <v>11.268913347457627</v>
      </c>
      <c r="P25" s="234">
        <f>SUM(P16:P24)</f>
        <v>2265.0515828389825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2098.5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167.88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73.447500000000019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1857.1724999999999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2253.7826694915252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11.268913347457627</v>
      </c>
    </row>
    <row r="35" spans="2:16" ht="15.75" customHeight="1" thickBot="1" x14ac:dyDescent="0.4">
      <c r="N35" s="374" t="s">
        <v>88</v>
      </c>
      <c r="O35" s="375"/>
      <c r="P35" s="297">
        <f>+P33+P34</f>
        <v>2265.051582838983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232.44799999999998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18</v>
      </c>
      <c r="I25" s="114">
        <f t="shared" si="7"/>
        <v>944.32499999999993</v>
      </c>
      <c r="J25" s="274">
        <f>SUM(J16:J24)</f>
        <v>75.545999999999992</v>
      </c>
      <c r="K25" s="275">
        <f t="shared" si="7"/>
        <v>33.051375</v>
      </c>
      <c r="L25" s="276">
        <f t="shared" si="7"/>
        <v>0</v>
      </c>
      <c r="M25" s="232">
        <f t="shared" si="7"/>
        <v>835.72762499999999</v>
      </c>
      <c r="N25" s="233">
        <f>SUM(N16:N24)</f>
        <v>178.47457627118638</v>
      </c>
      <c r="O25" s="101">
        <f>SUM(O16:O24)</f>
        <v>5.0710110063559313</v>
      </c>
      <c r="P25" s="234">
        <f>SUM(P16:P24)</f>
        <v>1019.2732122775424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944.32499999999993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75.545999999999992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33.051375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835.72762499999999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178.47457627118638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1014.2022012711864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5.0710110063559322</v>
      </c>
    </row>
    <row r="35" spans="2:16" ht="15.75" customHeight="1" thickBot="1" x14ac:dyDescent="0.4">
      <c r="N35" s="374" t="s">
        <v>88</v>
      </c>
      <c r="O35" s="375"/>
      <c r="P35" s="297">
        <f>+P33+P34</f>
        <v>1019.2732122775423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522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5.6344566737288133</v>
      </c>
      <c r="P16" s="118">
        <f>M16+N16+O16</f>
        <v>1132.5257914194915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516.55200000000002</v>
      </c>
      <c r="K25" s="275">
        <f t="shared" si="7"/>
        <v>225.99150000000003</v>
      </c>
      <c r="L25" s="276">
        <f t="shared" si="7"/>
        <v>0</v>
      </c>
      <c r="M25" s="232">
        <f t="shared" si="7"/>
        <v>5714.3565000000008</v>
      </c>
      <c r="N25" s="233">
        <f>SUM(N16:N24)</f>
        <v>1220.3389830508472</v>
      </c>
      <c r="O25" s="101">
        <f>SUM(O16:O24)</f>
        <v>34.673477415254233</v>
      </c>
      <c r="P25" s="234">
        <f>SUM(P16:P24)</f>
        <v>6969.3689604661022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6456.9000000000005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516.55200000000002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225.99150000000003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5714.3565000000008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6934.6954830508475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34.67347741525424</v>
      </c>
    </row>
    <row r="35" spans="2:16" ht="15.75" customHeight="1" thickBot="1" x14ac:dyDescent="0.4">
      <c r="N35" s="374" t="s">
        <v>88</v>
      </c>
      <c r="O35" s="375"/>
      <c r="P35" s="297">
        <f>+P33+P34</f>
        <v>6969.3689604661022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2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524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525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18</v>
      </c>
      <c r="I25" s="114">
        <f t="shared" si="7"/>
        <v>944.32499999999993</v>
      </c>
      <c r="J25" s="274">
        <f>SUM(J16:J24)</f>
        <v>75.545999999999992</v>
      </c>
      <c r="K25" s="275">
        <f t="shared" si="7"/>
        <v>33.051375</v>
      </c>
      <c r="L25" s="276">
        <f t="shared" si="7"/>
        <v>0</v>
      </c>
      <c r="M25" s="232">
        <f t="shared" si="7"/>
        <v>835.72762499999999</v>
      </c>
      <c r="N25" s="233">
        <f>SUM(N16:N24)</f>
        <v>178.47457627118638</v>
      </c>
      <c r="O25" s="101">
        <f>SUM(O16:O24)</f>
        <v>5.0710110063559313</v>
      </c>
      <c r="P25" s="234">
        <f>SUM(P16:P24)</f>
        <v>1019.2732122775424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944.32499999999993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75.545999999999992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33.051375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835.72762499999999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178.47457627118638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1014.2022012711864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5.0710110063559322</v>
      </c>
    </row>
    <row r="35" spans="2:16" ht="15.75" customHeight="1" thickBot="1" x14ac:dyDescent="0.4">
      <c r="N35" s="374" t="s">
        <v>88</v>
      </c>
      <c r="O35" s="375"/>
      <c r="P35" s="297">
        <f>+P33+P34</f>
        <v>1019.2732122775423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526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24</v>
      </c>
      <c r="I25" s="114">
        <f t="shared" si="7"/>
        <v>1259.0999999999999</v>
      </c>
      <c r="J25" s="274">
        <f>SUM(J16:J24)</f>
        <v>100.72799999999999</v>
      </c>
      <c r="K25" s="275">
        <f t="shared" si="7"/>
        <v>44.0685</v>
      </c>
      <c r="L25" s="276">
        <f t="shared" si="7"/>
        <v>0</v>
      </c>
      <c r="M25" s="232">
        <f t="shared" si="7"/>
        <v>1114.3035</v>
      </c>
      <c r="N25" s="233">
        <f>SUM(N16:N24)</f>
        <v>237.96610169491515</v>
      </c>
      <c r="O25" s="101">
        <f>SUM(O16:O24)</f>
        <v>6.7613480084745756</v>
      </c>
      <c r="P25" s="234">
        <f>SUM(P16:P24)</f>
        <v>1359.0309497033898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1259.0999999999999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100.72799999999999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44.0685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1114.3034999999998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237.96610169491515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1352.2696016949149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6.7613480084745747</v>
      </c>
    </row>
    <row r="35" spans="2:16" ht="15.75" customHeight="1" thickBot="1" x14ac:dyDescent="0.4">
      <c r="N35" s="374" t="s">
        <v>88</v>
      </c>
      <c r="O35" s="375"/>
      <c r="P35" s="297">
        <f>+P33+P34</f>
        <v>1359.0309497033895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527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4.6809128135593223</v>
      </c>
      <c r="P25" s="234">
        <f>SUM(P16:P24)</f>
        <v>940.86347552542372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871.68000000000006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69.734400000000008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30.508800000000004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771.43680000000006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936.18256271186442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4.6809128135593223</v>
      </c>
    </row>
    <row r="35" spans="2:16" ht="15.75" customHeight="1" thickBot="1" x14ac:dyDescent="0.4">
      <c r="N35" s="374" t="s">
        <v>88</v>
      </c>
      <c r="O35" s="375"/>
      <c r="P35" s="297">
        <f>+P33+P34</f>
        <v>940.86347552542372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528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72</v>
      </c>
      <c r="I25" s="114">
        <f t="shared" si="7"/>
        <v>4503.6900000000005</v>
      </c>
      <c r="J25" s="274">
        <f>SUM(J16:J24)</f>
        <v>360.29519999999997</v>
      </c>
      <c r="K25" s="275">
        <f t="shared" si="7"/>
        <v>157.62915000000001</v>
      </c>
      <c r="L25" s="276">
        <f t="shared" si="7"/>
        <v>0</v>
      </c>
      <c r="M25" s="232">
        <f t="shared" si="7"/>
        <v>3985.7656499999998</v>
      </c>
      <c r="N25" s="233">
        <f>SUM(N16:N24)</f>
        <v>851.18644067796617</v>
      </c>
      <c r="O25" s="101">
        <f>SUM(O16:O24)</f>
        <v>24.184760453389828</v>
      </c>
      <c r="P25" s="234">
        <f>SUM(P16:P24)</f>
        <v>4861.1368511313558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4503.6900000000005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360.29519999999997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157.62915000000001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3985.7656500000007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851.18644067796617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4836.9520906779671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24.184760453389835</v>
      </c>
    </row>
    <row r="35" spans="2:16" ht="15.75" customHeight="1" thickBot="1" x14ac:dyDescent="0.4">
      <c r="N35" s="374" t="s">
        <v>88</v>
      </c>
      <c r="O35" s="375"/>
      <c r="P35" s="297">
        <f>+P33+P34</f>
        <v>4861.1368511313567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530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531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290.56</v>
      </c>
      <c r="K19" s="128">
        <f t="shared" si="1"/>
        <v>101.69600000000001</v>
      </c>
      <c r="L19" s="119">
        <f t="shared" si="1"/>
        <v>0</v>
      </c>
      <c r="M19" s="230">
        <f t="shared" si="2"/>
        <v>2513.3440000000001</v>
      </c>
      <c r="N19" s="277">
        <f t="shared" si="3"/>
        <v>549.15254237288138</v>
      </c>
      <c r="O19" s="239">
        <f t="shared" si="4"/>
        <v>15.312482711864407</v>
      </c>
      <c r="P19" s="119">
        <f t="shared" si="5"/>
        <v>3077.8090250847458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290.56</v>
      </c>
      <c r="K21" s="128">
        <f t="shared" si="1"/>
        <v>101.69600000000001</v>
      </c>
      <c r="L21" s="119">
        <f t="shared" si="1"/>
        <v>0</v>
      </c>
      <c r="M21" s="230">
        <f t="shared" si="2"/>
        <v>2513.3440000000001</v>
      </c>
      <c r="N21" s="277">
        <f t="shared" si="3"/>
        <v>549.15254237288138</v>
      </c>
      <c r="O21" s="239">
        <f t="shared" si="4"/>
        <v>15.312482711864407</v>
      </c>
      <c r="P21" s="119">
        <f t="shared" si="5"/>
        <v>3077.8090250847458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871.68000000000006</v>
      </c>
      <c r="K25" s="275">
        <f t="shared" si="7"/>
        <v>305.08800000000002</v>
      </c>
      <c r="L25" s="276">
        <f t="shared" si="7"/>
        <v>0</v>
      </c>
      <c r="M25" s="232">
        <f t="shared" si="7"/>
        <v>7540.0320000000002</v>
      </c>
      <c r="N25" s="233">
        <f>SUM(N16:N24)</f>
        <v>1647.4576271186443</v>
      </c>
      <c r="O25" s="101">
        <f>SUM(O16:O24)</f>
        <v>45.937448135593222</v>
      </c>
      <c r="P25" s="234">
        <f>SUM(P16:P24)</f>
        <v>9233.4270752542379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8716.7999999999993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871.68000000000006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305.08800000000002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7540.0319999999992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9187.4896271186444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45.937448135593222</v>
      </c>
    </row>
    <row r="35" spans="2:16" ht="15.75" customHeight="1" thickBot="1" x14ac:dyDescent="0.4">
      <c r="N35" s="374" t="s">
        <v>88</v>
      </c>
      <c r="O35" s="375"/>
      <c r="P35" s="297">
        <f>+P33+P34</f>
        <v>9233.4270752542379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8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532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400.32800000000003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400.32800000000003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4428.6284999999998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5374.3912118644066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26.871956059322034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5401.2631679237284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4" sqref="A4:C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abSelected="1" topLeftCell="A2"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46316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46315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Furqan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46316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46315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2026-10-20T11:27:32Z</dcterms:modified>
</cp:coreProperties>
</file>