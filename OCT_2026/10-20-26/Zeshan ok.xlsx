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1CBE8C4-EC21-4866-AAD8-E8636F0180A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6" i="62" l="1"/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G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M20" i="53"/>
  <c r="O20" i="53" s="1"/>
  <c r="P20" i="53" s="1"/>
  <c r="M21" i="51"/>
  <c r="M16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<sst xmlns="http://schemas.openxmlformats.org/spreadsheetml/2006/main" count="3948" uniqueCount="530">
  <si>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</si>
  <si>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</si>
  <si>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</si>
  <si>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</si>
  <si>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</si>
  <si>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</si>
  <si>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</si>
  <si>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</si>
  <si>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</si>
  <si>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</si>
  <si>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</si>
  <si>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</si>
  <si>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</si>
  <si>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</si>
  <si>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</si>
  <si>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</si>
  <si>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</si>
  <si>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</si>
  <si>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</si>
  <si>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</si>
  <si>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</si>
  <si>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</si>
  <si>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</si>
  <si>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</si>
  <si>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</si>
  <si>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</si>
  <si>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</si>
  <si>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</si>
  <si>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</si>
  <si>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</si>
  <si>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</si>
  <si>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</si>
  <si>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</si>
  <si>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</si>
  <si>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</si>
  <si>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</si>
  <si>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</si>
  <si>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</si>
  <si>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</si>
  <si>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</si>
  <si>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</si>
  <si>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</si>
  <si>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</si>
  <si>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</si>
  <si>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</si>
  <si>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</si>
  <si>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</si>
  <si>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</si>
  <si>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</si>
  <si>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</si>
  <si>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</si>
  <si>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</si>
  <si>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</si>
  <si>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</si>
  <si>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</si>
  <si>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</si>
  <si>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</si>
  <si>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</si>
  <si>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</si>
  <si>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</si>
  <si>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</si>
  <si>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</si>
  <si>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</si>
  <si>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</si>
  <si>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</si>
  <si>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</si>
  <si>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</si>
  <si>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</si>
  <si>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</si>
  <si>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</si>
  <si>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</si>
  <si>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</si>
  <si>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</si>
  <si>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</si>
  <si>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</si>
  <si>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</si>
  <si>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</si>
  <si>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</si>
  <si>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</si>
  <si>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</si>
  <si>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</si>
  <si>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</si>
  <si>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</si>
  <si>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</si>
  <si>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</si>
  <si>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</si>
  <si>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</si>
  <si>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</si>
  <si>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</si>
  <si>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</si>
  <si>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</si>
  <si>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</si>
  <si>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</si>
  <si>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</si>
  <si>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</si>
  <si>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</si>
  <si>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</si>
  <si>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</si>
  <si>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</si>
  <si>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</si>
  <si>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</si>
  <si>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</si>
  <si>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</si>
  <si>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</si>
  <si>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</si>
  <si>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</si>
  <si>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</si>
  <si>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</si>
  <si>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</si>
  <si>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</si>
  <si>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</si>
  <si>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</si>
  <si>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</si>
  <si>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</si>
  <si>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</si>
  <si>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</si>
  <si>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</si>
  <si>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</si>
  <si>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</si>
  <si>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</si>
  <si>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</si>
  <si>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</si>
  <si>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</si>
  <si>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</si>
  <si>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</si>
  <si>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</si>
  <si>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</si>
  <si>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</si>
  <si>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</si>
  <si>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</si>
  <si>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</si>
  <si>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</si>
  <si>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</si>
  <si>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</si>
  <si>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</si>
  <si>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</si>
  <si>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</si>
  <si>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</si>
  <si>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</si>
  <si>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</si>
  <si>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</si>
  <si>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</si>
  <si>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</si>
  <si>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</si>
  <si>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</si>
  <si>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</si>
  <si>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</si>
  <si>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</si>
  <si>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</si>
  <si>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</si>
  <si>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</si>
  <si>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</si>
  <si>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</si>
  <si>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</si>
  <si>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</si>
  <si>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</si>
  <si>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</si>
  <si>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</si>
  <si>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</si>
  <si>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</si>
  <si>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</si>
  <si>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</si>
  <si>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</si>
  <si>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</si>
  <si>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</si>
  <si>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</si>
  <si>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</si>
  <si>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</si>
  <si>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</si>
  <si>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</si>
  <si>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</si>
  <si>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</si>
  <si>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</si>
  <si>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</si>
  <si>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</si>
  <si>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</si>
  <si>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</si>
  <si>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</si>
  <si>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</si>
  <si>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</si>
  <si>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</si>
  <si>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</si>
  <si>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</si>
  <si>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</si>
  <si>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</si>
  <si>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</si>
  <si>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</si>
  <si>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</si>
  <si>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</si>
  <si>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</si>
  <si>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</si>
  <si>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</si>
  <si>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</si>
  <si>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</si>
  <si>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</si>
  <si>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</si>
  <si>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</si>
  <si>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</si>
  <si>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</si>
  <si>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</si>
  <si>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</si>
  <si>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</si>
  <si>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</si>
  <si>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</si>
  <si>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</si>
  <si>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</si>
  <si>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</si>
  <si>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</si>
  <si>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</si>
  <si>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</si>
  <si>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</si>
  <si>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</si>
  <si>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</si>
  <si>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</si>
  <si>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</si>
  <si>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</si>
  <si>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</si>
  <si>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</si>
  <si>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</si>
  <si>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</si>
  <si>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</si>
  <si>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</si>
  <si>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</si>
  <si>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</si>
  <si>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</si>
  <si>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</si>
  <si>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</si>
  <si>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</si>
  <si>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</si>
  <si>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</si>
  <si>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</si>
  <si>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</si>
  <si>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</si>
  <si>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</si>
  <si>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</si>
  <si>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</si>
  <si>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</si>
  <si>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</si>
  <si>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</si>
  <si>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</si>
  <si>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</si>
  <si>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</si>
  <si>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</si>
  <si>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</si>
  <si>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</si>
  <si>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</si>
  <si>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</si>
  <si>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</si>
  <si>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</si>
  <si>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</si>
  <si>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</si>
  <si>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</si>
  <si>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</si>
  <si>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</si>
  <si>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</si>
  <si>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</si>
  <si>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</si>
  <si>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</si>
  <si>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</si>
  <si>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</si>
  <si>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</si>
  <si>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</si>
  <si>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</si>
  <si>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</si>
  <si>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</si>
  <si>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</si>
  <si>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</si>
  <si>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</si>
  <si>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</si>
  <si>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</si>
  <si>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</si>
  <si>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</si>
  <si>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</si>
  <si>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</si>
  <si>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</si>
  <si>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</si>
  <si>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</si>
  <si>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</si>
  <si>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</si>
  <si>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</si>
  <si>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</si>
  <si>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</si>
  <si>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</si>
  <si>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</si>
  <si>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</si>
  <si>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</si>
  <si>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</si>
  <si>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</si>
  <si>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</si>
  <si>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</si>
  <si>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</si>
  <si>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</si>
  <si>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</si>
  <si>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</si>
  <si>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</si>
  <si>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</si>
  <si>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</si>
  <si>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</si>
  <si>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</si>
  <si>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</si>
  <si>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</si>
  <si>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</si>
  <si>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</si>
  <si>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</si>
  <si>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</si>
  <si>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</si>
  <si>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</si>
  <si>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</si>
  <si>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</si>
  <si>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</si>
  <si>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</si>
  <si>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</si>
  <si>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</si>
  <si>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</si>
  <si>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</si>
  <si>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</si>
  <si>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</si>
  <si>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</si>
  <si>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</si>
  <si>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</si>
  <si>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</si>
  <si>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</si>
  <si>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</si>
  <si>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</si>
  <si>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</si>
  <si>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</si>
  <si>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</si>
  <si>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</si>
  <si>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</si>
  <si>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</si>
  <si>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</si>
  <si>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</si>
  <si>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</si>
  <si>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</si>
  <si>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</si>
  <si>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</si>
  <si>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</si>
  <si>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</si>
  <si>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</si>
  <si>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</si>
  <si>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</si>
  <si>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</si>
  <si>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</si>
  <si>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</si>
  <si>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</si>
  <si>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</si>
  <si>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</si>
  <si>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</si>
  <si>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</si>
  <si>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</si>
  <si>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</si>
  <si>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</si>
  <si>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</si>
  <si>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</si>
  <si>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</si>
  <si>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</si>
  <si>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</si>
  <si>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</si>
  <si>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</si>
  <si>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</si>
  <si>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</si>
  <si>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</si>
  <si>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</si>
  <si>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</si>
  <si>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</si>
  <si>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</si>
  <si>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</si>
  <si>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</si>
  <si>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</si>
  <si>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</si>
  <si>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</si>
  <si>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</si>
  <si>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</si>
  <si>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</si>
  <si>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</si>
  <si>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</si>
  <si>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</si>
  <si>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</si>
  <si>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</si>
  <si>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</si>
  <si>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</si>
  <si>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</si>
  <si>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</si>
  <si>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</si>
  <si>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</si>
  <si>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</si>
  <si>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</si>
  <si>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</si>
  <si>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</si>
  <si>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</si>
  <si>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</si>
  <si>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</si>
  <si>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</si>
  <si>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</si>
  <si>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</si>
  <si>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</si>
  <si>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</si>
  <si>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</si>
  <si>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</si>
  <si>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</si>
  <si>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</si>
  <si>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</si>
  <si>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</si>
  <si>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</si>
  <si>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</si>
  <si>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</si>
  <si>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</si>
  <si>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</si>
  <si>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</si>
  <si>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</si>
  <si>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</si>
  <si>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</si>
  <si>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</si>
  <si>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</si>
  <si>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</si>
  <si>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</si>
  <si>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</si>
  <si>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</si>
  <si>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</si>
  <si>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</si>
  <si>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</si>
  <si>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</si>
  <si>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</si>
  <si>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</si>
  <si>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</si>
  <si>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</si>
  <si>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</si>
  <si>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</si>
  <si>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</si>
  <si>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</si>
  <si>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</si>
  <si>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</si>
  <si>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</si>
  <si>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</si>
  <si>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</si>
  <si>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</si>
  <si>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</si>
  <si>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</si>
  <si>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</si>
  <si>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</si>
  <si>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</si>
  <si>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</si>
  <si>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</si>
  <si>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</si>
  <si>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</si>
  <si>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</si>
  <si>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</si>
  <si>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</si>
  <si>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</si>
  <si>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</si>
  <si>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</si>
  <si>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</si>
  <si>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</si>
  <si>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</si>
  <si>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</si>
  <si>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</si>
  <si>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</si>
  <si>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</si>
  <si>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</si>
  <si>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</si>
  <si>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</si>
  <si>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</si>
  <si>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</si>
  <si>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</si>
  <si>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</si>
  <si>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</si>
  <si>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</si>
  <si>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</si>
  <si>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</si>
  <si>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</si>
  <si>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</si>
  <si>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</si>
  <si>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</si>
  <si>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</si>
  <si>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</si>
  <si>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</si>
  <si>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</si>
  <si>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</si>
  <si>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</si>
  <si>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</si>
  <si>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</si>
  <si>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</si>
  <si>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</si>
  <si>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</si>
  <si>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</si>
  <si>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</si>
  <si>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</si>
  <si>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</si>
  <si>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</si>
  <si>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</si>
  <si>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</si>
  <si>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</si>
  <si>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</si>
  <si>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</si>
  <si>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</si>
  <si>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</si>
  <si>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</si>
  <si>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</si>
  <si>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</si>
  <si>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</si>
  <si>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</si>
  <si>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</si>
  <si>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</si>
  <si>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</si>
  <si>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</si>
  <si>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</si>
  <si>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</si>
  <si>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</si>
  <si>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</si>
  <si>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</si>
  <si>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</si>
  <si>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</si>
  <si>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</si>
  <si>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</si>
  <si>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</si>
  <si>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Address: Rifal Range Road</t>
  </si>
  <si>
    <t>Mirch Mahal Store</t>
  </si>
  <si>
    <t>Daim Store</t>
  </si>
  <si>
    <t>Shraf Store</t>
  </si>
  <si>
    <t>A One Store</t>
  </si>
  <si>
    <t>Khan Store</t>
  </si>
  <si>
    <t>Qadri Store</t>
  </si>
  <si>
    <t>Al Makkah Store</t>
  </si>
  <si>
    <t>Hiker Store</t>
  </si>
  <si>
    <t xml:space="preserve">Best Mart </t>
  </si>
  <si>
    <t>Hikma Store</t>
  </si>
  <si>
    <t xml:space="preserve">Address: Wateen Chowk </t>
  </si>
  <si>
    <t>Ahmad Store</t>
  </si>
  <si>
    <t xml:space="preserve">Shamza Bakers </t>
  </si>
  <si>
    <t>Defence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</si>
</sst>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Mirch Mahal Store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Daim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Shraf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 One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23</v>
      </c>
      <c r="I7" s="235">
        <f>(G7*D7)*F7+H7*F7</f>
        <v>1206.6375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96.530999999999992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42.232312500000006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1067.8741875000001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228.05084745762701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6.4796251747881355</v>
      </c>
      <c r="P7" s="310">
        <f>M7+N7+O7</f>
        <v>1302.4046601324153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Khan Store</v>
      </c>
      <c r="T7" s="301">
        <f>+'5'!P35</f>
        <v>1698.7886871292369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39</v>
      </c>
      <c r="I8" s="236">
        <f t="shared" ref="I8:I14" si="0">(G8*D8)*F8+H8*F8</f>
        <v>2046.0374999999999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163.68299999999999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71.611312499999997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1810.7431875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386.69491525423717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10.987190513771186</v>
      </c>
      <c r="P8" s="311">
        <f t="shared" ref="P8:P15" si="2">M8+N8+O8</f>
        <v>2208.4252932680083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Qadri Store</v>
      </c>
      <c r="T8" s="301">
        <f>+'6'!P35</f>
        <v>339.75773742584738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14</v>
      </c>
      <c r="I9" s="236">
        <f t="shared" si="0"/>
        <v>734.47500000000002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58.757999999999996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25.706625000000003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650.01037500000007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138.81355932203383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3.944119671610169</v>
      </c>
      <c r="P9" s="311">
        <f t="shared" si="2"/>
        <v>792.76805399364412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40</v>
      </c>
      <c r="R9" s="313">
        <v>7</v>
      </c>
      <c r="S9" s="300" t="str">
        <f>+'7'!A6:A6</f>
        <v>Al Makkah Store</v>
      </c>
      <c r="T9" s="301">
        <f>+'7'!P35</f>
        <v>2134.3686882521188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213</v>
      </c>
      <c r="I10" s="236">
        <f t="shared" si="0"/>
        <v>15472.32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1586.4576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541.53120000000013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13344.331200000001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2924.2372881355932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81.34284244067797</v>
      </c>
      <c r="P10" s="311">
        <f t="shared" si="2"/>
        <v>16349.911330576271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Hiker Store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143</v>
      </c>
      <c r="I11" s="236">
        <f t="shared" si="0"/>
        <v>10387.52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1092.5056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363.56320000000005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8931.4511999999995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1963.2203389830511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54.473357694915251</v>
      </c>
      <c r="P11" s="311">
        <f t="shared" si="2"/>
        <v>10949.144896677964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Best Mart 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154</v>
      </c>
      <c r="I12" s="236">
        <f t="shared" si="0"/>
        <v>11186.56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1156.4287999999999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391.52960000000002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9638.6016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2114.2372881355936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58.764194440677961</v>
      </c>
      <c r="P12" s="311">
        <f t="shared" si="2"/>
        <v>11811.603082576272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Hikma Store</v>
      </c>
      <c r="T12" s="301">
        <f>+'10'!P35</f>
        <v>30486.077450847453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Ahmad Store</v>
      </c>
      <c r="T13" s="301">
        <f>+'11'!P35</f>
        <v>3136.2115850847458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Shamza Bakers </v>
      </c>
      <c r="T14" s="301">
        <f>+'12'!P35</f>
        <v>1350.3157919809323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Defence Store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14.65</v>
      </c>
      <c r="H16" s="309">
        <f>+'1'!H25+'2'!H25+'3'!H25+'4'!H25+'5'!H25+'6'!H25+'7'!H25+'8'!H25+'9'!H25+'10'!H25+'11'!H25+'12'!H25+'13'!H25+'14'!H25+'15'!H25+'16'!H25+'17'!H25+'18'!H25+'19'!H25+'20'!H25+'21'!H25+'22'!H25+'23'!H25+'24'!H25+'25'!H25+'26'!H25+'27'!H25+'28'!H25+'29'!H25+'30'!H25</f>
        <v>586</v>
      </c>
      <c r="I16" s="114">
        <f t="shared" ref="H16:M16" si="3">SUM(I7:I15)</f>
        <v>41033.550000000003</v>
      </c>
      <c r="J16" s="274">
        <f>SUM(J7:J15)</f>
        <v>4154.3639999999996</v>
      </c>
      <c r="K16" s="275">
        <f t="shared" si="3"/>
        <v>1436.1742500000003</v>
      </c>
      <c r="L16" s="276">
        <f t="shared" si="3"/>
        <v>0</v>
      </c>
      <c r="M16" s="232">
        <f t="shared" si="3"/>
        <v>35443.011749999998</v>
      </c>
      <c r="N16" s="233">
        <f>SUM(N7:N15)</f>
        <v>7755.2542372881362</v>
      </c>
      <c r="O16" s="101">
        <f>SUM(O7:O15)</f>
        <v>215.99132993644065</v>
      </c>
      <c r="P16" s="113">
        <f>SUM(P7:P15)</f>
        <v>43414.257317224576</v>
      </c>
      <c r="Q16" s="128">
        <f>SUM(Q7:Q15)</f>
        <v>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41033.550000000003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4154.3639999999996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1436.1742500000003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35443.011749999998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7755.2542372881362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43198.265987288134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215.99132993644065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43414.257317224576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43414.257317224576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1573.875</v>
      </c>
      <c r="J25" s="274">
        <f>SUM(J16:J24)</f>
        <v>125.91</v>
      </c>
      <c r="K25" s="275">
        <f t="shared" si="7"/>
        <v>55.085625000000007</v>
      </c>
      <c r="L25" s="276">
        <f t="shared" si="7"/>
        <v>0</v>
      </c>
      <c r="M25" s="232">
        <f t="shared" si="7"/>
        <v>1392.879375</v>
      </c>
      <c r="N25" s="233">
        <f>SUM(N16:N24)</f>
        <v>297.45762711864393</v>
      </c>
      <c r="O25" s="101">
        <f>SUM(O16:O24)</f>
        <v>8.45168501059322</v>
      </c>
      <c r="P25" s="234">
        <f>SUM(P16:P24)</f>
        <v>1698.7886871292371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1573.875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125.91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55.085625000000007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1392.879375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1690.3370021186438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8.45168501059322</v>
      </c>
    </row>
    <row r="35" spans="2:16" ht="15.75" customHeight="1" thickBot="1" x14ac:dyDescent="0.4">
      <c r="N35" s="345" t="s">
        <v>88</v>
      </c>
      <c r="O35" s="346"/>
      <c r="P35" s="297">
        <f>+P33+P34</f>
        <v>1698.7886871292369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1977.4250000000002</v>
      </c>
      <c r="J25" s="274">
        <f>SUM(J16:J24)</f>
        <v>158.19399999999999</v>
      </c>
      <c r="K25" s="275">
        <f t="shared" si="7"/>
        <v>69.209875000000011</v>
      </c>
      <c r="L25" s="276">
        <f t="shared" si="7"/>
        <v>0</v>
      </c>
      <c r="M25" s="232">
        <f t="shared" si="7"/>
        <v>1750.0211250000002</v>
      </c>
      <c r="N25" s="233">
        <f>SUM(N16:N24)</f>
        <v>373.72881355932202</v>
      </c>
      <c r="O25" s="101">
        <f>SUM(O16:O24)</f>
        <v>10.618749692796611</v>
      </c>
      <c r="P25" s="234">
        <f>SUM(P16:P24)</f>
        <v>2134.3686882521188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1977.4250000000002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158.19399999999999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69.209875000000011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1750.0211250000002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373.72881355932202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2123.7499385593223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10.618749692796612</v>
      </c>
    </row>
    <row r="35" spans="2:16" ht="15.75" customHeight="1" thickBot="1" x14ac:dyDescent="0.4">
      <c r="N35" s="345" t="s">
        <v>88</v>
      </c>
      <c r="O35" s="346"/>
      <c r="P35" s="297">
        <f>+P33+P34</f>
        <v>2134.3686882521188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0"/>
        <v>11622.4</v>
      </c>
      <c r="J19" s="272">
        <f t="shared" si="1"/>
        <v>1278.4639999999999</v>
      </c>
      <c r="K19" s="128">
        <f t="shared" si="1"/>
        <v>406.78400000000005</v>
      </c>
      <c r="L19" s="119">
        <f t="shared" si="1"/>
        <v>0</v>
      </c>
      <c r="M19" s="230">
        <f t="shared" si="2"/>
        <v>9937.152</v>
      </c>
      <c r="N19" s="277">
        <f t="shared" si="3"/>
        <v>2196.6101694915255</v>
      </c>
      <c r="O19" s="239">
        <f t="shared" si="4"/>
        <v>60.668810847457628</v>
      </c>
      <c r="P19" s="119">
        <f t="shared" si="5"/>
        <v>12194.430980338982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958.84799999999996</v>
      </c>
      <c r="K20" s="128">
        <f t="shared" si="1"/>
        <v>305.08800000000002</v>
      </c>
      <c r="L20" s="119">
        <f t="shared" si="1"/>
        <v>0</v>
      </c>
      <c r="M20" s="230">
        <f t="shared" si="2"/>
        <v>7452.8639999999996</v>
      </c>
      <c r="N20" s="277">
        <f t="shared" si="3"/>
        <v>1647.4576271186443</v>
      </c>
      <c r="O20" s="239">
        <f t="shared" si="4"/>
        <v>45.501608135593216</v>
      </c>
      <c r="P20" s="119">
        <f t="shared" si="5"/>
        <v>9145.8232352542364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958.84799999999996</v>
      </c>
      <c r="K21" s="128">
        <f t="shared" si="1"/>
        <v>305.08800000000002</v>
      </c>
      <c r="L21" s="119">
        <f t="shared" si="1"/>
        <v>0</v>
      </c>
      <c r="M21" s="230">
        <f t="shared" si="2"/>
        <v>7452.8639999999996</v>
      </c>
      <c r="N21" s="277">
        <f t="shared" si="3"/>
        <v>1647.4576271186443</v>
      </c>
      <c r="O21" s="239">
        <f t="shared" si="4"/>
        <v>45.501608135593216</v>
      </c>
      <c r="P21" s="119">
        <f t="shared" si="5"/>
        <v>9145.8232352542364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400</v>
      </c>
      <c r="I25" s="114">
        <f t="shared" si="7"/>
        <v>29055.999999999996</v>
      </c>
      <c r="J25" s="274">
        <f>SUM(J16:J24)</f>
        <v>3196.16</v>
      </c>
      <c r="K25" s="275">
        <f t="shared" si="7"/>
        <v>1016.96</v>
      </c>
      <c r="L25" s="276">
        <f t="shared" si="7"/>
        <v>0</v>
      </c>
      <c r="M25" s="232">
        <f t="shared" si="7"/>
        <v>24842.879999999997</v>
      </c>
      <c r="N25" s="233">
        <f>SUM(N16:N24)</f>
        <v>5491.5254237288136</v>
      </c>
      <c r="O25" s="101">
        <f>SUM(O16:O24)</f>
        <v>151.67202711864405</v>
      </c>
      <c r="P25" s="234">
        <f>SUM(P16:P24)</f>
        <v>30486.077450847453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29055.999999999996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3196.16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1016.96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24842.879999999997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5491.5254237288136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30334.405423728811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151.67202711864405</v>
      </c>
    </row>
    <row r="35" spans="2:16" ht="15.75" customHeight="1" thickBot="1" x14ac:dyDescent="0.4">
      <c r="N35" s="345" t="s">
        <v>88</v>
      </c>
      <c r="O35" s="346"/>
      <c r="P35" s="297">
        <f>+P33+P34</f>
        <v>30486.077450847453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1251.0250000000001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100.08199999999999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43.785875000000004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1107.1571250000002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1343.5978029661019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45" t="s">
        <v>88</v>
      </c>
      <c r="O35" s="346"/>
      <c r="P35" s="297">
        <f>+P33+P34</f>
        <v>1350.3157919809323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9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40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2026-10-20T10:13:22Z</dcterms:modified>
</cp:coreProperties>
</file>