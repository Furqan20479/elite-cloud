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8C89DD4-EC4B-4798-8C47-B07102D9B23C}" xr6:coauthVersionLast="47" xr6:coauthVersionMax="47" xr10:uidLastSave="{00000000-0000-0000-0000-000000000000}"/>
  <bookViews>
    <workbookView xWindow="-110" yWindow="-110" windowWidth="19420" windowHeight="10420" tabRatio="594" firstSheet="3" activeTab="9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8" l="1"/>
  <c r="O23" i="58" s="1"/>
  <c r="P23" i="58" s="1"/>
  <c r="M23" i="56"/>
  <c r="M22" i="56"/>
  <c r="O22" i="56" s="1"/>
  <c r="P22" i="56" s="1"/>
  <c r="M23" i="60"/>
  <c r="M22" i="51"/>
  <c r="M23" i="48"/>
  <c r="M18" i="48"/>
  <c r="M23" i="59"/>
  <c r="O23" i="59" s="1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3" i="59" l="1"/>
  <c r="O22" i="16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<sst xmlns="http://schemas.openxmlformats.org/spreadsheetml/2006/main" count="3946" uniqueCount="519">
  <si>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</si>
  <si>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</si>
  <si>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</si>
  <si>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</si>
  <si>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</si>
  <si>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</si>
  <si>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</si>
  <si>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</si>
  <si>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</si>
  <si>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</si>
  <si>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</si>
  <si>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</si>
  <si>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</si>
  <si>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</si>
  <si>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</si>
  <si>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</si>
  <si>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</si>
  <si>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</si>
  <si>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</si>
  <si>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</si>
  <si>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</si>
  <si>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</si>
  <si>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</si>
  <si>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</si>
  <si>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</si>
  <si>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</si>
  <si>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</si>
  <si>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</si>
  <si>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</si>
  <si>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</si>
  <si>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</si>
  <si>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</si>
  <si>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</si>
  <si>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</si>
  <si>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</si>
  <si>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</si>
  <si>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</si>
  <si>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</si>
  <si>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</si>
  <si>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</si>
  <si>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</si>
  <si>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</si>
  <si>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</si>
  <si>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</si>
  <si>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</si>
  <si>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</si>
  <si>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</si>
  <si>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</si>
  <si>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</si>
  <si>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</si>
  <si>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</si>
  <si>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</si>
  <si>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</si>
  <si>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</si>
  <si>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</si>
  <si>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</si>
  <si>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</si>
  <si>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</si>
  <si>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</si>
  <si>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</si>
  <si>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</si>
  <si>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</si>
  <si>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</si>
  <si>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</si>
  <si>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</si>
  <si>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</si>
  <si>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</si>
  <si>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</si>
  <si>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</si>
  <si>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</si>
  <si>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</si>
  <si>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</si>
  <si>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</si>
  <si>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</si>
  <si>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</si>
  <si>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</si>
  <si>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</si>
  <si>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</si>
  <si>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</si>
  <si>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</si>
  <si>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</si>
  <si>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</si>
  <si>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</si>
  <si>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</si>
  <si>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</si>
  <si>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</si>
  <si>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</si>
  <si>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</si>
  <si>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</si>
  <si>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</si>
  <si>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</si>
  <si>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</si>
  <si>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</si>
  <si>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</si>
  <si>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</si>
  <si>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</si>
  <si>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</si>
  <si>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</si>
  <si>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</si>
  <si>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</si>
  <si>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</si>
  <si>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</si>
  <si>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</si>
  <si>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</si>
  <si>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</si>
  <si>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</si>
  <si>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</si>
  <si>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</si>
  <si>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</si>
  <si>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</si>
  <si>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</si>
  <si>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</si>
  <si>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</si>
  <si>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</si>
  <si>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</si>
  <si>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</si>
  <si>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</si>
  <si>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</si>
  <si>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</si>
  <si>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</si>
  <si>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</si>
  <si>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</si>
  <si>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</si>
  <si>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</si>
  <si>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</si>
  <si>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</si>
  <si>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</si>
  <si>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</si>
  <si>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</si>
  <si>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</si>
  <si>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</si>
  <si>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</si>
  <si>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</si>
  <si>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</si>
  <si>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</si>
  <si>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</si>
  <si>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</si>
  <si>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</si>
  <si>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</si>
  <si>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</si>
  <si>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</si>
  <si>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</si>
  <si>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</si>
  <si>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</si>
  <si>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</si>
  <si>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</si>
  <si>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</si>
  <si>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</si>
  <si>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</si>
  <si>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</si>
  <si>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</si>
  <si>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</si>
  <si>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</si>
  <si>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</si>
  <si>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</si>
  <si>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</si>
  <si>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</si>
  <si>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</si>
  <si>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</si>
  <si>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</si>
  <si>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</si>
  <si>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</si>
  <si>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</si>
  <si>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</si>
  <si>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</si>
  <si>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</si>
  <si>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</si>
  <si>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</si>
  <si>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</si>
  <si>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</si>
  <si>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</si>
  <si>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</si>
  <si>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</si>
  <si>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</si>
  <si>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</si>
  <si>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</si>
  <si>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</si>
  <si>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</si>
  <si>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</si>
  <si>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</si>
  <si>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</si>
  <si>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</si>
  <si>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</si>
  <si>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</si>
  <si>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</si>
  <si>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</si>
  <si>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</si>
  <si>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</si>
  <si>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</si>
  <si>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</si>
  <si>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</si>
  <si>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</si>
  <si>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</si>
  <si>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</si>
  <si>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</si>
  <si>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</si>
  <si>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</si>
  <si>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</si>
  <si>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</si>
  <si>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</si>
  <si>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</si>
  <si>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</si>
  <si>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</si>
  <si>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</si>
  <si>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</si>
  <si>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</si>
  <si>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</si>
  <si>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</si>
  <si>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</si>
  <si>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</si>
  <si>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</si>
  <si>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</si>
  <si>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</si>
  <si>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</si>
  <si>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</si>
  <si>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</si>
  <si>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</si>
  <si>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</si>
  <si>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</si>
  <si>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</si>
  <si>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</si>
  <si>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</si>
  <si>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</si>
  <si>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</si>
  <si>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</si>
  <si>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</si>
  <si>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</si>
  <si>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</si>
  <si>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</si>
  <si>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</si>
  <si>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</si>
  <si>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</si>
  <si>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</si>
  <si>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</si>
  <si>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</si>
  <si>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</si>
  <si>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</si>
  <si>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</si>
  <si>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</si>
  <si>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</si>
  <si>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</si>
  <si>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</si>
  <si>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</si>
  <si>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</si>
  <si>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</si>
  <si>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</si>
  <si>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</si>
  <si>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</si>
  <si>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</si>
  <si>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</si>
  <si>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</si>
  <si>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</si>
  <si>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</si>
  <si>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</si>
  <si>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</si>
  <si>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</si>
  <si>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</si>
  <si>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</si>
  <si>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</si>
  <si>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</si>
  <si>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</si>
  <si>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</si>
  <si>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</si>
  <si>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</si>
  <si>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</si>
  <si>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</si>
  <si>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</si>
  <si>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</si>
  <si>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</si>
  <si>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</si>
  <si>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</si>
  <si>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</si>
  <si>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</si>
  <si>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</si>
  <si>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</si>
  <si>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</si>
  <si>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</si>
  <si>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</si>
  <si>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</si>
  <si>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</si>
  <si>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</si>
  <si>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</si>
  <si>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</si>
  <si>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</si>
  <si>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</si>
  <si>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</si>
  <si>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</si>
  <si>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</si>
  <si>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</si>
  <si>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</si>
  <si>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</si>
  <si>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</si>
  <si>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</si>
  <si>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</si>
  <si>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</si>
  <si>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</si>
  <si>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</si>
  <si>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</si>
  <si>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</si>
  <si>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</si>
  <si>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</si>
  <si>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</si>
  <si>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</si>
  <si>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</si>
  <si>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</si>
  <si>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</si>
  <si>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</si>
  <si>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</si>
  <si>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</si>
  <si>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</si>
  <si>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</si>
  <si>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</si>
  <si>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</si>
  <si>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</si>
  <si>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</si>
  <si>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</si>
  <si>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</si>
  <si>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</si>
  <si>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</si>
  <si>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</si>
  <si>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</si>
  <si>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</si>
  <si>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</si>
  <si>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</si>
  <si>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</si>
  <si>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</si>
  <si>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</si>
  <si>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</si>
  <si>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</si>
  <si>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</si>
  <si>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</si>
  <si>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</si>
  <si>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</si>
  <si>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</si>
  <si>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</si>
  <si>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</si>
  <si>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</si>
  <si>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</si>
  <si>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</si>
  <si>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</si>
  <si>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</si>
  <si>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</si>
  <si>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</si>
  <si>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</si>
  <si>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</si>
  <si>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</si>
  <si>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</si>
  <si>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</si>
  <si>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</si>
  <si>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</si>
  <si>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</si>
  <si>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</si>
  <si>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</si>
  <si>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</si>
  <si>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</si>
  <si>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</si>
  <si>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</si>
  <si>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</si>
  <si>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</si>
  <si>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</si>
  <si>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</si>
  <si>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</si>
  <si>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</si>
  <si>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</si>
  <si>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</si>
  <si>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</si>
  <si>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</si>
  <si>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</si>
  <si>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</si>
  <si>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</si>
  <si>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</si>
  <si>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</si>
  <si>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</si>
  <si>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</si>
  <si>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</si>
  <si>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</si>
  <si>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</si>
  <si>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</si>
  <si>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</si>
  <si>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</si>
  <si>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</si>
  <si>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</si>
  <si>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</si>
  <si>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</si>
  <si>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</si>
  <si>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</si>
  <si>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</si>
  <si>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</si>
  <si>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</si>
  <si>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</si>
  <si>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</si>
  <si>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</si>
  <si>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</si>
  <si>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</si>
  <si>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</si>
  <si>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</si>
  <si>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</si>
  <si>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</si>
  <si>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</si>
  <si>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</si>
  <si>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</si>
  <si>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</si>
  <si>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</si>
  <si>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</si>
  <si>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</si>
  <si>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</si>
  <si>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</si>
  <si>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</si>
  <si>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</si>
  <si>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</si>
  <si>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</si>
  <si>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</si>
  <si>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</si>
  <si>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</si>
  <si>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</si>
  <si>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</si>
  <si>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</si>
  <si>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</si>
  <si>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</si>
  <si>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</si>
  <si>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</si>
  <si>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</si>
  <si>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</si>
  <si>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</si>
  <si>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</si>
  <si>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</si>
  <si>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</si>
  <si>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</si>
  <si>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</si>
  <si>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</si>
  <si>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</si>
  <si>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</si>
  <si>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</si>
  <si>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</si>
  <si>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</si>
  <si>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</si>
  <si>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</si>
  <si>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</si>
  <si>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</si>
  <si>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</si>
  <si>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</si>
  <si>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</si>
  <si>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</si>
  <si>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</si>
  <si>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</si>
  <si>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</si>
  <si>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</si>
  <si>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</si>
  <si>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</si>
  <si>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</si>
  <si>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</si>
  <si>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</si>
  <si>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</si>
  <si>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</si>
  <si>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</si>
  <si>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</si>
  <si>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</si>
  <si>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</si>
  <si>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</si>
  <si>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</si>
  <si>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</si>
  <si>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</si>
  <si>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</si>
  <si>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</si>
  <si>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</si>
  <si>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</si>
  <si>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</si>
  <si>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</si>
  <si>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</si>
  <si>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</si>
  <si>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</si>
  <si>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</si>
  <si>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</si>
  <si>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</si>
  <si>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</si>
  <si>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</si>
  <si>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</si>
  <si>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</si>
  <si>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</si>
  <si>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</si>
  <si>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</si>
  <si>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</si>
  <si>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</si>
  <si>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</si>
  <si>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</si>
  <si>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</si>
  <si>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</si>
  <si>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</si>
  <si>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</si>
  <si>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</si>
  <si>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</si>
  <si>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</si>
  <si>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</si>
  <si>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</si>
  <si>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</si>
  <si>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</si>
  <si>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</si>
  <si>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</si>
  <si>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</si>
  <si>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</si>
  <si>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</si>
  <si>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</si>
  <si>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</si>
  <si>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</si>
  <si>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</si>
  <si>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</si>
  <si>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</si>
  <si>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</si>
  <si>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</si>
  <si>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</si>
  <si>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 xml:space="preserve">Address: Shadra </t>
  </si>
  <si>
    <t>Address:  Shaikhpura</t>
  </si>
  <si>
    <t>Address: Gujranwala</t>
  </si>
  <si>
    <t>QTY</t>
  </si>
  <si>
    <t xml:space="preserve">Return </t>
  </si>
  <si>
    <t>Address: Barki Road</t>
  </si>
  <si>
    <t>Address: EME</t>
  </si>
  <si>
    <t xml:space="preserve">Address:Behria Town </t>
  </si>
  <si>
    <t>Invoice No # :00014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</si>
</sst>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3" fillId="0" borderId="1" xfId="0" applyFont="1" applyBorder="1"/>
    <xf numFmtId="0" fontId="0" fillId="0" borderId="1" xfId="0" applyBorder="1" applyAlignment="1">
      <alignment horizontal="center"/>
    </xf>
    <xf numFmtId="2" fontId="0" fillId="0" borderId="3" xfId="0" applyNumberFormat="1" applyBorder="1"/>
    <xf numFmtId="0" fontId="0" fillId="0" borderId="3" xfId="0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D12" sqref="D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1" t="s">
        <v>91</v>
      </c>
      <c r="B2" s="381"/>
      <c r="C2" s="381"/>
      <c r="E2" s="374" t="s">
        <v>497</v>
      </c>
      <c r="F2" s="372"/>
      <c r="G2" s="372"/>
      <c r="H2" s="372" t="s">
        <v>507</v>
      </c>
      <c r="I2" s="372"/>
      <c r="J2" s="373"/>
      <c r="R2" s="369" t="s">
        <v>506</v>
      </c>
      <c r="S2" s="370"/>
      <c r="T2" s="371"/>
    </row>
    <row r="3" spans="1:20 16377:16378" ht="21.75" customHeight="1" thickBot="1" x14ac:dyDescent="0.4">
      <c r="A3" s="382" t="s">
        <v>92</v>
      </c>
      <c r="B3" s="382"/>
      <c r="C3" s="382"/>
      <c r="E3" s="377" t="s">
        <v>498</v>
      </c>
      <c r="F3" s="378"/>
      <c r="G3" s="378"/>
      <c r="H3" s="375">
        <v>46273</v>
      </c>
      <c r="I3" s="375"/>
      <c r="J3" s="376"/>
      <c r="K3" s="383" t="s">
        <v>43</v>
      </c>
      <c r="L3" s="383"/>
      <c r="M3" s="383"/>
      <c r="N3" s="382"/>
      <c r="O3" s="382"/>
      <c r="P3" s="382"/>
      <c r="R3" s="299">
        <v>1</v>
      </c>
      <c r="S3" s="300" t="str">
        <f>+'1'!A6:A6</f>
        <v>Rainbow Cash &amp; Carry</v>
      </c>
      <c r="T3" s="301">
        <f>+'1'!P35</f>
        <v>22043.047496186442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4277.0240656779661</v>
      </c>
      <c r="XEX4" t="s">
        <v>105</v>
      </c>
    </row>
    <row r="5" spans="1:20 16377:16378" ht="21.75" customHeight="1" thickBot="1" x14ac:dyDescent="0.4">
      <c r="A5" s="334" t="s">
        <v>51</v>
      </c>
      <c r="B5" s="335"/>
      <c r="C5" s="338" t="s">
        <v>90</v>
      </c>
      <c r="D5" s="115" t="s">
        <v>52</v>
      </c>
      <c r="E5" s="340" t="s">
        <v>58</v>
      </c>
      <c r="F5" s="341"/>
      <c r="G5" s="342" t="s">
        <v>54</v>
      </c>
      <c r="H5" s="343"/>
      <c r="I5" s="344" t="s">
        <v>77</v>
      </c>
      <c r="J5" s="380" t="s">
        <v>55</v>
      </c>
      <c r="K5" s="342"/>
      <c r="L5" s="343"/>
      <c r="M5" s="335" t="s">
        <v>84</v>
      </c>
      <c r="N5" s="379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10199.031875847457</v>
      </c>
      <c r="XEX5" t="s">
        <v>106</v>
      </c>
    </row>
    <row r="6" spans="1:20 16377:16378" ht="21.75" customHeight="1" thickBot="1" x14ac:dyDescent="0.4">
      <c r="A6" s="336"/>
      <c r="B6" s="337"/>
      <c r="C6" s="33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45"/>
      <c r="J6" s="143" t="s">
        <v>59</v>
      </c>
      <c r="K6" s="144" t="s">
        <v>39</v>
      </c>
      <c r="L6" s="145" t="s">
        <v>493</v>
      </c>
      <c r="M6" s="337"/>
      <c r="N6" s="345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19082.043591101698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160</v>
      </c>
      <c r="I7" s="235">
        <f>(G7*D7)*F7+H7*F7</f>
        <v>8394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1175.1600000000001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293.79000000000002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6925.05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1586.440677966101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42.557453389830506</v>
      </c>
      <c r="P7" s="118">
        <f>M7+N7+O7</f>
        <v>8554.0481313559321</v>
      </c>
      <c r="Q7" s="142"/>
      <c r="R7" s="299">
        <v>5</v>
      </c>
      <c r="S7" s="300" t="str">
        <f>+'5'!A6:A6</f>
        <v>Rainbow Cash &amp; Carry</v>
      </c>
      <c r="T7" s="301">
        <f>+'5'!P35</f>
        <v>7340.2324507627118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Rainbow Cash &amp; Carry</v>
      </c>
      <c r="T8" s="301">
        <f>+'6'!P35</f>
        <v>25826.543273516945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280</v>
      </c>
      <c r="I9" s="236">
        <f t="shared" si="0"/>
        <v>14689.5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2056.5300000000002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514.13250000000005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12118.8375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2776.2711864406765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74.475543432203381</v>
      </c>
      <c r="P9" s="119">
        <f t="shared" si="2"/>
        <v>14969.584229872878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160</v>
      </c>
      <c r="I10" s="236">
        <f t="shared" si="0"/>
        <v>11622.4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1627.1360000000002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406.78400000000005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9588.48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2196.6101694915255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58.925450847457626</v>
      </c>
      <c r="P10" s="119">
        <f t="shared" si="2"/>
        <v>11844.015620338982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240</v>
      </c>
      <c r="I11" s="236">
        <f t="shared" si="0"/>
        <v>17433.599999999999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2440.7040000000002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508.48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14484.415999999997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3294.9152542372885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88.89665627118643</v>
      </c>
      <c r="P11" s="119">
        <f t="shared" si="2"/>
        <v>17868.227910508474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480</v>
      </c>
      <c r="I12" s="236">
        <f t="shared" si="0"/>
        <v>34867.199999999997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4881.4080000000004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1220.3520000000001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28765.439999999995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6589.8305084745771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176.77635254237288</v>
      </c>
      <c r="P12" s="119">
        <f t="shared" si="2"/>
        <v>35532.046861016941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84">
        <f>COUNT(A7:A15)</f>
        <v>0</v>
      </c>
      <c r="B16" s="346"/>
      <c r="C16" s="346" t="s">
        <v>40</v>
      </c>
      <c r="D16" s="346"/>
      <c r="E16" s="346"/>
      <c r="F16" s="347"/>
      <c r="G16" s="117">
        <f t="shared" ref="G16:M16" si="3">SUM(G7:G15)</f>
        <v>0</v>
      </c>
      <c r="H16" s="113">
        <f t="shared" si="3"/>
        <v>1320</v>
      </c>
      <c r="I16" s="114">
        <f t="shared" si="3"/>
        <v>87006.7</v>
      </c>
      <c r="J16" s="274">
        <f>SUM(J7:J15)</f>
        <v>12180.938000000002</v>
      </c>
      <c r="K16" s="275">
        <f t="shared" si="3"/>
        <v>2943.5385000000006</v>
      </c>
      <c r="L16" s="276">
        <f t="shared" si="3"/>
        <v>0</v>
      </c>
      <c r="M16" s="232">
        <f t="shared" si="3"/>
        <v>71882.223499999993</v>
      </c>
      <c r="N16" s="233">
        <f>SUM(N7:N15)</f>
        <v>16444.067796610168</v>
      </c>
      <c r="O16" s="101">
        <f>SUM(O7:O15)</f>
        <v>441.63145648305084</v>
      </c>
      <c r="P16" s="234">
        <f>SUM(P7:P15)</f>
        <v>88767.922753093211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48" t="s">
        <v>64</v>
      </c>
      <c r="C19" s="349"/>
      <c r="D19" s="349"/>
      <c r="E19" s="349"/>
      <c r="F19" s="349"/>
      <c r="G19" s="349"/>
      <c r="H19" s="349"/>
      <c r="I19" s="349"/>
      <c r="J19" s="349"/>
      <c r="K19" s="349"/>
      <c r="L19" s="350"/>
      <c r="N19" s="357" t="s">
        <v>60</v>
      </c>
      <c r="O19" s="358"/>
      <c r="P19" s="139">
        <f>I16</f>
        <v>87006.7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51"/>
      <c r="C20" s="352"/>
      <c r="D20" s="352"/>
      <c r="E20" s="352"/>
      <c r="F20" s="352"/>
      <c r="G20" s="352"/>
      <c r="H20" s="352"/>
      <c r="I20" s="352"/>
      <c r="J20" s="352"/>
      <c r="K20" s="352"/>
      <c r="L20" s="353"/>
      <c r="N20" s="359" t="s">
        <v>85</v>
      </c>
      <c r="O20" s="360"/>
      <c r="P20" s="140">
        <f>+J16</f>
        <v>12180.938000000002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51"/>
      <c r="C21" s="352"/>
      <c r="D21" s="352"/>
      <c r="E21" s="352"/>
      <c r="F21" s="352"/>
      <c r="G21" s="352"/>
      <c r="H21" s="352"/>
      <c r="I21" s="352"/>
      <c r="J21" s="352"/>
      <c r="K21" s="352"/>
      <c r="L21" s="353"/>
      <c r="N21" s="359" t="s">
        <v>86</v>
      </c>
      <c r="O21" s="360"/>
      <c r="P21" s="140">
        <f>+K16+L16</f>
        <v>2943.5385000000006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51"/>
      <c r="C22" s="352"/>
      <c r="D22" s="352"/>
      <c r="E22" s="352"/>
      <c r="F22" s="352"/>
      <c r="G22" s="352"/>
      <c r="H22" s="352"/>
      <c r="I22" s="352"/>
      <c r="J22" s="352"/>
      <c r="K22" s="352"/>
      <c r="L22" s="353"/>
      <c r="M22" s="131"/>
      <c r="N22" s="359" t="s">
        <v>87</v>
      </c>
      <c r="O22" s="360"/>
      <c r="P22" s="140">
        <f>P19-P20-P21</f>
        <v>71882.223499999993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51"/>
      <c r="C23" s="352"/>
      <c r="D23" s="352"/>
      <c r="E23" s="352"/>
      <c r="F23" s="352"/>
      <c r="G23" s="352"/>
      <c r="H23" s="352"/>
      <c r="I23" s="352"/>
      <c r="J23" s="352"/>
      <c r="K23" s="352"/>
      <c r="L23" s="353"/>
      <c r="M23" s="131"/>
      <c r="N23" s="136" t="s">
        <v>61</v>
      </c>
      <c r="O23" s="133">
        <v>0.18</v>
      </c>
      <c r="P23" s="140">
        <f>+N16</f>
        <v>16444.067796610168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51"/>
      <c r="C24" s="352"/>
      <c r="D24" s="352"/>
      <c r="E24" s="352"/>
      <c r="F24" s="352"/>
      <c r="G24" s="352"/>
      <c r="H24" s="352"/>
      <c r="I24" s="352"/>
      <c r="J24" s="352"/>
      <c r="K24" s="352"/>
      <c r="L24" s="353"/>
      <c r="M24" s="131"/>
      <c r="N24" s="361" t="s">
        <v>76</v>
      </c>
      <c r="O24" s="362"/>
      <c r="P24" s="140">
        <f>P22+P23</f>
        <v>88326.291296610158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54"/>
      <c r="C25" s="355"/>
      <c r="D25" s="355"/>
      <c r="E25" s="355"/>
      <c r="F25" s="355"/>
      <c r="G25" s="355"/>
      <c r="H25" s="355"/>
      <c r="I25" s="355"/>
      <c r="J25" s="355"/>
      <c r="K25" s="355"/>
      <c r="L25" s="356"/>
      <c r="M25" s="99"/>
      <c r="N25" s="138" t="s">
        <v>83</v>
      </c>
      <c r="O25" s="137" t="e">
        <f>IF(#REF!="Filer",0.5%,2.5%)</f>
        <v>#REF!</v>
      </c>
      <c r="P25" s="140">
        <f>+O16</f>
        <v>441.63145648305084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63" t="s">
        <v>88</v>
      </c>
      <c r="O26" s="364"/>
      <c r="P26" s="297">
        <f>+P24+P25</f>
        <v>88767.922753093211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65"/>
      <c r="D27" s="365"/>
      <c r="E27" s="365"/>
      <c r="F27" s="365"/>
      <c r="G27" s="365"/>
      <c r="H27" s="365"/>
      <c r="I27" s="366"/>
      <c r="J27" s="367"/>
      <c r="K27" s="368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88767.922753093211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7.2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500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510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307">
        <v>0.14000000000000001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403">
        <f>M16+N16+O16</f>
        <v>2138.512032838983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404">
        <f t="shared" si="5"/>
        <v>2138.512032838983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6">
        <v>80</v>
      </c>
      <c r="I20" s="236">
        <f t="shared" si="7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404">
        <f t="shared" si="5"/>
        <v>5922.0078101694908</v>
      </c>
      <c r="Q20" s="407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7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404">
        <f t="shared" si="5"/>
        <v>11844.015620338982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21630.6</v>
      </c>
      <c r="J25" s="274">
        <f>SUM(J16:J24)</f>
        <v>3028.2840000000006</v>
      </c>
      <c r="K25" s="275">
        <f t="shared" si="10"/>
        <v>757.07100000000014</v>
      </c>
      <c r="L25" s="276">
        <f t="shared" si="10"/>
        <v>0</v>
      </c>
      <c r="M25" s="232">
        <f t="shared" si="10"/>
        <v>17845.244999999999</v>
      </c>
      <c r="N25" s="233">
        <f>SUM(N16:N24)</f>
        <v>4088.1355932203387</v>
      </c>
      <c r="O25" s="101">
        <f>SUM(O16:O24)</f>
        <v>109.66690296610169</v>
      </c>
      <c r="P25" s="113">
        <f>SUM(P16:P24)</f>
        <v>22043.047496186438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21630.6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3028.2840000000006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757.07100000000014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17845.244999999999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4088.1355932203387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21933.38059322034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109.6669029661017</v>
      </c>
    </row>
    <row r="35" spans="2:16" ht="15.75" customHeight="1" thickBot="1" x14ac:dyDescent="0.4">
      <c r="N35" s="363" t="s">
        <v>88</v>
      </c>
      <c r="O35" s="364"/>
      <c r="P35" s="297">
        <f>+P33+P34</f>
        <v>22043.047496186442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500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511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307">
        <v>0.14000000000000001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404">
        <f t="shared" si="5"/>
        <v>4277.0240656779661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587.58000000000004</v>
      </c>
      <c r="K25" s="275">
        <f t="shared" si="7"/>
        <v>146.89500000000001</v>
      </c>
      <c r="L25" s="276">
        <f t="shared" si="7"/>
        <v>0</v>
      </c>
      <c r="M25" s="232">
        <f t="shared" si="7"/>
        <v>3462.5250000000001</v>
      </c>
      <c r="N25" s="233">
        <f>SUM(N16:N24)</f>
        <v>793.22033898305051</v>
      </c>
      <c r="O25" s="101">
        <f>SUM(O16:O24)</f>
        <v>21.278726694915253</v>
      </c>
      <c r="P25" s="113">
        <f>SUM(P16:P24)</f>
        <v>4277.0240656779661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4197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587.58000000000004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146.89500000000001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3462.5250000000001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4255.7453389830507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21.278726694915253</v>
      </c>
    </row>
    <row r="35" spans="2:16" ht="15.75" customHeight="1" thickBot="1" x14ac:dyDescent="0.4">
      <c r="N35" s="363" t="s">
        <v>88</v>
      </c>
      <c r="O35" s="364"/>
      <c r="P35" s="297">
        <f>+P33+P34</f>
        <v>4277.0240656779661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500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512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307">
        <v>0.14000000000000001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404">
        <f t="shared" si="5"/>
        <v>4277.0240656779661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404">
        <f t="shared" si="5"/>
        <v>2961.0039050847454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404">
        <f t="shared" si="5"/>
        <v>2961.0039050847454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1401.1480000000001</v>
      </c>
      <c r="K25" s="275">
        <f t="shared" si="7"/>
        <v>350.28700000000003</v>
      </c>
      <c r="L25" s="276">
        <f t="shared" si="7"/>
        <v>0</v>
      </c>
      <c r="M25" s="232">
        <f t="shared" si="7"/>
        <v>8256.7649999999994</v>
      </c>
      <c r="N25" s="233">
        <f>SUM(N16:N24)</f>
        <v>1891.5254237288132</v>
      </c>
      <c r="O25" s="101">
        <f>SUM(O16:O24)</f>
        <v>50.741452118644062</v>
      </c>
      <c r="P25" s="113">
        <f>SUM(P16:P24)</f>
        <v>10199.031875847457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10008.200000000001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1401.1480000000001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350.28700000000003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8256.7649999999994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10148.290423728813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50.741452118644069</v>
      </c>
    </row>
    <row r="35" spans="2:16" ht="15.75" customHeight="1" thickBot="1" x14ac:dyDescent="0.4">
      <c r="N35" s="363" t="s">
        <v>88</v>
      </c>
      <c r="O35" s="364"/>
      <c r="P35" s="297">
        <f>+P33+P34</f>
        <v>10199.031875847457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500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307">
        <v>0.14000000000000001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403">
        <f>M16+N16+O16</f>
        <v>2138.512032838983</v>
      </c>
      <c r="Q16" s="406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406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404">
        <f t="shared" si="5"/>
        <v>2138.512032838983</v>
      </c>
      <c r="Q18" s="406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404">
        <f t="shared" si="5"/>
        <v>2961.0039050847454</v>
      </c>
      <c r="Q19" s="406"/>
      <c r="R19" s="142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406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0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404">
        <f t="shared" si="5"/>
        <v>11844.015620338982</v>
      </c>
      <c r="Q21" s="406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280</v>
      </c>
      <c r="I25" s="114">
        <f t="shared" si="7"/>
        <v>18725</v>
      </c>
      <c r="J25" s="274">
        <f>SUM(J16:J24)</f>
        <v>2621.5</v>
      </c>
      <c r="K25" s="275">
        <f t="shared" si="7"/>
        <v>655.375</v>
      </c>
      <c r="L25" s="276">
        <f t="shared" si="7"/>
        <v>0</v>
      </c>
      <c r="M25" s="232">
        <f t="shared" si="7"/>
        <v>15448.125</v>
      </c>
      <c r="N25" s="233">
        <f>SUM(N16:N24)</f>
        <v>3538.9830508474574</v>
      </c>
      <c r="O25" s="101">
        <f>SUM(O16:O24)</f>
        <v>94.935540254237281</v>
      </c>
      <c r="P25" s="113">
        <f>SUM(P16:P24)</f>
        <v>19082.043591101694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8"/>
      <c r="S27" s="309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18725</v>
      </c>
      <c r="Q28" s="308"/>
      <c r="S28" s="309"/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2621.5</v>
      </c>
      <c r="Q29" s="308"/>
      <c r="S29" s="309"/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655.375</v>
      </c>
      <c r="Q30" s="308"/>
      <c r="S30" s="309"/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15448.125</v>
      </c>
      <c r="Q31" s="308"/>
      <c r="S31" s="309"/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3538.9830508474574</v>
      </c>
      <c r="Q32" s="308"/>
      <c r="S32" s="309"/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18987.108050847459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94.935540254237296</v>
      </c>
    </row>
    <row r="35" spans="2:16" ht="15.75" customHeight="1" thickBot="1" x14ac:dyDescent="0.4">
      <c r="N35" s="363" t="s">
        <v>88</v>
      </c>
      <c r="O35" s="364"/>
      <c r="P35" s="297">
        <f>+P33+P34</f>
        <v>19082.043591101698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500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516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307">
        <v>0.14000000000000001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403">
        <f>M16+N16+O16</f>
        <v>4277.0240656779661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0</v>
      </c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0</v>
      </c>
      <c r="L20" s="119">
        <f t="shared" si="1"/>
        <v>0</v>
      </c>
      <c r="M20" s="230">
        <f t="shared" si="2"/>
        <v>2498.8159999999998</v>
      </c>
      <c r="N20" s="277">
        <f t="shared" si="3"/>
        <v>549.15254237288138</v>
      </c>
      <c r="O20" s="239">
        <f t="shared" si="4"/>
        <v>15.239842711864405</v>
      </c>
      <c r="P20" s="404">
        <f t="shared" si="5"/>
        <v>3063.2083850847453</v>
      </c>
      <c r="Q20" s="156"/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994.36400000000003</v>
      </c>
      <c r="K25" s="275">
        <f t="shared" si="7"/>
        <v>146.89500000000001</v>
      </c>
      <c r="L25" s="276">
        <f t="shared" si="7"/>
        <v>0</v>
      </c>
      <c r="M25" s="232">
        <f t="shared" si="7"/>
        <v>5961.3410000000003</v>
      </c>
      <c r="N25" s="233">
        <f>SUM(N16:N24)</f>
        <v>1342.3728813559319</v>
      </c>
      <c r="O25" s="101">
        <f>SUM(O16:O24)</f>
        <v>36.518569406779662</v>
      </c>
      <c r="P25" s="113">
        <f>SUM(P16:P24)</f>
        <v>7340.2324507627109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7102.6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994.36400000000003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146.89500000000001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5961.3410000000003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7303.7138813559322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36.518569406779662</v>
      </c>
    </row>
    <row r="35" spans="2:16" ht="15.75" customHeight="1" thickBot="1" x14ac:dyDescent="0.4">
      <c r="N35" s="363" t="s">
        <v>88</v>
      </c>
      <c r="O35" s="364"/>
      <c r="P35" s="297">
        <f>+P33+P34</f>
        <v>7340.2324507627118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abSelected="1" topLeftCell="A18" workbookViewId="0">
      <selection activeCell="R31" sqref="R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517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Q14" s="153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Q15" s="153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409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410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Q18" s="410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Q19" s="410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410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0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119">
        <f t="shared" si="5"/>
        <v>11844.015620338982</v>
      </c>
      <c r="Q21" s="410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410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410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410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360</v>
      </c>
      <c r="I25" s="114">
        <f t="shared" si="7"/>
        <v>25343.3</v>
      </c>
      <c r="J25" s="274">
        <f>SUM(J16:J24)</f>
        <v>3548.0620000000008</v>
      </c>
      <c r="K25" s="275">
        <f t="shared" si="7"/>
        <v>887.0155000000002</v>
      </c>
      <c r="L25" s="276">
        <f t="shared" si="7"/>
        <v>0</v>
      </c>
      <c r="M25" s="232">
        <f t="shared" si="7"/>
        <v>20908.2225</v>
      </c>
      <c r="N25" s="233">
        <f>SUM(N16:N24)</f>
        <v>4789.8305084745771</v>
      </c>
      <c r="O25" s="101">
        <f>SUM(O16:O24)</f>
        <v>128.49026504237287</v>
      </c>
      <c r="P25" s="234">
        <f>SUM(P16:P24)</f>
        <v>25826.543273516945</v>
      </c>
      <c r="Q25" s="410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25343.3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3548.0620000000008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887.0155000000002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20908.222499999996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4789.8305084745771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25698.053008474573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128.49026504237287</v>
      </c>
    </row>
    <row r="35" spans="2:16" ht="15.75" customHeight="1" thickBot="1" x14ac:dyDescent="0.4">
      <c r="N35" s="363" t="s">
        <v>88</v>
      </c>
      <c r="O35" s="364"/>
      <c r="P35" s="297">
        <f>+P33+P34</f>
        <v>25826.543273516945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518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46315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46314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115" t="s">
        <v>56</v>
      </c>
      <c r="Q14" s="408" t="s">
        <v>514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111" t="s">
        <v>38</v>
      </c>
      <c r="Q15" s="408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403">
        <f>M16+N16+O16</f>
        <v>0</v>
      </c>
      <c r="Q16" s="40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404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404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404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404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404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404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404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405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1" t="s">
        <v>91</v>
      </c>
      <c r="B2" s="381"/>
      <c r="C2" s="381"/>
    </row>
    <row r="3" spans="1:22 16383:16384" ht="15" customHeight="1" x14ac:dyDescent="0.35">
      <c r="A3" s="382" t="s">
        <v>92</v>
      </c>
      <c r="B3" s="382"/>
      <c r="C3" s="382"/>
      <c r="F3" s="85"/>
      <c r="G3" s="1"/>
      <c r="K3" s="383" t="s">
        <v>43</v>
      </c>
      <c r="L3" s="383"/>
      <c r="M3" s="383"/>
      <c r="N3" s="382"/>
      <c r="O3" s="382"/>
      <c r="P3" s="38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82" t="s">
        <v>499</v>
      </c>
      <c r="B4" s="382"/>
      <c r="C4" s="382"/>
      <c r="F4" s="85"/>
      <c r="G4" s="1"/>
      <c r="K4" s="383" t="s">
        <v>44</v>
      </c>
      <c r="L4" s="383"/>
      <c r="M4" s="383"/>
      <c r="N4" s="386">
        <v>46259</v>
      </c>
      <c r="O4" s="386"/>
      <c r="P4" s="38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83" t="s">
        <v>45</v>
      </c>
      <c r="L5" s="383"/>
      <c r="M5" s="383"/>
      <c r="N5" s="386">
        <f>N4-1</f>
        <v>46258</v>
      </c>
      <c r="O5" s="382"/>
      <c r="P5" s="382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83" t="s">
        <v>69</v>
      </c>
      <c r="L6" s="383"/>
      <c r="M6" s="383"/>
      <c r="N6" s="385" t="s">
        <v>62</v>
      </c>
      <c r="O6" s="385"/>
      <c r="P6" s="38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83" t="s">
        <v>509</v>
      </c>
      <c r="B7" s="383"/>
      <c r="C7" s="383"/>
      <c r="F7" s="85"/>
      <c r="G7" s="86"/>
      <c r="K7" s="383" t="s">
        <v>66</v>
      </c>
      <c r="L7" s="383"/>
      <c r="M7" s="383"/>
      <c r="N7" s="385" t="s">
        <v>505</v>
      </c>
      <c r="O7" s="385"/>
      <c r="P7" s="38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9" t="s">
        <v>95</v>
      </c>
      <c r="B8" s="389"/>
      <c r="C8" s="389"/>
      <c r="F8" s="85"/>
      <c r="G8" s="86"/>
      <c r="K8" s="383" t="s">
        <v>67</v>
      </c>
      <c r="L8" s="383"/>
      <c r="M8" s="383"/>
      <c r="N8" s="385" t="s">
        <v>505</v>
      </c>
      <c r="O8" s="385"/>
      <c r="P8" s="385"/>
      <c r="R8" s="85"/>
      <c r="S8" s="267"/>
    </row>
    <row r="9" spans="1:22 16383:16384" x14ac:dyDescent="0.35">
      <c r="A9" s="389" t="s">
        <v>96</v>
      </c>
      <c r="B9" s="389"/>
      <c r="C9" s="389"/>
      <c r="F9" s="85"/>
      <c r="G9" s="86"/>
      <c r="K9" s="383" t="s">
        <v>68</v>
      </c>
      <c r="L9" s="383"/>
      <c r="M9" s="383"/>
      <c r="N9" s="385" t="s">
        <v>104</v>
      </c>
      <c r="O9" s="385"/>
      <c r="P9" s="385"/>
      <c r="R9" s="85"/>
      <c r="S9" s="267"/>
      <c r="XFD9" t="s">
        <v>49</v>
      </c>
    </row>
    <row r="10" spans="1:22 16383:16384" x14ac:dyDescent="0.35">
      <c r="A10" s="389" t="s">
        <v>97</v>
      </c>
      <c r="B10" s="389"/>
      <c r="C10" s="389"/>
      <c r="F10" s="85"/>
      <c r="G10" s="1"/>
      <c r="K10" s="383" t="s">
        <v>46</v>
      </c>
      <c r="L10" s="383"/>
      <c r="M10" s="383"/>
      <c r="N10" s="382" t="s">
        <v>47</v>
      </c>
      <c r="O10" s="382"/>
      <c r="P10" s="38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83" t="s">
        <v>48</v>
      </c>
      <c r="L11" s="383"/>
      <c r="M11" s="383"/>
      <c r="N11" s="385" t="s">
        <v>49</v>
      </c>
      <c r="O11" s="385"/>
      <c r="P11" s="38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83" t="s">
        <v>50</v>
      </c>
      <c r="L12" s="383"/>
      <c r="M12" s="383"/>
      <c r="N12" s="382"/>
      <c r="O12" s="382"/>
      <c r="P12" s="38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34" t="s">
        <v>51</v>
      </c>
      <c r="B14" s="335"/>
      <c r="C14" s="338" t="s">
        <v>90</v>
      </c>
      <c r="D14" s="115" t="s">
        <v>52</v>
      </c>
      <c r="E14" s="340" t="s">
        <v>58</v>
      </c>
      <c r="F14" s="341"/>
      <c r="G14" s="342" t="s">
        <v>54</v>
      </c>
      <c r="H14" s="343"/>
      <c r="I14" s="344" t="s">
        <v>77</v>
      </c>
      <c r="J14" s="380" t="s">
        <v>55</v>
      </c>
      <c r="K14" s="342"/>
      <c r="L14" s="343"/>
      <c r="M14" s="335" t="s">
        <v>84</v>
      </c>
      <c r="N14" s="379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36"/>
      <c r="B15" s="337"/>
      <c r="C15" s="33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45"/>
      <c r="J15" s="143" t="s">
        <v>59</v>
      </c>
      <c r="K15" s="144" t="s">
        <v>39</v>
      </c>
      <c r="L15" s="145" t="s">
        <v>493</v>
      </c>
      <c r="M15" s="337"/>
      <c r="N15" s="345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50"/>
      <c r="N28" s="357" t="s">
        <v>60</v>
      </c>
      <c r="O28" s="358"/>
      <c r="P28" s="139">
        <f>I25</f>
        <v>0</v>
      </c>
    </row>
    <row r="29" spans="1:22 16384:16384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2"/>
      <c r="L29" s="353"/>
      <c r="N29" s="359" t="s">
        <v>85</v>
      </c>
      <c r="O29" s="360"/>
      <c r="P29" s="140">
        <f>+J25</f>
        <v>0</v>
      </c>
    </row>
    <row r="30" spans="1:22 16384:16384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2"/>
      <c r="L30" s="353"/>
      <c r="N30" s="359" t="s">
        <v>86</v>
      </c>
      <c r="O30" s="360"/>
      <c r="P30" s="140">
        <f>+K25+L25</f>
        <v>0</v>
      </c>
    </row>
    <row r="31" spans="1:22 16384:16384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2"/>
      <c r="L31" s="353"/>
      <c r="M31" s="131"/>
      <c r="N31" s="359" t="s">
        <v>87</v>
      </c>
      <c r="O31" s="360"/>
      <c r="P31" s="140">
        <f>P28-P29-P30</f>
        <v>0</v>
      </c>
    </row>
    <row r="32" spans="1:22 16384:16384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2"/>
      <c r="L32" s="35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2"/>
      <c r="L33" s="353"/>
      <c r="M33" s="131"/>
      <c r="N33" s="361" t="s">
        <v>76</v>
      </c>
      <c r="O33" s="362"/>
      <c r="P33" s="140">
        <f>P31+P32</f>
        <v>0</v>
      </c>
    </row>
    <row r="34" spans="2:16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5"/>
      <c r="L34" s="35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63" t="s">
        <v>88</v>
      </c>
      <c r="O35" s="364"/>
      <c r="P35" s="297">
        <f>+P33+P34</f>
        <v>0</v>
      </c>
    </row>
    <row r="36" spans="2:16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367"/>
      <c r="K36" s="36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1" t="s">
        <v>91</v>
      </c>
      <c r="B2" s="381"/>
      <c r="C2" s="381"/>
    </row>
    <row r="3" spans="1:18 16382:16383" ht="15" customHeight="1" x14ac:dyDescent="0.35">
      <c r="A3" s="382" t="s">
        <v>92</v>
      </c>
      <c r="B3" s="382"/>
      <c r="C3" s="382"/>
      <c r="F3" s="85"/>
      <c r="G3" s="1"/>
      <c r="J3" s="383" t="s">
        <v>43</v>
      </c>
      <c r="K3" s="383"/>
      <c r="L3" s="383"/>
      <c r="M3" s="382"/>
      <c r="N3" s="382"/>
      <c r="O3" s="38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82" t="s">
        <v>65</v>
      </c>
      <c r="B4" s="382"/>
      <c r="C4" s="382"/>
      <c r="F4" s="85"/>
      <c r="G4" s="1"/>
      <c r="J4" s="383" t="s">
        <v>44</v>
      </c>
      <c r="K4" s="383"/>
      <c r="L4" s="383"/>
      <c r="M4" s="386">
        <f ca="1">TODAY()+1</f>
        <v>46316</v>
      </c>
      <c r="N4" s="386"/>
      <c r="O4" s="38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83" t="s">
        <v>45</v>
      </c>
      <c r="K5" s="383"/>
      <c r="L5" s="383"/>
      <c r="M5" s="386">
        <f ca="1">M4-1</f>
        <v>46315</v>
      </c>
      <c r="N5" s="382"/>
      <c r="O5" s="382"/>
      <c r="Q5" s="85"/>
      <c r="R5" s="1"/>
    </row>
    <row r="6" spans="1:18 16382:16383" ht="15" customHeight="1" x14ac:dyDescent="0.35">
      <c r="A6" s="383" t="s">
        <v>94</v>
      </c>
      <c r="B6" s="383"/>
      <c r="C6" s="383"/>
      <c r="F6" s="85"/>
      <c r="G6" s="86"/>
      <c r="J6" s="383" t="s">
        <v>69</v>
      </c>
      <c r="K6" s="383"/>
      <c r="L6" s="383"/>
      <c r="M6" s="385" t="s">
        <v>62</v>
      </c>
      <c r="N6" s="385"/>
      <c r="O6" s="38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83" t="s">
        <v>73</v>
      </c>
      <c r="B7" s="383"/>
      <c r="C7" s="383"/>
      <c r="F7" s="85"/>
      <c r="G7" s="86"/>
      <c r="J7" s="383" t="s">
        <v>66</v>
      </c>
      <c r="K7" s="383"/>
      <c r="L7" s="383"/>
      <c r="M7" s="385" t="s">
        <v>70</v>
      </c>
      <c r="N7" s="385"/>
      <c r="O7" s="38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9" t="s">
        <v>95</v>
      </c>
      <c r="B8" s="389"/>
      <c r="C8" s="389"/>
      <c r="F8" s="85"/>
      <c r="G8" s="86"/>
      <c r="J8" s="383" t="s">
        <v>67</v>
      </c>
      <c r="K8" s="383"/>
      <c r="L8" s="383"/>
      <c r="M8" s="385" t="s">
        <v>71</v>
      </c>
      <c r="N8" s="385"/>
      <c r="O8" s="385"/>
      <c r="Q8" s="85"/>
      <c r="R8" s="86"/>
    </row>
    <row r="9" spans="1:18 16382:16383" x14ac:dyDescent="0.35">
      <c r="A9" s="389" t="s">
        <v>96</v>
      </c>
      <c r="B9" s="389"/>
      <c r="C9" s="389"/>
      <c r="F9" s="85"/>
      <c r="G9" s="86"/>
      <c r="J9" s="383" t="s">
        <v>68</v>
      </c>
      <c r="K9" s="383"/>
      <c r="L9" s="383"/>
      <c r="M9" s="385" t="s">
        <v>104</v>
      </c>
      <c r="N9" s="385"/>
      <c r="O9" s="385"/>
      <c r="Q9" s="85"/>
      <c r="R9" s="86"/>
      <c r="XFC9" t="s">
        <v>49</v>
      </c>
    </row>
    <row r="10" spans="1:18 16382:16383" x14ac:dyDescent="0.35">
      <c r="A10" s="389" t="s">
        <v>97</v>
      </c>
      <c r="B10" s="389"/>
      <c r="C10" s="389"/>
      <c r="F10" s="85"/>
      <c r="G10" s="1"/>
      <c r="J10" s="383" t="s">
        <v>46</v>
      </c>
      <c r="K10" s="383"/>
      <c r="L10" s="383"/>
      <c r="M10" s="382" t="s">
        <v>47</v>
      </c>
      <c r="N10" s="382"/>
      <c r="O10" s="38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83" t="s">
        <v>48</v>
      </c>
      <c r="K11" s="383"/>
      <c r="L11" s="383"/>
      <c r="M11" s="382" t="s">
        <v>49</v>
      </c>
      <c r="N11" s="382"/>
      <c r="O11" s="38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83" t="s">
        <v>50</v>
      </c>
      <c r="K12" s="383"/>
      <c r="L12" s="383"/>
      <c r="M12" s="382"/>
      <c r="N12" s="382"/>
      <c r="O12" s="38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34" t="s">
        <v>51</v>
      </c>
      <c r="B14" s="335"/>
      <c r="C14" s="338" t="s">
        <v>90</v>
      </c>
      <c r="D14" s="88" t="s">
        <v>52</v>
      </c>
      <c r="E14" s="95" t="s">
        <v>74</v>
      </c>
      <c r="F14" s="115" t="s">
        <v>53</v>
      </c>
      <c r="G14" s="380" t="s">
        <v>54</v>
      </c>
      <c r="H14" s="343"/>
      <c r="I14" s="344" t="s">
        <v>77</v>
      </c>
      <c r="J14" s="342" t="s">
        <v>55</v>
      </c>
      <c r="K14" s="343"/>
      <c r="L14" s="34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36"/>
      <c r="B15" s="337"/>
      <c r="C15" s="33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45"/>
      <c r="J15" s="144" t="s">
        <v>39</v>
      </c>
      <c r="K15" s="145" t="s">
        <v>59</v>
      </c>
      <c r="L15" s="34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84">
        <f>COUNT(A16:A24)</f>
        <v>0</v>
      </c>
      <c r="B25" s="346"/>
      <c r="C25" s="346" t="s">
        <v>40</v>
      </c>
      <c r="D25" s="346"/>
      <c r="E25" s="346"/>
      <c r="F25" s="34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48" t="s">
        <v>64</v>
      </c>
      <c r="C28" s="349"/>
      <c r="D28" s="349"/>
      <c r="E28" s="349"/>
      <c r="F28" s="349"/>
      <c r="G28" s="349"/>
      <c r="H28" s="349"/>
      <c r="I28" s="349"/>
      <c r="J28" s="349"/>
      <c r="K28" s="350"/>
      <c r="M28" s="357" t="s">
        <v>60</v>
      </c>
      <c r="N28" s="358"/>
      <c r="O28" s="139">
        <f>I25</f>
        <v>1452.8</v>
      </c>
    </row>
    <row r="29" spans="1:18 16383:16383" ht="15" customHeight="1" x14ac:dyDescent="0.35">
      <c r="B29" s="351"/>
      <c r="C29" s="352"/>
      <c r="D29" s="352"/>
      <c r="E29" s="352"/>
      <c r="F29" s="352"/>
      <c r="G29" s="352"/>
      <c r="H29" s="352"/>
      <c r="I29" s="352"/>
      <c r="J29" s="352"/>
      <c r="K29" s="353"/>
      <c r="M29" s="359" t="s">
        <v>85</v>
      </c>
      <c r="N29" s="360"/>
      <c r="O29" s="140">
        <f>K25</f>
        <v>0</v>
      </c>
    </row>
    <row r="30" spans="1:18 16383:16383" ht="15" customHeight="1" x14ac:dyDescent="0.35">
      <c r="B30" s="351"/>
      <c r="C30" s="352"/>
      <c r="D30" s="352"/>
      <c r="E30" s="352"/>
      <c r="F30" s="352"/>
      <c r="G30" s="352"/>
      <c r="H30" s="352"/>
      <c r="I30" s="352"/>
      <c r="J30" s="352"/>
      <c r="K30" s="353"/>
      <c r="M30" s="359" t="s">
        <v>86</v>
      </c>
      <c r="N30" s="360"/>
      <c r="O30" s="140">
        <f>J25</f>
        <v>50.848000000000006</v>
      </c>
    </row>
    <row r="31" spans="1:18 16383:16383" ht="15" customHeight="1" x14ac:dyDescent="0.35">
      <c r="B31" s="351"/>
      <c r="C31" s="352"/>
      <c r="D31" s="352"/>
      <c r="E31" s="352"/>
      <c r="F31" s="352"/>
      <c r="G31" s="352"/>
      <c r="H31" s="352"/>
      <c r="I31" s="352"/>
      <c r="J31" s="352"/>
      <c r="K31" s="353"/>
      <c r="L31" s="131"/>
      <c r="M31" s="359" t="s">
        <v>87</v>
      </c>
      <c r="N31" s="360"/>
      <c r="O31" s="140">
        <f>O28-O29-O30</f>
        <v>1401.952</v>
      </c>
    </row>
    <row r="32" spans="1:18 16383:16383" ht="15" customHeight="1" x14ac:dyDescent="0.35">
      <c r="B32" s="351"/>
      <c r="C32" s="352"/>
      <c r="D32" s="352"/>
      <c r="E32" s="352"/>
      <c r="F32" s="352"/>
      <c r="G32" s="352"/>
      <c r="H32" s="352"/>
      <c r="I32" s="352"/>
      <c r="J32" s="352"/>
      <c r="K32" s="35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1"/>
      <c r="C33" s="352"/>
      <c r="D33" s="352"/>
      <c r="E33" s="352"/>
      <c r="F33" s="352"/>
      <c r="G33" s="352"/>
      <c r="H33" s="352"/>
      <c r="I33" s="352"/>
      <c r="J33" s="352"/>
      <c r="K33" s="353"/>
      <c r="L33" s="131"/>
      <c r="M33" s="361" t="s">
        <v>76</v>
      </c>
      <c r="N33" s="362"/>
      <c r="O33" s="140">
        <f>O31+O32</f>
        <v>1710.3814400000001</v>
      </c>
    </row>
    <row r="34" spans="2:15" ht="15" customHeight="1" thickBot="1" x14ac:dyDescent="0.4">
      <c r="B34" s="354"/>
      <c r="C34" s="355"/>
      <c r="D34" s="355"/>
      <c r="E34" s="355"/>
      <c r="F34" s="355"/>
      <c r="G34" s="355"/>
      <c r="H34" s="355"/>
      <c r="I34" s="355"/>
      <c r="J34" s="355"/>
      <c r="K34" s="35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63" t="s">
        <v>88</v>
      </c>
      <c r="N35" s="364"/>
      <c r="O35" s="141">
        <f>O28-O29+O31+O34</f>
        <v>2897.511536</v>
      </c>
    </row>
    <row r="36" spans="2:15" ht="15" thickBot="1" x14ac:dyDescent="0.4">
      <c r="B36" s="121" t="s">
        <v>63</v>
      </c>
      <c r="C36" s="365"/>
      <c r="D36" s="365"/>
      <c r="E36" s="365"/>
      <c r="F36" s="365"/>
      <c r="G36" s="365"/>
      <c r="H36" s="365"/>
      <c r="I36" s="36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394" t="s">
        <v>441</v>
      </c>
      <c r="J1" s="394"/>
      <c r="K1" s="394" t="s">
        <v>442</v>
      </c>
      <c r="L1" s="394"/>
      <c r="M1" s="390" t="s">
        <v>484</v>
      </c>
      <c r="N1" s="391"/>
      <c r="O1" s="392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5" t="s">
        <v>476</v>
      </c>
      <c r="D6" s="395"/>
      <c r="E6" s="395"/>
      <c r="F6" s="395"/>
      <c r="G6" s="395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7" t="s">
        <v>58</v>
      </c>
      <c r="F7" s="397"/>
      <c r="G7" s="398" t="s">
        <v>440</v>
      </c>
      <c r="H7" s="327"/>
      <c r="I7" s="328" t="s">
        <v>441</v>
      </c>
      <c r="J7" s="329"/>
      <c r="K7" s="328" t="s">
        <v>442</v>
      </c>
      <c r="L7" s="329"/>
      <c r="M7" s="390" t="s">
        <v>484</v>
      </c>
      <c r="N7" s="391"/>
      <c r="O7" s="392"/>
      <c r="P7" s="256" t="s">
        <v>475</v>
      </c>
      <c r="Q7" s="242" t="s">
        <v>473</v>
      </c>
      <c r="R7" s="393" t="s">
        <v>475</v>
      </c>
      <c r="S7" s="393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8"/>
      <c r="U8" s="39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6" t="s">
        <v>477</v>
      </c>
      <c r="D12" s="396"/>
      <c r="E12" s="396"/>
      <c r="F12" s="396"/>
      <c r="G12" s="396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0" t="s">
        <v>484</v>
      </c>
      <c r="N13" s="391"/>
      <c r="O13" s="392"/>
      <c r="P13" s="256" t="s">
        <v>475</v>
      </c>
      <c r="Q13" s="242" t="s">
        <v>473</v>
      </c>
      <c r="R13" s="393" t="s">
        <v>475</v>
      </c>
      <c r="S13" s="393" t="s">
        <v>485</v>
      </c>
      <c r="T13" s="399" t="s">
        <v>486</v>
      </c>
      <c r="U13" s="399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8"/>
      <c r="U14" s="39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5" t="s">
        <v>478</v>
      </c>
      <c r="D19" s="395"/>
      <c r="E19" s="395"/>
      <c r="F19" s="395"/>
      <c r="G19" s="395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0" t="s">
        <v>484</v>
      </c>
      <c r="N20" s="391"/>
      <c r="O20" s="392"/>
      <c r="P20" s="256" t="s">
        <v>475</v>
      </c>
      <c r="Q20" s="242" t="s">
        <v>473</v>
      </c>
      <c r="R20" s="393" t="s">
        <v>475</v>
      </c>
      <c r="S20" s="393" t="s">
        <v>485</v>
      </c>
      <c r="T20" s="399" t="s">
        <v>486</v>
      </c>
      <c r="U20" s="399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8"/>
      <c r="U21" s="39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5" t="s">
        <v>479</v>
      </c>
      <c r="D26" s="395"/>
      <c r="E26" s="395"/>
      <c r="F26" s="395"/>
      <c r="G26" s="395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0" t="s">
        <v>484</v>
      </c>
      <c r="N27" s="391"/>
      <c r="O27" s="392"/>
      <c r="P27" s="256" t="s">
        <v>475</v>
      </c>
      <c r="Q27" s="242" t="s">
        <v>473</v>
      </c>
      <c r="R27" s="393" t="s">
        <v>475</v>
      </c>
      <c r="S27" s="393" t="s">
        <v>485</v>
      </c>
      <c r="T27" s="399" t="s">
        <v>486</v>
      </c>
      <c r="U27" s="399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8"/>
      <c r="U28" s="39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394" t="s">
        <v>441</v>
      </c>
      <c r="I1" s="394"/>
      <c r="J1" s="394" t="s">
        <v>442</v>
      </c>
      <c r="K1" s="394"/>
      <c r="L1" s="390" t="s">
        <v>484</v>
      </c>
      <c r="M1" s="391"/>
      <c r="N1" s="392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0"/>
      <c r="G14" s="154" t="s">
        <v>135</v>
      </c>
      <c r="H14" s="152" t="s">
        <v>101</v>
      </c>
    </row>
    <row r="15" spans="1:8" x14ac:dyDescent="0.35">
      <c r="E15" s="153" t="s">
        <v>130</v>
      </c>
      <c r="F15" s="400"/>
      <c r="G15" s="154" t="s">
        <v>136</v>
      </c>
      <c r="H15" s="152" t="s">
        <v>102</v>
      </c>
    </row>
    <row r="16" spans="1:8" x14ac:dyDescent="0.35">
      <c r="E16" s="153" t="s">
        <v>130</v>
      </c>
      <c r="F16" s="400"/>
      <c r="G16" s="151" t="s">
        <v>137</v>
      </c>
      <c r="H16" s="152" t="s">
        <v>103</v>
      </c>
    </row>
    <row r="17" spans="5:8" x14ac:dyDescent="0.35">
      <c r="E17" s="153" t="s">
        <v>138</v>
      </c>
      <c r="F17" s="40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0"/>
      <c r="G18" s="156" t="s">
        <v>141</v>
      </c>
      <c r="H18" s="152" t="s">
        <v>100</v>
      </c>
    </row>
    <row r="19" spans="5:8" x14ac:dyDescent="0.35">
      <c r="E19" s="153" t="s">
        <v>138</v>
      </c>
      <c r="F19" s="400"/>
      <c r="G19" s="156" t="s">
        <v>142</v>
      </c>
      <c r="H19" s="152" t="s">
        <v>98</v>
      </c>
    </row>
    <row r="20" spans="5:8" x14ac:dyDescent="0.35">
      <c r="E20" s="153" t="s">
        <v>138</v>
      </c>
      <c r="F20" s="400"/>
      <c r="G20" s="155" t="s">
        <v>143</v>
      </c>
      <c r="H20" s="152" t="s">
        <v>101</v>
      </c>
    </row>
    <row r="21" spans="5:8" x14ac:dyDescent="0.35">
      <c r="E21" s="153" t="s">
        <v>138</v>
      </c>
      <c r="F21" s="400"/>
      <c r="G21" s="155" t="s">
        <v>144</v>
      </c>
      <c r="H21" s="152" t="s">
        <v>102</v>
      </c>
    </row>
    <row r="22" spans="5:8" x14ac:dyDescent="0.35">
      <c r="E22" s="153" t="s">
        <v>138</v>
      </c>
      <c r="F22" s="400"/>
      <c r="G22" s="155" t="s">
        <v>145</v>
      </c>
      <c r="H22" s="152" t="s">
        <v>103</v>
      </c>
    </row>
    <row r="23" spans="5:8" x14ac:dyDescent="0.35">
      <c r="E23" s="153" t="s">
        <v>146</v>
      </c>
      <c r="F23" s="40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0"/>
      <c r="G24" s="155" t="s">
        <v>147</v>
      </c>
      <c r="H24" s="152" t="s">
        <v>100</v>
      </c>
    </row>
    <row r="25" spans="5:8" x14ac:dyDescent="0.35">
      <c r="E25" s="153" t="s">
        <v>146</v>
      </c>
      <c r="F25" s="400"/>
      <c r="G25" s="155" t="s">
        <v>149</v>
      </c>
      <c r="H25" s="152" t="s">
        <v>98</v>
      </c>
    </row>
    <row r="26" spans="5:8" x14ac:dyDescent="0.35">
      <c r="E26" s="153" t="s">
        <v>146</v>
      </c>
      <c r="F26" s="400"/>
      <c r="G26" s="155" t="s">
        <v>150</v>
      </c>
      <c r="H26" s="152" t="s">
        <v>101</v>
      </c>
    </row>
    <row r="27" spans="5:8" x14ac:dyDescent="0.35">
      <c r="E27" s="153" t="s">
        <v>146</v>
      </c>
      <c r="F27" s="400"/>
      <c r="G27" s="155" t="s">
        <v>151</v>
      </c>
      <c r="H27" s="152" t="s">
        <v>102</v>
      </c>
    </row>
    <row r="28" spans="5:8" x14ac:dyDescent="0.35">
      <c r="E28" s="153" t="s">
        <v>146</v>
      </c>
      <c r="F28" s="400"/>
      <c r="G28" s="155" t="s">
        <v>152</v>
      </c>
      <c r="H28" s="152" t="s">
        <v>103</v>
      </c>
    </row>
    <row r="29" spans="5:8" x14ac:dyDescent="0.35">
      <c r="E29" s="153" t="s">
        <v>153</v>
      </c>
      <c r="F29" s="40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0"/>
      <c r="G30" s="155" t="s">
        <v>156</v>
      </c>
      <c r="H30" s="152" t="s">
        <v>100</v>
      </c>
    </row>
    <row r="31" spans="5:8" x14ac:dyDescent="0.35">
      <c r="E31" s="153" t="s">
        <v>153</v>
      </c>
      <c r="F31" s="400"/>
      <c r="G31" s="155" t="s">
        <v>157</v>
      </c>
      <c r="H31" s="152" t="s">
        <v>98</v>
      </c>
    </row>
    <row r="32" spans="5:8" x14ac:dyDescent="0.35">
      <c r="E32" s="153" t="s">
        <v>153</v>
      </c>
      <c r="F32" s="400"/>
      <c r="G32" s="155" t="s">
        <v>158</v>
      </c>
      <c r="H32" s="152" t="s">
        <v>101</v>
      </c>
    </row>
    <row r="33" spans="5:8" x14ac:dyDescent="0.35">
      <c r="E33" s="153" t="s">
        <v>153</v>
      </c>
      <c r="F33" s="400"/>
      <c r="G33" s="155" t="s">
        <v>159</v>
      </c>
      <c r="H33" s="152" t="s">
        <v>102</v>
      </c>
    </row>
    <row r="34" spans="5:8" x14ac:dyDescent="0.35">
      <c r="E34" s="153" t="s">
        <v>153</v>
      </c>
      <c r="F34" s="400"/>
      <c r="G34" s="155" t="s">
        <v>160</v>
      </c>
      <c r="H34" s="152" t="s">
        <v>103</v>
      </c>
    </row>
    <row r="35" spans="5:8" x14ac:dyDescent="0.35">
      <c r="E35" s="153" t="s">
        <v>161</v>
      </c>
      <c r="F35" s="40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0"/>
      <c r="G36" s="154" t="s">
        <v>163</v>
      </c>
      <c r="H36" s="152" t="s">
        <v>100</v>
      </c>
    </row>
    <row r="37" spans="5:8" x14ac:dyDescent="0.35">
      <c r="E37" s="153" t="s">
        <v>161</v>
      </c>
      <c r="F37" s="400"/>
      <c r="G37" s="154" t="s">
        <v>164</v>
      </c>
      <c r="H37" s="152" t="s">
        <v>98</v>
      </c>
    </row>
    <row r="38" spans="5:8" x14ac:dyDescent="0.35">
      <c r="E38" s="153" t="s">
        <v>161</v>
      </c>
      <c r="F38" s="400"/>
      <c r="G38" s="154" t="s">
        <v>165</v>
      </c>
      <c r="H38" s="152" t="s">
        <v>101</v>
      </c>
    </row>
    <row r="39" spans="5:8" x14ac:dyDescent="0.35">
      <c r="E39" s="153" t="s">
        <v>161</v>
      </c>
      <c r="F39" s="400"/>
      <c r="G39" s="158" t="s">
        <v>166</v>
      </c>
      <c r="H39" s="152" t="s">
        <v>102</v>
      </c>
    </row>
    <row r="40" spans="5:8" x14ac:dyDescent="0.35">
      <c r="E40" s="153" t="s">
        <v>161</v>
      </c>
      <c r="F40" s="400"/>
      <c r="G40" s="154" t="s">
        <v>167</v>
      </c>
      <c r="H40" s="152" t="s">
        <v>103</v>
      </c>
    </row>
    <row r="41" spans="5:8" x14ac:dyDescent="0.35">
      <c r="E41" s="153" t="s">
        <v>168</v>
      </c>
      <c r="F41" s="40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0"/>
      <c r="G42" s="154" t="s">
        <v>171</v>
      </c>
      <c r="H42" s="152" t="s">
        <v>100</v>
      </c>
    </row>
    <row r="43" spans="5:8" x14ac:dyDescent="0.35">
      <c r="E43" s="153" t="s">
        <v>168</v>
      </c>
      <c r="F43" s="400"/>
      <c r="G43" s="154" t="s">
        <v>172</v>
      </c>
      <c r="H43" s="152" t="s">
        <v>98</v>
      </c>
    </row>
    <row r="44" spans="5:8" x14ac:dyDescent="0.35">
      <c r="E44" s="153" t="s">
        <v>168</v>
      </c>
      <c r="F44" s="400"/>
      <c r="G44" s="154" t="s">
        <v>173</v>
      </c>
      <c r="H44" s="152" t="s">
        <v>101</v>
      </c>
    </row>
    <row r="45" spans="5:8" x14ac:dyDescent="0.35">
      <c r="E45" s="153" t="s">
        <v>168</v>
      </c>
      <c r="F45" s="400"/>
      <c r="G45" s="154" t="s">
        <v>174</v>
      </c>
      <c r="H45" s="152" t="s">
        <v>102</v>
      </c>
    </row>
    <row r="46" spans="5:8" x14ac:dyDescent="0.35">
      <c r="E46" s="153" t="s">
        <v>168</v>
      </c>
      <c r="F46" s="400"/>
      <c r="G46" s="154" t="s">
        <v>175</v>
      </c>
      <c r="H46" s="152" t="s">
        <v>103</v>
      </c>
    </row>
    <row r="47" spans="5:8" x14ac:dyDescent="0.35">
      <c r="E47" s="153" t="s">
        <v>176</v>
      </c>
      <c r="F47" s="40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0"/>
      <c r="G48" s="154" t="s">
        <v>179</v>
      </c>
      <c r="H48" s="152" t="s">
        <v>100</v>
      </c>
    </row>
    <row r="49" spans="5:8" x14ac:dyDescent="0.35">
      <c r="E49" s="153" t="s">
        <v>176</v>
      </c>
      <c r="F49" s="400"/>
      <c r="G49" s="154" t="s">
        <v>180</v>
      </c>
      <c r="H49" s="152" t="s">
        <v>98</v>
      </c>
    </row>
    <row r="50" spans="5:8" x14ac:dyDescent="0.35">
      <c r="E50" s="153" t="s">
        <v>176</v>
      </c>
      <c r="F50" s="400"/>
      <c r="G50" s="154" t="s">
        <v>181</v>
      </c>
      <c r="H50" s="152" t="s">
        <v>101</v>
      </c>
    </row>
    <row r="51" spans="5:8" x14ac:dyDescent="0.35">
      <c r="E51" s="153" t="s">
        <v>176</v>
      </c>
      <c r="F51" s="400"/>
      <c r="G51" s="154" t="s">
        <v>182</v>
      </c>
      <c r="H51" s="152" t="s">
        <v>102</v>
      </c>
    </row>
    <row r="52" spans="5:8" x14ac:dyDescent="0.35">
      <c r="E52" s="153" t="s">
        <v>176</v>
      </c>
      <c r="F52" s="400"/>
      <c r="G52" s="158" t="s">
        <v>183</v>
      </c>
      <c r="H52" s="152" t="s">
        <v>103</v>
      </c>
    </row>
    <row r="53" spans="5:8" x14ac:dyDescent="0.35">
      <c r="E53" s="153" t="s">
        <v>184</v>
      </c>
      <c r="F53" s="40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0"/>
      <c r="G54" s="154" t="s">
        <v>187</v>
      </c>
      <c r="H54" s="152" t="s">
        <v>100</v>
      </c>
    </row>
    <row r="55" spans="5:8" x14ac:dyDescent="0.35">
      <c r="E55" s="153" t="s">
        <v>184</v>
      </c>
      <c r="F55" s="400"/>
      <c r="G55" s="154" t="s">
        <v>188</v>
      </c>
      <c r="H55" s="152" t="s">
        <v>98</v>
      </c>
    </row>
    <row r="56" spans="5:8" x14ac:dyDescent="0.35">
      <c r="E56" s="153" t="s">
        <v>184</v>
      </c>
      <c r="F56" s="400"/>
      <c r="G56" s="154" t="s">
        <v>189</v>
      </c>
      <c r="H56" s="152" t="s">
        <v>101</v>
      </c>
    </row>
    <row r="57" spans="5:8" x14ac:dyDescent="0.35">
      <c r="E57" s="153" t="s">
        <v>184</v>
      </c>
      <c r="F57" s="400"/>
      <c r="G57" s="154" t="s">
        <v>190</v>
      </c>
      <c r="H57" s="152" t="s">
        <v>102</v>
      </c>
    </row>
    <row r="58" spans="5:8" x14ac:dyDescent="0.35">
      <c r="E58" s="153" t="s">
        <v>184</v>
      </c>
      <c r="F58" s="400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0"/>
      <c r="G66" s="151" t="s">
        <v>203</v>
      </c>
      <c r="H66" s="152" t="s">
        <v>100</v>
      </c>
    </row>
    <row r="67" spans="5:8" x14ac:dyDescent="0.35">
      <c r="E67" s="148" t="s">
        <v>200</v>
      </c>
      <c r="F67" s="400"/>
      <c r="G67" s="151" t="s">
        <v>204</v>
      </c>
      <c r="H67" s="152" t="s">
        <v>98</v>
      </c>
    </row>
    <row r="68" spans="5:8" x14ac:dyDescent="0.35">
      <c r="E68" s="148" t="s">
        <v>200</v>
      </c>
      <c r="F68" s="400"/>
      <c r="G68" s="151" t="s">
        <v>201</v>
      </c>
      <c r="H68" s="152" t="s">
        <v>101</v>
      </c>
    </row>
    <row r="69" spans="5:8" x14ac:dyDescent="0.35">
      <c r="E69" s="148" t="s">
        <v>200</v>
      </c>
      <c r="F69" s="400"/>
      <c r="G69" s="151" t="s">
        <v>205</v>
      </c>
      <c r="H69" s="152" t="s">
        <v>102</v>
      </c>
    </row>
    <row r="70" spans="5:8" x14ac:dyDescent="0.35">
      <c r="E70" s="148" t="s">
        <v>200</v>
      </c>
      <c r="F70" s="400"/>
      <c r="G70" s="151" t="s">
        <v>206</v>
      </c>
      <c r="H70" s="152" t="s">
        <v>103</v>
      </c>
    </row>
    <row r="71" spans="5:8" x14ac:dyDescent="0.35">
      <c r="E71" s="153" t="s">
        <v>207</v>
      </c>
      <c r="F71" s="40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0"/>
      <c r="G72" s="154" t="s">
        <v>210</v>
      </c>
      <c r="H72" s="152" t="s">
        <v>100</v>
      </c>
    </row>
    <row r="73" spans="5:8" x14ac:dyDescent="0.35">
      <c r="E73" s="153" t="s">
        <v>207</v>
      </c>
      <c r="F73" s="400"/>
      <c r="G73" s="154" t="s">
        <v>211</v>
      </c>
      <c r="H73" s="152" t="s">
        <v>98</v>
      </c>
    </row>
    <row r="74" spans="5:8" x14ac:dyDescent="0.35">
      <c r="E74" s="153" t="s">
        <v>207</v>
      </c>
      <c r="F74" s="400"/>
      <c r="G74" s="154" t="s">
        <v>212</v>
      </c>
      <c r="H74" s="152" t="s">
        <v>101</v>
      </c>
    </row>
    <row r="75" spans="5:8" x14ac:dyDescent="0.35">
      <c r="E75" s="153" t="s">
        <v>207</v>
      </c>
      <c r="F75" s="400"/>
      <c r="G75" s="154" t="s">
        <v>213</v>
      </c>
      <c r="H75" s="152" t="s">
        <v>102</v>
      </c>
    </row>
    <row r="76" spans="5:8" x14ac:dyDescent="0.35">
      <c r="E76" s="153" t="s">
        <v>207</v>
      </c>
      <c r="F76" s="400"/>
      <c r="G76" s="151" t="s">
        <v>214</v>
      </c>
      <c r="H76" s="152" t="s">
        <v>103</v>
      </c>
    </row>
    <row r="77" spans="5:8" x14ac:dyDescent="0.35">
      <c r="E77" s="153" t="s">
        <v>215</v>
      </c>
      <c r="F77" s="40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0"/>
      <c r="G78" s="154" t="s">
        <v>218</v>
      </c>
      <c r="H78" s="152" t="s">
        <v>100</v>
      </c>
    </row>
    <row r="79" spans="5:8" x14ac:dyDescent="0.35">
      <c r="E79" s="153" t="s">
        <v>215</v>
      </c>
      <c r="F79" s="400"/>
      <c r="G79" s="154" t="s">
        <v>219</v>
      </c>
      <c r="H79" s="152" t="s">
        <v>98</v>
      </c>
    </row>
    <row r="80" spans="5:8" x14ac:dyDescent="0.35">
      <c r="E80" s="153" t="s">
        <v>215</v>
      </c>
      <c r="F80" s="400"/>
      <c r="G80" s="154" t="s">
        <v>220</v>
      </c>
      <c r="H80" s="152" t="s">
        <v>101</v>
      </c>
    </row>
    <row r="81" spans="5:8" x14ac:dyDescent="0.35">
      <c r="E81" s="153" t="s">
        <v>215</v>
      </c>
      <c r="F81" s="400"/>
      <c r="G81" s="154" t="s">
        <v>221</v>
      </c>
      <c r="H81" s="152" t="s">
        <v>102</v>
      </c>
    </row>
    <row r="82" spans="5:8" x14ac:dyDescent="0.35">
      <c r="E82" s="153" t="s">
        <v>215</v>
      </c>
      <c r="F82" s="400"/>
      <c r="G82" s="151" t="s">
        <v>222</v>
      </c>
      <c r="H82" s="152" t="s">
        <v>103</v>
      </c>
    </row>
    <row r="83" spans="5:8" x14ac:dyDescent="0.35">
      <c r="E83" s="153" t="s">
        <v>223</v>
      </c>
      <c r="F83" s="40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0"/>
      <c r="G84" s="154" t="s">
        <v>226</v>
      </c>
      <c r="H84" s="152" t="s">
        <v>100</v>
      </c>
    </row>
    <row r="85" spans="5:8" x14ac:dyDescent="0.35">
      <c r="E85" s="153" t="s">
        <v>223</v>
      </c>
      <c r="F85" s="400"/>
      <c r="G85" s="154" t="s">
        <v>227</v>
      </c>
      <c r="H85" s="152" t="s">
        <v>98</v>
      </c>
    </row>
    <row r="86" spans="5:8" x14ac:dyDescent="0.35">
      <c r="E86" s="153" t="s">
        <v>223</v>
      </c>
      <c r="F86" s="400"/>
      <c r="G86" s="154" t="s">
        <v>228</v>
      </c>
      <c r="H86" s="152" t="s">
        <v>101</v>
      </c>
    </row>
    <row r="87" spans="5:8" x14ac:dyDescent="0.35">
      <c r="E87" s="153" t="s">
        <v>223</v>
      </c>
      <c r="F87" s="400"/>
      <c r="G87" s="154" t="s">
        <v>229</v>
      </c>
      <c r="H87" s="152" t="s">
        <v>102</v>
      </c>
    </row>
    <row r="88" spans="5:8" x14ac:dyDescent="0.35">
      <c r="E88" s="153" t="s">
        <v>223</v>
      </c>
      <c r="F88" s="400"/>
      <c r="G88" s="151" t="s">
        <v>230</v>
      </c>
      <c r="H88" s="152" t="s">
        <v>103</v>
      </c>
    </row>
    <row r="89" spans="5:8" x14ac:dyDescent="0.35">
      <c r="E89" s="153" t="s">
        <v>231</v>
      </c>
      <c r="F89" s="40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0"/>
      <c r="G90" s="154" t="s">
        <v>234</v>
      </c>
      <c r="H90" s="152" t="s">
        <v>100</v>
      </c>
    </row>
    <row r="91" spans="5:8" x14ac:dyDescent="0.35">
      <c r="E91" s="153" t="s">
        <v>231</v>
      </c>
      <c r="F91" s="400"/>
      <c r="G91" s="154" t="s">
        <v>235</v>
      </c>
      <c r="H91" s="152" t="s">
        <v>98</v>
      </c>
    </row>
    <row r="92" spans="5:8" x14ac:dyDescent="0.35">
      <c r="E92" s="153" t="s">
        <v>231</v>
      </c>
      <c r="F92" s="400"/>
      <c r="G92" s="154" t="s">
        <v>236</v>
      </c>
      <c r="H92" s="152" t="s">
        <v>101</v>
      </c>
    </row>
    <row r="93" spans="5:8" x14ac:dyDescent="0.35">
      <c r="E93" s="153" t="s">
        <v>231</v>
      </c>
      <c r="F93" s="400"/>
      <c r="G93" s="154" t="s">
        <v>232</v>
      </c>
      <c r="H93" s="152" t="s">
        <v>102</v>
      </c>
    </row>
    <row r="94" spans="5:8" x14ac:dyDescent="0.35">
      <c r="E94" s="153" t="s">
        <v>231</v>
      </c>
      <c r="F94" s="400"/>
      <c r="G94" s="158" t="s">
        <v>237</v>
      </c>
      <c r="H94" s="152" t="s">
        <v>103</v>
      </c>
    </row>
    <row r="95" spans="5:8" x14ac:dyDescent="0.35">
      <c r="E95" s="153" t="s">
        <v>238</v>
      </c>
      <c r="F95" s="40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0"/>
      <c r="G96" s="154" t="s">
        <v>241</v>
      </c>
      <c r="H96" s="152" t="s">
        <v>100</v>
      </c>
    </row>
    <row r="97" spans="5:8" x14ac:dyDescent="0.35">
      <c r="E97" s="153" t="s">
        <v>238</v>
      </c>
      <c r="F97" s="400"/>
      <c r="G97" s="154" t="s">
        <v>242</v>
      </c>
      <c r="H97" s="152" t="s">
        <v>98</v>
      </c>
    </row>
    <row r="98" spans="5:8" x14ac:dyDescent="0.35">
      <c r="E98" s="153" t="s">
        <v>238</v>
      </c>
      <c r="F98" s="400"/>
      <c r="G98" s="154" t="s">
        <v>243</v>
      </c>
      <c r="H98" s="152" t="s">
        <v>101</v>
      </c>
    </row>
    <row r="99" spans="5:8" x14ac:dyDescent="0.35">
      <c r="E99" s="153" t="s">
        <v>238</v>
      </c>
      <c r="F99" s="400"/>
      <c r="G99" s="158" t="s">
        <v>244</v>
      </c>
      <c r="H99" s="152" t="s">
        <v>102</v>
      </c>
    </row>
    <row r="100" spans="5:8" x14ac:dyDescent="0.35">
      <c r="E100" s="153" t="s">
        <v>238</v>
      </c>
      <c r="F100" s="40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0"/>
      <c r="G103" s="154" t="s">
        <v>249</v>
      </c>
      <c r="H103" s="152" t="s">
        <v>98</v>
      </c>
    </row>
    <row r="104" spans="5:8" x14ac:dyDescent="0.35">
      <c r="E104" s="153" t="s">
        <v>246</v>
      </c>
      <c r="F104" s="40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0"/>
      <c r="G109" s="154" t="s">
        <v>257</v>
      </c>
      <c r="H109" s="152" t="s">
        <v>98</v>
      </c>
    </row>
    <row r="110" spans="5:8" x14ac:dyDescent="0.35">
      <c r="E110" s="153" t="s">
        <v>253</v>
      </c>
      <c r="F110" s="40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0"/>
      <c r="G115" s="154" t="s">
        <v>265</v>
      </c>
      <c r="H115" s="152" t="s">
        <v>98</v>
      </c>
    </row>
    <row r="116" spans="5:8" x14ac:dyDescent="0.35">
      <c r="E116" s="153" t="s">
        <v>261</v>
      </c>
      <c r="F116" s="40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0"/>
      <c r="G127" s="151" t="s">
        <v>282</v>
      </c>
      <c r="H127" s="152" t="s">
        <v>98</v>
      </c>
    </row>
    <row r="128" spans="5:8" x14ac:dyDescent="0.35">
      <c r="E128" s="148" t="s">
        <v>277</v>
      </c>
      <c r="F128" s="40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0"/>
      <c r="G133" s="154" t="s">
        <v>290</v>
      </c>
      <c r="H133" s="152" t="s">
        <v>98</v>
      </c>
    </row>
    <row r="134" spans="5:8" x14ac:dyDescent="0.35">
      <c r="E134" s="153" t="s">
        <v>289</v>
      </c>
      <c r="F134" s="40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0"/>
      <c r="G139" s="154" t="s">
        <v>299</v>
      </c>
      <c r="H139" s="152" t="s">
        <v>98</v>
      </c>
    </row>
    <row r="140" spans="5:8" x14ac:dyDescent="0.35">
      <c r="E140" s="153" t="s">
        <v>297</v>
      </c>
      <c r="F140" s="40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0"/>
      <c r="G145" s="154" t="s">
        <v>307</v>
      </c>
      <c r="H145" s="152" t="s">
        <v>98</v>
      </c>
    </row>
    <row r="146" spans="5:8" x14ac:dyDescent="0.35">
      <c r="E146" s="153" t="s">
        <v>303</v>
      </c>
      <c r="F146" s="40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0"/>
      <c r="G151" s="154" t="s">
        <v>316</v>
      </c>
      <c r="H151" s="152" t="s">
        <v>98</v>
      </c>
    </row>
    <row r="152" spans="5:8" x14ac:dyDescent="0.35">
      <c r="E152" s="153" t="s">
        <v>315</v>
      </c>
      <c r="F152" s="40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0"/>
      <c r="G157" s="154" t="s">
        <v>325</v>
      </c>
      <c r="H157" s="152" t="s">
        <v>98</v>
      </c>
    </row>
    <row r="158" spans="5:8" x14ac:dyDescent="0.35">
      <c r="E158" s="153" t="s">
        <v>320</v>
      </c>
      <c r="F158" s="40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0"/>
      <c r="G163" s="154" t="s">
        <v>333</v>
      </c>
      <c r="H163" s="152" t="s">
        <v>98</v>
      </c>
    </row>
    <row r="164" spans="5:8" x14ac:dyDescent="0.35">
      <c r="E164" s="153" t="s">
        <v>328</v>
      </c>
      <c r="F164" s="40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0"/>
      <c r="G169" s="154" t="s">
        <v>340</v>
      </c>
      <c r="H169" s="152" t="s">
        <v>98</v>
      </c>
    </row>
    <row r="170" spans="5:8" x14ac:dyDescent="0.35">
      <c r="E170" s="153" t="s">
        <v>338</v>
      </c>
      <c r="F170" s="40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0"/>
      <c r="G175" s="154" t="s">
        <v>348</v>
      </c>
      <c r="H175" s="152" t="s">
        <v>98</v>
      </c>
    </row>
    <row r="176" spans="5:8" x14ac:dyDescent="0.35">
      <c r="E176" s="153" t="s">
        <v>344</v>
      </c>
      <c r="F176" s="40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0"/>
      <c r="G181" s="154" t="s">
        <v>356</v>
      </c>
      <c r="H181" s="152" t="s">
        <v>98</v>
      </c>
    </row>
    <row r="182" spans="5:8" x14ac:dyDescent="0.35">
      <c r="E182" s="156" t="s">
        <v>352</v>
      </c>
      <c r="F182" s="40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0"/>
      <c r="G187" s="151" t="s">
        <v>364</v>
      </c>
      <c r="H187" s="152" t="s">
        <v>98</v>
      </c>
    </row>
    <row r="188" spans="5:8" x14ac:dyDescent="0.35">
      <c r="E188" s="148" t="s">
        <v>360</v>
      </c>
      <c r="F188" s="40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0"/>
      <c r="G193" s="154" t="s">
        <v>371</v>
      </c>
      <c r="H193" s="152" t="s">
        <v>98</v>
      </c>
    </row>
    <row r="194" spans="5:8" x14ac:dyDescent="0.35">
      <c r="E194" s="153" t="s">
        <v>368</v>
      </c>
      <c r="F194" s="40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0"/>
      <c r="G199" s="154" t="s">
        <v>379</v>
      </c>
      <c r="H199" s="152" t="s">
        <v>98</v>
      </c>
    </row>
    <row r="200" spans="5:8" x14ac:dyDescent="0.35">
      <c r="E200" s="153" t="s">
        <v>375</v>
      </c>
      <c r="F200" s="40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0"/>
      <c r="G205" s="154" t="s">
        <v>384</v>
      </c>
      <c r="H205" s="152" t="s">
        <v>98</v>
      </c>
    </row>
    <row r="206" spans="5:8" x14ac:dyDescent="0.35">
      <c r="E206" s="153" t="s">
        <v>383</v>
      </c>
      <c r="F206" s="40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0"/>
      <c r="G211" s="154" t="s">
        <v>394</v>
      </c>
      <c r="H211" s="152" t="s">
        <v>98</v>
      </c>
    </row>
    <row r="212" spans="5:8" x14ac:dyDescent="0.35">
      <c r="E212" s="153" t="s">
        <v>390</v>
      </c>
      <c r="F212" s="40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0"/>
      <c r="G217" s="154" t="s">
        <v>399</v>
      </c>
      <c r="H217" s="152" t="s">
        <v>98</v>
      </c>
    </row>
    <row r="218" spans="5:8" x14ac:dyDescent="0.35">
      <c r="E218" s="153" t="s">
        <v>398</v>
      </c>
      <c r="F218" s="40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0"/>
      <c r="G223" s="154" t="s">
        <v>409</v>
      </c>
      <c r="H223" s="152" t="s">
        <v>98</v>
      </c>
    </row>
    <row r="224" spans="5:8" x14ac:dyDescent="0.35">
      <c r="E224" s="153" t="s">
        <v>405</v>
      </c>
      <c r="F224" s="40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0"/>
      <c r="G229" s="154" t="s">
        <v>416</v>
      </c>
      <c r="H229" s="152" t="s">
        <v>98</v>
      </c>
    </row>
    <row r="230" spans="5:8" x14ac:dyDescent="0.35">
      <c r="E230" s="153" t="s">
        <v>412</v>
      </c>
      <c r="F230" s="40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0"/>
      <c r="G235" s="154" t="s">
        <v>424</v>
      </c>
      <c r="H235" s="152" t="s">
        <v>98</v>
      </c>
    </row>
    <row r="236" spans="5:8" x14ac:dyDescent="0.35">
      <c r="E236" s="153" t="s">
        <v>420</v>
      </c>
      <c r="F236" s="40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2026-10-20T05:14:52Z</dcterms:modified>
</cp:coreProperties>
</file>