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ED623B5A-71D7-4504-A163-F2D084FACC6E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5" l="1"/>
  <c r="N5" i="65" s="1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K12" i="62" l="1"/>
  <c r="M16" i="48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5" i="52" l="1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<sst xmlns="http://schemas.openxmlformats.org/spreadsheetml/2006/main" count="3948" uniqueCount="530">
  <si>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</si>
  <si>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</si>
  <si>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</si>
  <si>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</si>
  <si>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</si>
  <si>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</si>
  <si>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</si>
  <si>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</si>
  <si>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</si>
  <si>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</si>
  <si>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</si>
  <si>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</si>
  <si>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</si>
  <si>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</si>
  <si>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</si>
  <si>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</si>
  <si>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</si>
  <si>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</si>
  <si>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</si>
  <si>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</si>
  <si>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</si>
  <si>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</si>
  <si>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</si>
  <si>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</si>
  <si>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</si>
  <si>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</si>
  <si>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</si>
  <si>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</si>
  <si>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</si>
  <si>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</si>
  <si>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</si>
  <si>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</si>
  <si>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</si>
  <si>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</si>
  <si>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</si>
  <si>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</si>
  <si>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</si>
  <si>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</si>
  <si>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</si>
  <si>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</si>
  <si>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</si>
  <si>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</si>
  <si>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</si>
  <si>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</si>
  <si>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</si>
  <si>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</si>
  <si>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</si>
  <si>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</si>
  <si>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</si>
  <si>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</si>
  <si>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</si>
  <si>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</si>
  <si>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</si>
  <si>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</si>
  <si>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</si>
  <si>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</si>
  <si>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</si>
  <si>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</si>
  <si>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</si>
  <si>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</si>
  <si>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</si>
  <si>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</si>
  <si>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</si>
  <si>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</si>
  <si>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</si>
  <si>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</si>
  <si>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</si>
  <si>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</si>
  <si>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</si>
  <si>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</si>
  <si>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</si>
  <si>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</si>
  <si>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</si>
  <si>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</si>
  <si>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</si>
  <si>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</si>
  <si>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</si>
  <si>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</si>
  <si>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</si>
  <si>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</si>
  <si>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</si>
  <si>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</si>
  <si>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</si>
  <si>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</si>
  <si>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</si>
  <si>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</si>
  <si>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</si>
  <si>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</si>
  <si>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</si>
  <si>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</si>
  <si>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</si>
  <si>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</si>
  <si>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</si>
  <si>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</si>
  <si>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</si>
  <si>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</si>
  <si>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</si>
  <si>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</si>
  <si>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</si>
  <si>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</si>
  <si>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</si>
  <si>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</si>
  <si>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</si>
  <si>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</si>
  <si>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</si>
  <si>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</si>
  <si>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</si>
  <si>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</si>
  <si>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</si>
  <si>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</si>
  <si>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</si>
  <si>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</si>
  <si>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</si>
  <si>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</si>
  <si>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</si>
  <si>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</si>
  <si>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</si>
  <si>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</si>
  <si>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</si>
  <si>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</si>
  <si>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</si>
  <si>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</si>
  <si>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</si>
  <si>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</si>
  <si>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</si>
  <si>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</si>
  <si>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</si>
  <si>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</si>
  <si>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</si>
  <si>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</si>
  <si>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</si>
  <si>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</si>
  <si>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</si>
  <si>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</si>
  <si>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</si>
  <si>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</si>
  <si>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</si>
  <si>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</si>
  <si>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</si>
  <si>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</si>
  <si>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</si>
  <si>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</si>
  <si>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</si>
  <si>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</si>
  <si>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</si>
  <si>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</si>
  <si>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</si>
  <si>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</si>
  <si>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</si>
  <si>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</si>
  <si>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</si>
  <si>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</si>
  <si>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</si>
  <si>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</si>
  <si>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</si>
  <si>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</si>
  <si>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</si>
  <si>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</si>
  <si>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</si>
  <si>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</si>
  <si>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</si>
  <si>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</si>
  <si>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</si>
  <si>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</si>
  <si>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</si>
  <si>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</si>
  <si>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</si>
  <si>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</si>
  <si>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</si>
  <si>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</si>
  <si>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</si>
  <si>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</si>
  <si>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</si>
  <si>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</si>
  <si>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</si>
  <si>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</si>
  <si>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</si>
  <si>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</si>
  <si>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</si>
  <si>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</si>
  <si>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</si>
  <si>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</si>
  <si>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</si>
  <si>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</si>
  <si>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</si>
  <si>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</si>
  <si>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</si>
  <si>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</si>
  <si>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</si>
  <si>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</si>
  <si>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</si>
  <si>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</si>
  <si>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</si>
  <si>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</si>
  <si>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</si>
  <si>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</si>
  <si>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</si>
  <si>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</si>
  <si>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</si>
  <si>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</si>
  <si>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</si>
  <si>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</si>
  <si>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</si>
  <si>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</si>
  <si>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</si>
  <si>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</si>
  <si>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</si>
  <si>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</si>
  <si>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</si>
  <si>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</si>
  <si>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</si>
  <si>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</si>
  <si>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</si>
  <si>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</si>
  <si>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</si>
  <si>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</si>
  <si>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</si>
  <si>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</si>
  <si>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</si>
  <si>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</si>
  <si>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</si>
  <si>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</si>
  <si>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</si>
  <si>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</si>
  <si>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</si>
  <si>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</si>
  <si>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</si>
  <si>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</si>
  <si>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</si>
  <si>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</si>
  <si>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</si>
  <si>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</si>
  <si>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</si>
  <si>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</si>
  <si>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</si>
  <si>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</si>
  <si>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</si>
  <si>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</si>
  <si>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</si>
  <si>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</si>
  <si>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</si>
  <si>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</si>
  <si>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</si>
  <si>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</si>
  <si>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</si>
  <si>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</si>
  <si>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</si>
  <si>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</si>
  <si>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</si>
  <si>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</si>
  <si>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</si>
  <si>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</si>
  <si>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</si>
  <si>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</si>
  <si>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</si>
  <si>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</si>
  <si>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</si>
  <si>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</si>
  <si>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</si>
  <si>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</si>
  <si>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</si>
  <si>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</si>
  <si>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</si>
  <si>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</si>
  <si>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</si>
  <si>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</si>
  <si>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</si>
  <si>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</si>
  <si>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</si>
  <si>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</si>
  <si>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</si>
  <si>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</si>
  <si>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</si>
  <si>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</si>
  <si>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</si>
  <si>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</si>
  <si>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</si>
  <si>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</si>
  <si>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</si>
  <si>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</si>
  <si>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</si>
  <si>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</si>
  <si>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</si>
  <si>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</si>
  <si>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</si>
  <si>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</si>
  <si>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</si>
  <si>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</si>
  <si>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</si>
  <si>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</si>
  <si>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</si>
  <si>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</si>
  <si>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</si>
  <si>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</si>
  <si>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</si>
  <si>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</si>
  <si>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</si>
  <si>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</si>
  <si>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</si>
  <si>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</si>
  <si>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</si>
  <si>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</si>
  <si>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</si>
  <si>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</si>
  <si>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</si>
  <si>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</si>
  <si>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</si>
  <si>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</si>
  <si>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</si>
  <si>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</si>
  <si>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</si>
  <si>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</si>
  <si>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</si>
  <si>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</si>
  <si>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</si>
  <si>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</si>
  <si>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</si>
  <si>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</si>
  <si>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</si>
  <si>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</si>
  <si>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</si>
  <si>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</si>
  <si>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</si>
  <si>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</si>
  <si>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</si>
  <si>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</si>
  <si>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</si>
  <si>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</si>
  <si>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</si>
  <si>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</si>
  <si>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</si>
  <si>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</si>
  <si>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</si>
  <si>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</si>
  <si>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</si>
  <si>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</si>
  <si>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</si>
  <si>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</si>
  <si>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</si>
  <si>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</si>
  <si>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</si>
  <si>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</si>
  <si>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</si>
  <si>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</si>
  <si>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</si>
  <si>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</si>
  <si>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</si>
  <si>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</si>
  <si>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</si>
  <si>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</si>
  <si>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</si>
  <si>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</si>
  <si>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</si>
  <si>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</si>
  <si>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</si>
  <si>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</si>
  <si>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</si>
  <si>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</si>
  <si>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</si>
  <si>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</si>
  <si>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</si>
  <si>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</si>
  <si>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</si>
  <si>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</si>
  <si>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</si>
  <si>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</si>
  <si>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</si>
  <si>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</si>
  <si>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</si>
  <si>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</si>
  <si>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</si>
  <si>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</si>
  <si>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</si>
  <si>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</si>
  <si>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</si>
  <si>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</si>
  <si>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</si>
  <si>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</si>
  <si>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</si>
  <si>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</si>
  <si>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</si>
  <si>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</si>
  <si>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</si>
  <si>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</si>
  <si>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</si>
  <si>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</si>
  <si>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</si>
  <si>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</si>
  <si>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</si>
  <si>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</si>
  <si>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</si>
  <si>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</si>
  <si>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</si>
  <si>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</si>
  <si>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</si>
  <si>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</si>
  <si>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</si>
  <si>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</si>
  <si>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</si>
  <si>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</si>
  <si>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</si>
  <si>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</si>
  <si>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</si>
  <si>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</si>
  <si>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</si>
  <si>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</si>
  <si>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</si>
  <si>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</si>
  <si>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</si>
  <si>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</si>
  <si>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</si>
  <si>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</si>
  <si>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</si>
  <si>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</si>
  <si>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</si>
  <si>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</si>
  <si>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</si>
  <si>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</si>
  <si>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</si>
  <si>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</si>
  <si>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</si>
  <si>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</si>
  <si>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</si>
  <si>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</si>
  <si>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</si>
  <si>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</si>
  <si>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</si>
  <si>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</si>
  <si>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</si>
  <si>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</si>
  <si>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</si>
  <si>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</si>
  <si>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</si>
  <si>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</si>
  <si>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</si>
  <si>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</si>
  <si>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</si>
  <si>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</si>
  <si>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</si>
  <si>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</si>
  <si>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</si>
  <si>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</si>
  <si>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</si>
  <si>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</si>
  <si>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</si>
  <si>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</si>
  <si>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</si>
  <si>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</si>
  <si>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</si>
  <si>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</si>
  <si>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</si>
  <si>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</si>
  <si>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</si>
  <si>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</si>
  <si>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</si>
  <si>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</si>
  <si>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</si>
  <si>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</si>
  <si>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</si>
  <si>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</si>
  <si>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</si>
  <si>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</si>
  <si>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</si>
  <si>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</si>
  <si>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</si>
  <si>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</si>
  <si>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</si>
  <si>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</si>
  <si>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</si>
  <si>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</si>
  <si>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</si>
  <si>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</si>
  <si>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</si>
  <si>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</si>
  <si>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</si>
  <si>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</si>
  <si>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</si>
  <si>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</si>
  <si>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</si>
  <si>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</si>
  <si>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</si>
  <si>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</si>
  <si>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</si>
  <si>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</si>
  <si>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</si>
  <si>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</si>
  <si>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</si>
  <si>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</si>
  <si>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</si>
  <si>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</si>
  <si>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</si>
  <si>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</si>
  <si>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</si>
  <si>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</si>
  <si>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</si>
  <si>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</si>
  <si>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</si>
  <si>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</si>
  <si>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</si>
  <si>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</si>
  <si>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</si>
  <si>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</si>
  <si>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</si>
  <si>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</si>
  <si>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</si>
  <si>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</si>
  <si>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</si>
  <si>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</si>
  <si>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</si>
  <si>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</si>
  <si>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</si>
  <si>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</si>
  <si>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</si>
  <si>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</si>
  <si>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Jabbar</t>
  </si>
  <si>
    <t>SMS Store</t>
  </si>
  <si>
    <t xml:space="preserve">Address: Sajid Garden </t>
  </si>
  <si>
    <t xml:space="preserve">Smokies Mart </t>
  </si>
  <si>
    <t xml:space="preserve">Address: Hafez Garden </t>
  </si>
  <si>
    <t xml:space="preserve">Lohari Mart </t>
  </si>
  <si>
    <t>Address: canal Fort</t>
  </si>
  <si>
    <t xml:space="preserve">Discount Mart </t>
  </si>
  <si>
    <t>Address: Canal Fort</t>
  </si>
  <si>
    <t xml:space="preserve">Dulce Bakers </t>
  </si>
  <si>
    <t xml:space="preserve">Address: Canal Fort </t>
  </si>
  <si>
    <t xml:space="preserve">Ali Mart </t>
  </si>
  <si>
    <t>786 Store</t>
  </si>
  <si>
    <t xml:space="preserve">Address: Al Rehman Garden </t>
  </si>
  <si>
    <t>Hamza Store</t>
  </si>
  <si>
    <t xml:space="preserve">Address: Nazeer Garden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</si>
</sst>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7" workbookViewId="0">
      <selection activeCell="C30" sqref="C3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46315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SMS Store</v>
      </c>
      <c r="T3" s="301">
        <f>+'1'!P35</f>
        <v>3136.2115850847458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Smokies Mart </v>
      </c>
      <c r="T4" s="301">
        <f>+'2'!P35</f>
        <v>1411.2952132881355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Lohari Mart </v>
      </c>
      <c r="T5" s="301">
        <f>+'3'!P35</f>
        <v>3136.2115850847463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Smokies Mart </v>
      </c>
      <c r="T6" s="301">
        <f>+'4'!P35</f>
        <v>1881.7269510508474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26</v>
      </c>
      <c r="I7" s="235">
        <f>(G7*D7)*F7+H7*F7</f>
        <v>1364.0249999999999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109.12199999999999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47.740875000000003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1207.1621249999998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257.79661016949143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7.3247936758474568</v>
      </c>
      <c r="P7" s="310">
        <f>M7+N7+O7</f>
        <v>1472.2835288453389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 xml:space="preserve">Discount Mart </v>
      </c>
      <c r="T7" s="301">
        <f>+'5'!P35</f>
        <v>3136.2115850847463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26</v>
      </c>
      <c r="I8" s="236">
        <f t="shared" ref="I8:I14" si="0">(G8*D8)*F8+H8*F8</f>
        <v>1364.0249999999999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109.12199999999999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47.740875000000003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1207.1621249999998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257.79661016949143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7.3247936758474568</v>
      </c>
      <c r="P8" s="311">
        <f t="shared" ref="P8:P15" si="2">M8+N8+O8</f>
        <v>1472.2835288453389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 xml:space="preserve">Dulce Bakers </v>
      </c>
      <c r="T8" s="301">
        <f>+'6'!P35</f>
        <v>2265.051582838983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28</v>
      </c>
      <c r="I9" s="236">
        <f t="shared" si="0"/>
        <v>1468.95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117.51600000000001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51.413250000000005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1300.0207500000001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277.62711864406765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7.8882393432203388</v>
      </c>
      <c r="P9" s="311">
        <f t="shared" si="2"/>
        <v>1585.5361079872882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 xml:space="preserve">Ali Mart </v>
      </c>
      <c r="T9" s="301">
        <f>+'7'!P35</f>
        <v>3205.9150583644073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83</v>
      </c>
      <c r="I10" s="236">
        <f t="shared" si="0"/>
        <v>6029.12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482.32960000000014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211.01920000000001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5335.7711999999992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1139.4915254237289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32.376313627118648</v>
      </c>
      <c r="P10" s="311">
        <f t="shared" si="2"/>
        <v>6507.6390390508477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786 Store</v>
      </c>
      <c r="T10" s="301">
        <f>+'8'!P35</f>
        <v>3136.2115850847463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51</v>
      </c>
      <c r="I11" s="236">
        <f t="shared" si="0"/>
        <v>3704.64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296.37120000000004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129.66240000000002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3278.6063999999997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700.16949152542361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19.893879457627122</v>
      </c>
      <c r="P11" s="311">
        <f t="shared" si="2"/>
        <v>3998.6697709830505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Hamza Store</v>
      </c>
      <c r="T11" s="301">
        <f>+'9'!P35</f>
        <v>3136.2115850847458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120</v>
      </c>
      <c r="I12" s="236">
        <f t="shared" si="0"/>
        <v>8716.7999999999993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697.34400000000005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305.08800000000002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7714.3679999999995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1647.4576271186443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46.809128135593227</v>
      </c>
      <c r="P12" s="311">
        <f t="shared" si="2"/>
        <v>9408.6347552542375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8.35</v>
      </c>
      <c r="H16" s="113">
        <f t="shared" ref="H16:M16" si="3">SUM(H7:H15)</f>
        <v>334</v>
      </c>
      <c r="I16" s="114">
        <f t="shared" si="3"/>
        <v>22647.559999999998</v>
      </c>
      <c r="J16" s="274">
        <f>SUM(J7:J15)</f>
        <v>1811.8048000000003</v>
      </c>
      <c r="K16" s="275">
        <f t="shared" si="3"/>
        <v>792.66460000000006</v>
      </c>
      <c r="L16" s="276">
        <f t="shared" si="3"/>
        <v>0</v>
      </c>
      <c r="M16" s="232">
        <f t="shared" si="3"/>
        <v>20043.090599999996</v>
      </c>
      <c r="N16" s="233">
        <f>SUM(N7:N15)</f>
        <v>4280.3389830508477</v>
      </c>
      <c r="O16" s="101">
        <f>SUM(O7:O15)</f>
        <v>121.61714791525425</v>
      </c>
      <c r="P16" s="113">
        <f>SUM(P7:P15)</f>
        <v>24445.046730966103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22647.559999999998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1811.8048000000003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792.66460000000006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20043.090599999996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4280.3389830508477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24323.429583050842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121.61714791525425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24445.046730966096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24445.046730966103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1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46315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46314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7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7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2905.6</v>
      </c>
      <c r="J25" s="274">
        <f>SUM(J16:J24)</f>
        <v>232.44800000000001</v>
      </c>
      <c r="K25" s="275">
        <f t="shared" si="10"/>
        <v>101.69600000000001</v>
      </c>
      <c r="L25" s="276">
        <f t="shared" si="10"/>
        <v>0</v>
      </c>
      <c r="M25" s="232">
        <f t="shared" si="10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46314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518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18</v>
      </c>
      <c r="I25" s="114">
        <f t="shared" si="7"/>
        <v>1307.52</v>
      </c>
      <c r="J25" s="274">
        <f>SUM(J16:J24)</f>
        <v>104.60160000000002</v>
      </c>
      <c r="K25" s="275">
        <f t="shared" si="7"/>
        <v>45.763200000000005</v>
      </c>
      <c r="L25" s="276">
        <f t="shared" si="7"/>
        <v>0</v>
      </c>
      <c r="M25" s="232">
        <f t="shared" si="7"/>
        <v>1157.1552000000001</v>
      </c>
      <c r="N25" s="233">
        <f>SUM(N16:N24)</f>
        <v>247.11864406779662</v>
      </c>
      <c r="O25" s="101">
        <f>SUM(O16:O24)</f>
        <v>7.0213692203389835</v>
      </c>
      <c r="P25" s="234">
        <f>SUM(P16:P24)</f>
        <v>1411.2952132881355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1307.52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104.60160000000002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45.763200000000005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1157.1551999999999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247.11864406779662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1404.2738440677965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7.0213692203389826</v>
      </c>
    </row>
    <row r="35" spans="2:16" ht="15.75" customHeight="1" thickBot="1" x14ac:dyDescent="0.4">
      <c r="N35" s="374" t="s">
        <v>88</v>
      </c>
      <c r="O35" s="375"/>
      <c r="P35" s="297">
        <f>+P33+P34</f>
        <v>1411.2952132881355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46314</v>
      </c>
      <c r="O5" s="394"/>
      <c r="P5" s="394"/>
      <c r="R5" s="85"/>
      <c r="S5" s="266"/>
    </row>
    <row r="6" spans="1:22 16383:16384" ht="18.7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13</v>
      </c>
      <c r="I19" s="236">
        <f t="shared" si="0"/>
        <v>944.32</v>
      </c>
      <c r="J19" s="272">
        <f t="shared" si="1"/>
        <v>75.545600000000007</v>
      </c>
      <c r="K19" s="128">
        <f t="shared" si="1"/>
        <v>33.051200000000001</v>
      </c>
      <c r="L19" s="119">
        <f t="shared" si="1"/>
        <v>0</v>
      </c>
      <c r="M19" s="230">
        <f t="shared" si="2"/>
        <v>835.72320000000002</v>
      </c>
      <c r="N19" s="277">
        <f t="shared" si="3"/>
        <v>178.47457627118644</v>
      </c>
      <c r="O19" s="239">
        <f t="shared" si="4"/>
        <v>5.070988881355933</v>
      </c>
      <c r="P19" s="119">
        <f t="shared" si="5"/>
        <v>1019.2687651525424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13</v>
      </c>
      <c r="I20" s="236">
        <f t="shared" si="0"/>
        <v>944.32</v>
      </c>
      <c r="J20" s="272">
        <f t="shared" si="1"/>
        <v>75.545600000000007</v>
      </c>
      <c r="K20" s="128">
        <f t="shared" si="1"/>
        <v>33.051200000000001</v>
      </c>
      <c r="L20" s="119">
        <f t="shared" si="1"/>
        <v>0</v>
      </c>
      <c r="M20" s="230">
        <f t="shared" si="2"/>
        <v>835.72320000000002</v>
      </c>
      <c r="N20" s="277">
        <f t="shared" si="3"/>
        <v>178.47457627118644</v>
      </c>
      <c r="O20" s="239">
        <f t="shared" si="4"/>
        <v>5.070988881355933</v>
      </c>
      <c r="P20" s="119">
        <f t="shared" si="5"/>
        <v>1019.2687651525424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14</v>
      </c>
      <c r="I21" s="236">
        <f t="shared" si="0"/>
        <v>1016.96</v>
      </c>
      <c r="J21" s="272">
        <f t="shared" si="1"/>
        <v>81.356800000000007</v>
      </c>
      <c r="K21" s="128">
        <f t="shared" si="1"/>
        <v>35.593600000000002</v>
      </c>
      <c r="L21" s="119">
        <f t="shared" si="1"/>
        <v>0</v>
      </c>
      <c r="M21" s="230">
        <f t="shared" si="2"/>
        <v>900.00960000000009</v>
      </c>
      <c r="N21" s="277">
        <f t="shared" si="3"/>
        <v>192.20338983050848</v>
      </c>
      <c r="O21" s="239">
        <f t="shared" si="4"/>
        <v>5.4610649491525427</v>
      </c>
      <c r="P21" s="119">
        <f t="shared" si="5"/>
        <v>1097.6740547796612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2905.6000000000004</v>
      </c>
      <c r="J25" s="274">
        <f>SUM(J16:J24)</f>
        <v>232.44800000000004</v>
      </c>
      <c r="K25" s="275">
        <f t="shared" si="7"/>
        <v>101.696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15.603042711864409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3136.2115850847463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46314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520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24</v>
      </c>
      <c r="I25" s="114">
        <f t="shared" si="7"/>
        <v>1743.3600000000001</v>
      </c>
      <c r="J25" s="274">
        <f>SUM(J16:J24)</f>
        <v>139.46880000000002</v>
      </c>
      <c r="K25" s="275">
        <f t="shared" si="7"/>
        <v>61.017600000000009</v>
      </c>
      <c r="L25" s="276">
        <f t="shared" si="7"/>
        <v>0</v>
      </c>
      <c r="M25" s="232">
        <f t="shared" si="7"/>
        <v>1542.8736000000001</v>
      </c>
      <c r="N25" s="233">
        <f>SUM(N16:N24)</f>
        <v>329.49152542372883</v>
      </c>
      <c r="O25" s="101">
        <f>SUM(O16:O24)</f>
        <v>9.3618256271186446</v>
      </c>
      <c r="P25" s="234">
        <f>SUM(P16:P24)</f>
        <v>1881.7269510508474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1743.3600000000001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139.46880000000002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61.017600000000009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1542.8736000000001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329.49152542372883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1872.3651254237288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9.3618256271186446</v>
      </c>
    </row>
    <row r="35" spans="2:16" ht="15.75" customHeight="1" thickBot="1" x14ac:dyDescent="0.4">
      <c r="N35" s="374" t="s">
        <v>88</v>
      </c>
      <c r="O35" s="375"/>
      <c r="P35" s="297">
        <f>+P33+P34</f>
        <v>1881.7269510508474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46314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522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13</v>
      </c>
      <c r="I19" s="236">
        <f t="shared" si="0"/>
        <v>944.32</v>
      </c>
      <c r="J19" s="272">
        <f t="shared" si="1"/>
        <v>75.545600000000007</v>
      </c>
      <c r="K19" s="128">
        <f t="shared" si="1"/>
        <v>33.051200000000001</v>
      </c>
      <c r="L19" s="119">
        <f t="shared" si="1"/>
        <v>0</v>
      </c>
      <c r="M19" s="230">
        <f t="shared" si="2"/>
        <v>835.72320000000002</v>
      </c>
      <c r="N19" s="277">
        <f t="shared" si="3"/>
        <v>178.47457627118644</v>
      </c>
      <c r="O19" s="239">
        <f t="shared" si="4"/>
        <v>5.070988881355933</v>
      </c>
      <c r="P19" s="119">
        <f t="shared" si="5"/>
        <v>1019.2687651525424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13</v>
      </c>
      <c r="I20" s="236">
        <f t="shared" si="0"/>
        <v>944.32</v>
      </c>
      <c r="J20" s="272">
        <f t="shared" si="1"/>
        <v>75.545600000000007</v>
      </c>
      <c r="K20" s="128">
        <f t="shared" si="1"/>
        <v>33.051200000000001</v>
      </c>
      <c r="L20" s="119">
        <f t="shared" si="1"/>
        <v>0</v>
      </c>
      <c r="M20" s="230">
        <f t="shared" si="2"/>
        <v>835.72320000000002</v>
      </c>
      <c r="N20" s="277">
        <f t="shared" si="3"/>
        <v>178.47457627118644</v>
      </c>
      <c r="O20" s="239">
        <f t="shared" si="4"/>
        <v>5.070988881355933</v>
      </c>
      <c r="P20" s="119">
        <f t="shared" si="5"/>
        <v>1019.2687651525424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14</v>
      </c>
      <c r="I21" s="236">
        <f t="shared" si="0"/>
        <v>1016.96</v>
      </c>
      <c r="J21" s="272">
        <f t="shared" si="1"/>
        <v>81.356800000000007</v>
      </c>
      <c r="K21" s="128">
        <f t="shared" si="1"/>
        <v>35.593600000000002</v>
      </c>
      <c r="L21" s="119">
        <f t="shared" si="1"/>
        <v>0</v>
      </c>
      <c r="M21" s="230">
        <f t="shared" si="2"/>
        <v>900.00960000000009</v>
      </c>
      <c r="N21" s="277">
        <f t="shared" si="3"/>
        <v>192.20338983050848</v>
      </c>
      <c r="O21" s="239">
        <f t="shared" si="4"/>
        <v>5.4610649491525427</v>
      </c>
      <c r="P21" s="119">
        <f t="shared" si="5"/>
        <v>1097.6740547796612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2905.6000000000004</v>
      </c>
      <c r="J25" s="274">
        <f>SUM(J16:J24)</f>
        <v>232.44800000000004</v>
      </c>
      <c r="K25" s="275">
        <f t="shared" si="7"/>
        <v>101.696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15.603042711864409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3136.2115850847463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46315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46314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13</v>
      </c>
      <c r="I16" s="235">
        <f>(G16*D16)*F16+H16*F16</f>
        <v>682.01249999999993</v>
      </c>
      <c r="J16" s="271">
        <f>$I16*S16</f>
        <v>54.560999999999993</v>
      </c>
      <c r="K16" s="127">
        <f>$I16*T16</f>
        <v>23.870437500000001</v>
      </c>
      <c r="L16" s="118">
        <f>$I16*U16</f>
        <v>0</v>
      </c>
      <c r="M16" s="229">
        <f>I16-SUM(J16:L16)</f>
        <v>603.58106249999992</v>
      </c>
      <c r="N16" s="248">
        <f>+(G16*D16+H16)*V16</f>
        <v>128.89830508474572</v>
      </c>
      <c r="O16" s="238">
        <f>(N16+M16)*$O$15</f>
        <v>3.6623968379237284</v>
      </c>
      <c r="P16" s="118">
        <f>M16+N16+O16</f>
        <v>736.14176442266944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13</v>
      </c>
      <c r="I17" s="236">
        <f t="shared" ref="I17:I23" si="0">(G17*D17)*F17+H17*F17</f>
        <v>682.01249999999993</v>
      </c>
      <c r="J17" s="272">
        <f t="shared" ref="J17:L24" si="1">$I17*S17</f>
        <v>54.560999999999993</v>
      </c>
      <c r="K17" s="128">
        <f>$I17*T17</f>
        <v>23.870437500000001</v>
      </c>
      <c r="L17" s="119">
        <f>$I17*U17</f>
        <v>0</v>
      </c>
      <c r="M17" s="230">
        <f t="shared" ref="M17:M24" si="2">I17-SUM(J17:L17)</f>
        <v>603.58106249999992</v>
      </c>
      <c r="N17" s="277">
        <f t="shared" ref="N17:N24" si="3">+(G17*D17+H17)*V17</f>
        <v>128.89830508474572</v>
      </c>
      <c r="O17" s="239">
        <f t="shared" ref="O17:O24" si="4">(N17+M17)*$O$15</f>
        <v>3.6623968379237284</v>
      </c>
      <c r="P17" s="119">
        <f t="shared" ref="P17:P24" si="5">M17+N17+O17</f>
        <v>736.14176442266944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14</v>
      </c>
      <c r="I18" s="236">
        <f t="shared" si="0"/>
        <v>734.47500000000002</v>
      </c>
      <c r="J18" s="272">
        <f t="shared" si="1"/>
        <v>58.758000000000003</v>
      </c>
      <c r="K18" s="128">
        <f t="shared" si="1"/>
        <v>25.706625000000003</v>
      </c>
      <c r="L18" s="119">
        <f t="shared" si="1"/>
        <v>0</v>
      </c>
      <c r="M18" s="230">
        <f t="shared" si="2"/>
        <v>650.01037500000007</v>
      </c>
      <c r="N18" s="277">
        <f t="shared" si="3"/>
        <v>138.81355932203383</v>
      </c>
      <c r="O18" s="239">
        <f t="shared" si="4"/>
        <v>3.9441196716101694</v>
      </c>
      <c r="P18" s="119">
        <f t="shared" si="5"/>
        <v>792.76805399364412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1857.1724999999999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2098.5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167.88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73.447500000000005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1857.1724999999999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2253.7826694915252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4" t="s">
        <v>88</v>
      </c>
      <c r="O35" s="375"/>
      <c r="P35" s="297">
        <f>+P33+P34</f>
        <v>2265.051582838983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46314</v>
      </c>
      <c r="O5" s="394"/>
      <c r="P5" s="394"/>
      <c r="R5" s="85"/>
      <c r="S5" s="266"/>
    </row>
    <row r="6" spans="1:22 16383:16384" ht="15" customHeight="1" x14ac:dyDescent="0.4">
      <c r="A6" s="400" t="s">
        <v>525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13</v>
      </c>
      <c r="I16" s="235">
        <f>(G16*D16)*F16+H16*F16</f>
        <v>682.01249999999993</v>
      </c>
      <c r="J16" s="271">
        <f>$I16*S16</f>
        <v>54.560999999999993</v>
      </c>
      <c r="K16" s="127">
        <f>$I16*T16</f>
        <v>23.870437500000001</v>
      </c>
      <c r="L16" s="118">
        <f>$I16*U16</f>
        <v>0</v>
      </c>
      <c r="M16" s="229">
        <f>I16-SUM(J16:L16)</f>
        <v>603.58106249999992</v>
      </c>
      <c r="N16" s="248">
        <f>+(G16*D16+H16)*V16</f>
        <v>128.89830508474572</v>
      </c>
      <c r="O16" s="238">
        <f>(N16+M16)*$O$15</f>
        <v>3.6623968379237284</v>
      </c>
      <c r="P16" s="118">
        <f>M16+N16+O16</f>
        <v>736.14176442266944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13</v>
      </c>
      <c r="I17" s="236">
        <f t="shared" ref="I17:I23" si="0">(G17*D17)*F17+H17*F17</f>
        <v>682.01249999999993</v>
      </c>
      <c r="J17" s="272">
        <f t="shared" ref="J17:L24" si="1">$I17*S17</f>
        <v>54.560999999999993</v>
      </c>
      <c r="K17" s="128">
        <f>$I17*T17</f>
        <v>23.870437500000001</v>
      </c>
      <c r="L17" s="119">
        <f>$I17*U17</f>
        <v>0</v>
      </c>
      <c r="M17" s="230">
        <f t="shared" ref="M17:M24" si="2">I17-SUM(J17:L17)</f>
        <v>603.58106249999992</v>
      </c>
      <c r="N17" s="277">
        <f t="shared" ref="N17:N24" si="3">+(G17*D17+H17)*V17</f>
        <v>128.89830508474572</v>
      </c>
      <c r="O17" s="239">
        <f t="shared" ref="O17:O24" si="4">(N17+M17)*$O$15</f>
        <v>3.6623968379237284</v>
      </c>
      <c r="P17" s="119">
        <f t="shared" ref="P17:P24" si="5">M17+N17+O17</f>
        <v>736.14176442266944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14</v>
      </c>
      <c r="I18" s="236">
        <f t="shared" si="0"/>
        <v>734.47500000000002</v>
      </c>
      <c r="J18" s="272">
        <f t="shared" si="1"/>
        <v>58.758000000000003</v>
      </c>
      <c r="K18" s="128">
        <f t="shared" si="1"/>
        <v>25.706625000000003</v>
      </c>
      <c r="L18" s="119">
        <f t="shared" si="1"/>
        <v>0</v>
      </c>
      <c r="M18" s="230">
        <f t="shared" si="2"/>
        <v>650.01037500000007</v>
      </c>
      <c r="N18" s="277">
        <f t="shared" si="3"/>
        <v>138.81355932203383</v>
      </c>
      <c r="O18" s="239">
        <f t="shared" si="4"/>
        <v>3.9441196716101694</v>
      </c>
      <c r="P18" s="119">
        <f t="shared" si="5"/>
        <v>792.76805399364412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52</v>
      </c>
      <c r="I25" s="114">
        <f t="shared" si="7"/>
        <v>2970.1800000000003</v>
      </c>
      <c r="J25" s="274">
        <f>SUM(J16:J24)</f>
        <v>237.61439999999999</v>
      </c>
      <c r="K25" s="275">
        <f t="shared" si="7"/>
        <v>103.95630000000001</v>
      </c>
      <c r="L25" s="276">
        <f t="shared" si="7"/>
        <v>0</v>
      </c>
      <c r="M25" s="232">
        <f t="shared" si="7"/>
        <v>2628.6093000000001</v>
      </c>
      <c r="N25" s="233">
        <f>SUM(N16:N24)</f>
        <v>561.35593220338967</v>
      </c>
      <c r="O25" s="101">
        <f>SUM(O16:O24)</f>
        <v>15.949826161016951</v>
      </c>
      <c r="P25" s="234">
        <f>SUM(P16:P24)</f>
        <v>3205.9150583644064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2970.1800000000003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237.61439999999999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103.95630000000001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2628.6093000000005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561.35593220338967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3189.9652322033903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15.949826161016952</v>
      </c>
    </row>
    <row r="35" spans="2:16" ht="15.75" customHeight="1" thickBot="1" x14ac:dyDescent="0.4">
      <c r="N35" s="374" t="s">
        <v>88</v>
      </c>
      <c r="O35" s="375"/>
      <c r="P35" s="297">
        <f>+P33+P34</f>
        <v>3205.9150583644073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46314</v>
      </c>
      <c r="O5" s="394"/>
      <c r="P5" s="394"/>
      <c r="R5" s="85"/>
      <c r="S5" s="266"/>
    </row>
    <row r="6" spans="1:22 16383:16384" ht="15" customHeight="1" x14ac:dyDescent="0.4">
      <c r="A6" s="400" t="s">
        <v>526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527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13</v>
      </c>
      <c r="I19" s="236">
        <f t="shared" si="0"/>
        <v>944.32</v>
      </c>
      <c r="J19" s="272">
        <f t="shared" si="1"/>
        <v>75.545600000000007</v>
      </c>
      <c r="K19" s="128">
        <f t="shared" si="1"/>
        <v>33.051200000000001</v>
      </c>
      <c r="L19" s="119">
        <f t="shared" si="1"/>
        <v>0</v>
      </c>
      <c r="M19" s="230">
        <f t="shared" si="2"/>
        <v>835.72320000000002</v>
      </c>
      <c r="N19" s="277">
        <f t="shared" si="3"/>
        <v>178.47457627118644</v>
      </c>
      <c r="O19" s="239">
        <f t="shared" si="4"/>
        <v>5.070988881355933</v>
      </c>
      <c r="P19" s="119">
        <f t="shared" si="5"/>
        <v>1019.2687651525424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13</v>
      </c>
      <c r="I20" s="236">
        <f t="shared" si="0"/>
        <v>944.32</v>
      </c>
      <c r="J20" s="272">
        <f t="shared" si="1"/>
        <v>75.545600000000007</v>
      </c>
      <c r="K20" s="128">
        <f t="shared" si="1"/>
        <v>33.051200000000001</v>
      </c>
      <c r="L20" s="119">
        <f t="shared" si="1"/>
        <v>0</v>
      </c>
      <c r="M20" s="230">
        <f t="shared" si="2"/>
        <v>835.72320000000002</v>
      </c>
      <c r="N20" s="277">
        <f t="shared" si="3"/>
        <v>178.47457627118644</v>
      </c>
      <c r="O20" s="239">
        <f t="shared" si="4"/>
        <v>5.070988881355933</v>
      </c>
      <c r="P20" s="119">
        <f t="shared" si="5"/>
        <v>1019.2687651525424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14</v>
      </c>
      <c r="I21" s="236">
        <f t="shared" si="0"/>
        <v>1016.96</v>
      </c>
      <c r="J21" s="272">
        <f t="shared" si="1"/>
        <v>81.356800000000007</v>
      </c>
      <c r="K21" s="128">
        <f t="shared" si="1"/>
        <v>35.593600000000002</v>
      </c>
      <c r="L21" s="119">
        <f t="shared" si="1"/>
        <v>0</v>
      </c>
      <c r="M21" s="230">
        <f t="shared" si="2"/>
        <v>900.00960000000009</v>
      </c>
      <c r="N21" s="277">
        <f t="shared" si="3"/>
        <v>192.20338983050848</v>
      </c>
      <c r="O21" s="239">
        <f t="shared" si="4"/>
        <v>5.4610649491525427</v>
      </c>
      <c r="P21" s="119">
        <f t="shared" si="5"/>
        <v>1097.6740547796612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2905.6000000000004</v>
      </c>
      <c r="J25" s="274">
        <f>SUM(J16:J24)</f>
        <v>232.44800000000004</v>
      </c>
      <c r="K25" s="275">
        <f t="shared" si="7"/>
        <v>101.696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15.603042711864409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3136.2115850847463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46314</v>
      </c>
      <c r="O5" s="394"/>
      <c r="P5" s="394"/>
      <c r="R5" s="85"/>
      <c r="S5" s="266"/>
    </row>
    <row r="6" spans="1:22 16383:16384" ht="15" customHeight="1" x14ac:dyDescent="0.4">
      <c r="A6" s="400" t="s">
        <v>528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529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46314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46316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46315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2026-10-20T05:02:37Z</dcterms:modified>
</cp:coreProperties>
</file>