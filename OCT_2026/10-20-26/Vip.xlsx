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7F273AB-1635-4A54-A84C-CF0140057D6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<sst xmlns="http://schemas.openxmlformats.org/spreadsheetml/2006/main" count="3949" uniqueCount="518">
  <si>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</si>
  <si>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</si>
  <si>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</si>
  <si>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</si>
  <si>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</si>
  <si>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</si>
  <si>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</si>
  <si>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</si>
  <si>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</si>
  <si>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</si>
  <si>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</si>
  <si>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</si>
  <si>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</si>
  <si>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</si>
  <si>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</si>
  <si>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</si>
  <si>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</si>
  <si>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</si>
  <si>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</si>
  <si>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</si>
  <si>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</si>
  <si>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</si>
  <si>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</si>
  <si>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</si>
  <si>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</si>
  <si>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</si>
  <si>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</si>
  <si>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</si>
  <si>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</si>
  <si>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</si>
  <si>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</si>
  <si>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</si>
  <si>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</si>
  <si>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</si>
  <si>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</si>
  <si>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</si>
  <si>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</si>
  <si>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</si>
  <si>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</si>
  <si>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</si>
  <si>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</si>
  <si>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</si>
  <si>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</si>
  <si>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</si>
  <si>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</si>
  <si>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</si>
  <si>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</si>
  <si>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</si>
  <si>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</si>
  <si>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</si>
  <si>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</si>
  <si>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</si>
  <si>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</si>
  <si>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</si>
  <si>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</si>
  <si>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</si>
  <si>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</si>
  <si>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</si>
  <si>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</si>
  <si>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</si>
  <si>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</si>
  <si>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</si>
  <si>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</si>
  <si>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</si>
  <si>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</si>
  <si>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</si>
  <si>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</si>
  <si>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</si>
  <si>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</si>
  <si>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</si>
  <si>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</si>
  <si>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</si>
  <si>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</si>
  <si>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</si>
  <si>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</si>
  <si>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</si>
  <si>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</si>
  <si>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</si>
  <si>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</si>
  <si>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</si>
  <si>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</si>
  <si>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</si>
  <si>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</si>
  <si>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</si>
  <si>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</si>
  <si>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</si>
  <si>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</si>
  <si>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</si>
  <si>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</si>
  <si>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</si>
  <si>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</si>
  <si>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</si>
  <si>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</si>
  <si>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</si>
  <si>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</si>
  <si>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</si>
  <si>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</si>
  <si>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</si>
  <si>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</si>
  <si>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</si>
  <si>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</si>
  <si>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</si>
  <si>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</si>
  <si>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</si>
  <si>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</si>
  <si>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</si>
  <si>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</si>
  <si>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</si>
  <si>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</si>
  <si>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</si>
  <si>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</si>
  <si>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</si>
  <si>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</si>
  <si>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</si>
  <si>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</si>
  <si>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</si>
  <si>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</si>
  <si>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</si>
  <si>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</si>
  <si>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</si>
  <si>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</si>
  <si>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</si>
  <si>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</si>
  <si>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</si>
  <si>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</si>
  <si>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</si>
  <si>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</si>
  <si>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</si>
  <si>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</si>
  <si>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</si>
  <si>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</si>
  <si>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</si>
  <si>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</si>
  <si>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</si>
  <si>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</si>
  <si>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</si>
  <si>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</si>
  <si>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</si>
  <si>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</si>
  <si>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</si>
  <si>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</si>
  <si>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</si>
  <si>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</si>
  <si>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</si>
  <si>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</si>
  <si>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</si>
  <si>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</si>
  <si>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</si>
  <si>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</si>
  <si>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</si>
  <si>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</si>
  <si>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</si>
  <si>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</si>
  <si>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</si>
  <si>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</si>
  <si>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</si>
  <si>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</si>
  <si>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</si>
  <si>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</si>
  <si>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</si>
  <si>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</si>
  <si>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</si>
  <si>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</si>
  <si>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</si>
  <si>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</si>
  <si>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</si>
  <si>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</si>
  <si>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</si>
  <si>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</si>
  <si>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</si>
  <si>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</si>
  <si>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</si>
  <si>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</si>
  <si>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</si>
  <si>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</si>
  <si>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</si>
  <si>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</si>
  <si>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</si>
  <si>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</si>
  <si>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</si>
  <si>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</si>
  <si>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</si>
  <si>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</si>
  <si>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</si>
  <si>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</si>
  <si>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</si>
  <si>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</si>
  <si>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</si>
  <si>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</si>
  <si>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</si>
  <si>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</si>
  <si>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</si>
  <si>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</si>
  <si>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</si>
  <si>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</si>
  <si>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</si>
  <si>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</si>
  <si>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</si>
  <si>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</si>
  <si>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</si>
  <si>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</si>
  <si>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</si>
  <si>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</si>
  <si>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</si>
  <si>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</si>
  <si>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</si>
  <si>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</si>
  <si>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</si>
  <si>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</si>
  <si>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</si>
  <si>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</si>
  <si>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</si>
  <si>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</si>
  <si>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</si>
  <si>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</si>
  <si>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</si>
  <si>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</si>
  <si>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</si>
  <si>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</si>
  <si>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</si>
  <si>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</si>
  <si>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</si>
  <si>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</si>
  <si>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</si>
  <si>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</si>
  <si>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</si>
  <si>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</si>
  <si>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</si>
  <si>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</si>
  <si>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</si>
  <si>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</si>
  <si>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</si>
  <si>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</si>
  <si>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</si>
  <si>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</si>
  <si>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</si>
  <si>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</si>
  <si>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</si>
  <si>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</si>
  <si>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</si>
  <si>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</si>
  <si>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</si>
  <si>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</si>
  <si>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</si>
  <si>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</si>
  <si>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</si>
  <si>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</si>
  <si>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</si>
  <si>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</si>
  <si>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</si>
  <si>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</si>
  <si>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</si>
  <si>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</si>
  <si>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</si>
  <si>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</si>
  <si>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</si>
  <si>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</si>
  <si>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</si>
  <si>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</si>
  <si>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</si>
  <si>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</si>
  <si>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</si>
  <si>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</si>
  <si>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</si>
  <si>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</si>
  <si>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</si>
  <si>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</si>
  <si>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</si>
  <si>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</si>
  <si>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</si>
  <si>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</si>
  <si>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</si>
  <si>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</si>
  <si>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</si>
  <si>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</si>
  <si>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</si>
  <si>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</si>
  <si>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</si>
  <si>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</si>
  <si>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</si>
  <si>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</si>
  <si>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</si>
  <si>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</si>
  <si>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</si>
  <si>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</si>
  <si>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</si>
  <si>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</si>
  <si>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</si>
  <si>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</si>
  <si>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</si>
  <si>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</si>
  <si>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</si>
  <si>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</si>
  <si>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</si>
  <si>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</si>
  <si>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</si>
  <si>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</si>
  <si>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</si>
  <si>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</si>
  <si>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</si>
  <si>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</si>
  <si>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</si>
  <si>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</si>
  <si>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</si>
  <si>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</si>
  <si>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</si>
  <si>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</si>
  <si>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</si>
  <si>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</si>
  <si>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</si>
  <si>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</si>
  <si>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</si>
  <si>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</si>
  <si>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</si>
  <si>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</si>
  <si>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</si>
  <si>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</si>
  <si>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</si>
  <si>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</si>
  <si>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</si>
  <si>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</si>
  <si>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</si>
  <si>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</si>
  <si>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</si>
  <si>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</si>
  <si>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</si>
  <si>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</si>
  <si>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</si>
  <si>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</si>
  <si>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</si>
  <si>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</si>
  <si>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</si>
  <si>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</si>
  <si>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</si>
  <si>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</si>
  <si>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</si>
  <si>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</si>
  <si>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</si>
  <si>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</si>
  <si>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</si>
  <si>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</si>
  <si>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</si>
  <si>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</si>
  <si>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</si>
  <si>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</si>
  <si>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</si>
  <si>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</si>
  <si>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</si>
  <si>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</si>
  <si>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</si>
  <si>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</si>
  <si>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</si>
  <si>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</si>
  <si>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</si>
  <si>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</si>
  <si>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</si>
  <si>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</si>
  <si>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</si>
  <si>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</si>
  <si>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</si>
  <si>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</si>
  <si>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</si>
  <si>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</si>
  <si>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</si>
  <si>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</si>
  <si>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</si>
  <si>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</si>
  <si>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</si>
  <si>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</si>
  <si>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</si>
  <si>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</si>
  <si>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</si>
  <si>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</si>
  <si>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</si>
  <si>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</si>
  <si>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</si>
  <si>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</si>
  <si>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</si>
  <si>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</si>
  <si>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</si>
  <si>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</si>
  <si>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</si>
  <si>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</si>
  <si>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</si>
  <si>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</si>
  <si>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</si>
  <si>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</si>
  <si>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</si>
  <si>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</si>
  <si>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</si>
  <si>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</si>
  <si>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</si>
  <si>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</si>
  <si>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</si>
  <si>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</si>
  <si>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</si>
  <si>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</si>
  <si>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</si>
  <si>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</si>
  <si>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</si>
  <si>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</si>
  <si>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</si>
  <si>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</si>
  <si>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</si>
  <si>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</si>
  <si>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</si>
  <si>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</si>
  <si>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</si>
  <si>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</si>
  <si>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</si>
  <si>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</si>
  <si>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</si>
  <si>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</si>
  <si>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</si>
  <si>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</si>
  <si>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</si>
  <si>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</si>
  <si>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</si>
  <si>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</si>
  <si>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</si>
  <si>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</si>
  <si>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</si>
  <si>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</si>
  <si>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</si>
  <si>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</si>
  <si>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</si>
  <si>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</si>
  <si>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</si>
  <si>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</si>
  <si>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</si>
  <si>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</si>
  <si>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</si>
  <si>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</si>
  <si>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</si>
  <si>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</si>
  <si>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</si>
  <si>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</si>
  <si>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</si>
  <si>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</si>
  <si>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</si>
  <si>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</si>
  <si>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</si>
  <si>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</si>
  <si>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</si>
  <si>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</si>
  <si>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</si>
  <si>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</si>
  <si>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</si>
  <si>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</si>
  <si>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</si>
  <si>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</si>
  <si>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</si>
  <si>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</si>
  <si>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</si>
  <si>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</si>
  <si>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</si>
  <si>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</si>
  <si>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</si>
  <si>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</si>
  <si>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</si>
  <si>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</si>
  <si>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</si>
  <si>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</si>
  <si>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</si>
  <si>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</si>
  <si>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</si>
  <si>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</si>
  <si>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</si>
  <si>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</si>
  <si>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</si>
  <si>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</si>
  <si>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</si>
  <si>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</si>
  <si>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</si>
  <si>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</si>
  <si>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</si>
  <si>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</si>
  <si>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</si>
  <si>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</si>
  <si>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</si>
  <si>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</si>
  <si>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</si>
  <si>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</si>
  <si>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</si>
  <si>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</si>
  <si>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</si>
  <si>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</si>
  <si>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</si>
  <si>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</si>
  <si>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</si>
  <si>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</si>
  <si>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</si>
  <si>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</si>
  <si>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</si>
  <si>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</si>
  <si>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</si>
  <si>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</si>
  <si>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</si>
  <si>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</si>
  <si>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</si>
  <si>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</si>
  <si>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</si>
  <si>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</si>
  <si>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</si>
  <si>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</si>
  <si>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</si>
  <si>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</si>
  <si>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</si>
  <si>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</si>
  <si>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</si>
  <si>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</si>
  <si>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</si>
  <si>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7974614-2</t>
  </si>
  <si>
    <t>VIP</t>
  </si>
  <si>
    <t>Address: Sadar Bazar</t>
  </si>
  <si>
    <t xml:space="preserve"> </t>
  </si>
  <si>
    <t>Invoice No # :4315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</si>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</sst>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513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46315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VIP</v>
      </c>
      <c r="T3" s="301">
        <f>+'1'!P35</f>
        <v>45291.096976271183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VIP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VIP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VIP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VIP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VIP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VIP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VIP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1046.0159999999998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7365.6959999999999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45.065768135593224</v>
      </c>
      <c r="P11" s="311">
        <f t="shared" si="2"/>
        <v>9058.2193952542384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VIP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3486.72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24552.32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150.21922711864406</v>
      </c>
      <c r="P12" s="311">
        <f t="shared" si="2"/>
        <v>30194.064650847457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VIP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VIP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VIP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VIP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15</v>
      </c>
      <c r="H16" s="113">
        <f t="shared" ref="H16:M16" si="3">SUM(H7:H15)</f>
        <v>600</v>
      </c>
      <c r="I16" s="114">
        <f t="shared" si="3"/>
        <v>43584</v>
      </c>
      <c r="J16" s="274">
        <f>SUM(J7:J15)</f>
        <v>5230.08</v>
      </c>
      <c r="K16" s="275">
        <f t="shared" si="3"/>
        <v>1525.44</v>
      </c>
      <c r="L16" s="276">
        <f t="shared" si="3"/>
        <v>0</v>
      </c>
      <c r="M16" s="232">
        <f t="shared" si="3"/>
        <v>36828.479999999996</v>
      </c>
      <c r="N16" s="233">
        <f>SUM(N7:N15)</f>
        <v>8237.2881355932204</v>
      </c>
      <c r="O16" s="101">
        <f>SUM(O7:O15)</f>
        <v>225.3288406779661</v>
      </c>
      <c r="P16" s="113">
        <f>SUM(P7:P15)</f>
        <v>45291.09697627119</v>
      </c>
      <c r="Q16" s="128">
        <f>SUM(Q7:Q15)</f>
        <v>0</v>
      </c>
      <c r="R16" s="314">
        <v>14</v>
      </c>
      <c r="S16" s="300" t="str">
        <f>+'14'!A6:A6</f>
        <v>VIP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VIP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VIP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43584</v>
      </c>
      <c r="R19" s="299">
        <v>17</v>
      </c>
      <c r="S19" s="300" t="str">
        <f>+'17'!A6:A6</f>
        <v>VIP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5230.08</v>
      </c>
      <c r="R20" s="299">
        <v>18</v>
      </c>
      <c r="S20" s="300" t="str">
        <f>+'18'!A6:A6</f>
        <v>VIP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1525.44</v>
      </c>
      <c r="R21" s="299">
        <v>19</v>
      </c>
      <c r="S21" s="300" t="str">
        <f>+'19'!A6:A6</f>
        <v>VIP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36828.479999999996</v>
      </c>
      <c r="R22" s="299">
        <v>20</v>
      </c>
      <c r="S22" s="300" t="str">
        <f>+'20'!A6:A6</f>
        <v>VIP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8237.2881355932204</v>
      </c>
      <c r="R23" s="299">
        <v>21</v>
      </c>
      <c r="S23" s="300" t="str">
        <f>+'21'!A6:A6</f>
        <v>VIP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45065.768135593215</v>
      </c>
      <c r="R24" s="299">
        <v>22</v>
      </c>
      <c r="S24" s="300" t="str">
        <f>+'22'!A6:A6</f>
        <v>VIP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225.3288406779661</v>
      </c>
      <c r="R25" s="299">
        <v>23</v>
      </c>
      <c r="S25" s="300" t="str">
        <f>+'23'!A6:A6</f>
        <v>VIP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45291.096976271183</v>
      </c>
      <c r="R26" s="299">
        <v>24</v>
      </c>
      <c r="S26" s="300" t="str">
        <f>+'24'!A6:A6</f>
        <v>VIP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VIP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VIP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VIP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VIP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VIP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VIP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45291.096976271183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46315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46314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517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R13" t="s">
        <v>515</v>
      </c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1046.0159999999998</v>
      </c>
      <c r="K20" s="128">
        <f t="shared" si="1"/>
        <v>305.08800000000002</v>
      </c>
      <c r="L20" s="119">
        <f t="shared" si="1"/>
        <v>0</v>
      </c>
      <c r="M20" s="230">
        <f t="shared" si="2"/>
        <v>7365.6959999999999</v>
      </c>
      <c r="N20" s="277">
        <f t="shared" si="3"/>
        <v>1647.4576271186443</v>
      </c>
      <c r="O20" s="239">
        <f t="shared" si="4"/>
        <v>45.065768135593224</v>
      </c>
      <c r="P20" s="311">
        <f t="shared" si="5"/>
        <v>9058.2193952542384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3486.72</v>
      </c>
      <c r="K21" s="128">
        <f t="shared" si="1"/>
        <v>1016.9600000000002</v>
      </c>
      <c r="L21" s="119">
        <f t="shared" si="1"/>
        <v>0</v>
      </c>
      <c r="M21" s="230">
        <f t="shared" si="2"/>
        <v>24552.32</v>
      </c>
      <c r="N21" s="277">
        <f t="shared" si="3"/>
        <v>5491.5254237288136</v>
      </c>
      <c r="O21" s="239">
        <f t="shared" si="4"/>
        <v>150.21922711864406</v>
      </c>
      <c r="P21" s="311">
        <f t="shared" si="5"/>
        <v>30194.064650847457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43584</v>
      </c>
      <c r="J25" s="274">
        <f>SUM(J16:J24)</f>
        <v>5230.08</v>
      </c>
      <c r="K25" s="275">
        <f t="shared" si="10"/>
        <v>1525.44</v>
      </c>
      <c r="L25" s="276">
        <f t="shared" si="10"/>
        <v>0</v>
      </c>
      <c r="M25" s="232">
        <f t="shared" si="10"/>
        <v>36828.479999999996</v>
      </c>
      <c r="N25" s="233">
        <f>SUM(N16:N24)</f>
        <v>8237.2881355932204</v>
      </c>
      <c r="O25" s="101">
        <f>SUM(O16:O24)</f>
        <v>225.3288406779661</v>
      </c>
      <c r="P25" s="113">
        <f>SUM(P16:P24)</f>
        <v>45291.09697627119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43584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5230.08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1525.44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36828.479999999996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8237.2881355932204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45065.768135593215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225.32884067796607</v>
      </c>
    </row>
    <row r="35" spans="2:16" ht="15.75" customHeight="1" thickBot="1" x14ac:dyDescent="0.4">
      <c r="N35" s="343" t="s">
        <v>88</v>
      </c>
      <c r="O35" s="344"/>
      <c r="P35" s="297">
        <f>+P33+P34</f>
        <v>45291.096976271183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46315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2026-10-20T05:07:45Z</dcterms:modified>
</cp:coreProperties>
</file>