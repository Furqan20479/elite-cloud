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A418A4A-33B4-435E-861E-5FEF3C1CB37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<sst xmlns="http://schemas.openxmlformats.org/spreadsheetml/2006/main" count="3948" uniqueCount="530">
  <si>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</si>
  <si>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</si>
  <si>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</si>
  <si>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</si>
  <si>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</si>
  <si>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</si>
  <si>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</si>
  <si>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</si>
  <si>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</si>
  <si>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</si>
  <si>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</si>
  <si>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</si>
  <si>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</si>
  <si>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</si>
  <si>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</si>
  <si>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</si>
  <si>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</si>
  <si>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</si>
  <si>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</si>
  <si>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</si>
  <si>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</si>
  <si>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</si>
  <si>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</si>
  <si>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</si>
  <si>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</si>
  <si>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</si>
  <si>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</si>
  <si>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</si>
  <si>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</si>
  <si>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</si>
  <si>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</si>
  <si>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</si>
  <si>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</si>
  <si>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</si>
  <si>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</si>
  <si>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</si>
  <si>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</si>
  <si>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</si>
  <si>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</si>
  <si>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</si>
  <si>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</si>
  <si>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</si>
  <si>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</si>
  <si>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</si>
  <si>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</si>
  <si>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</si>
  <si>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</si>
  <si>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</si>
  <si>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</si>
  <si>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</si>
  <si>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</si>
  <si>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</si>
  <si>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</si>
  <si>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</si>
  <si>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</si>
  <si>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</si>
  <si>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</si>
  <si>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</si>
  <si>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</si>
  <si>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</si>
  <si>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</si>
  <si>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</si>
  <si>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</si>
  <si>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</si>
  <si>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</si>
  <si>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</si>
  <si>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</si>
  <si>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</si>
  <si>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</si>
  <si>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</si>
  <si>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</si>
  <si>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</si>
  <si>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</si>
  <si>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</si>
  <si>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</si>
  <si>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</si>
  <si>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</si>
  <si>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</si>
  <si>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</si>
  <si>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</si>
  <si>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</si>
  <si>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</si>
  <si>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</si>
  <si>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</si>
  <si>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</si>
  <si>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</si>
  <si>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</si>
  <si>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</si>
  <si>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</si>
  <si>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</si>
  <si>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</si>
  <si>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</si>
  <si>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</si>
  <si>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</si>
  <si>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</si>
  <si>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</si>
  <si>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</si>
  <si>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</si>
  <si>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</si>
  <si>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</si>
  <si>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</si>
  <si>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</si>
  <si>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</si>
  <si>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</si>
  <si>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</si>
  <si>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</si>
  <si>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</si>
  <si>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</si>
  <si>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</si>
  <si>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</si>
  <si>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</si>
  <si>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</si>
  <si>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</si>
  <si>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</si>
  <si>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</si>
  <si>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</si>
  <si>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</si>
  <si>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</si>
  <si>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</si>
  <si>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</si>
  <si>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</si>
  <si>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</si>
  <si>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</si>
  <si>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</si>
  <si>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</si>
  <si>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</si>
  <si>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</si>
  <si>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</si>
  <si>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</si>
  <si>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</si>
  <si>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</si>
  <si>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</si>
  <si>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</si>
  <si>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</si>
  <si>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</si>
  <si>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</si>
  <si>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</si>
  <si>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</si>
  <si>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</si>
  <si>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</si>
  <si>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</si>
  <si>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</si>
  <si>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</si>
  <si>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</si>
  <si>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</si>
  <si>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</si>
  <si>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</si>
  <si>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</si>
  <si>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</si>
  <si>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</si>
  <si>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</si>
  <si>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</si>
  <si>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</si>
  <si>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</si>
  <si>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</si>
  <si>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</si>
  <si>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</si>
  <si>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</si>
  <si>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</si>
  <si>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</si>
  <si>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</si>
  <si>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</si>
  <si>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</si>
  <si>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</si>
  <si>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</si>
  <si>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</si>
  <si>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</si>
  <si>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</si>
  <si>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</si>
  <si>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</si>
  <si>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</si>
  <si>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</si>
  <si>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</si>
  <si>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</si>
  <si>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</si>
  <si>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</si>
  <si>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</si>
  <si>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</si>
  <si>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</si>
  <si>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</si>
  <si>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</si>
  <si>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</si>
  <si>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</si>
  <si>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</si>
  <si>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</si>
  <si>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</si>
  <si>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</si>
  <si>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</si>
  <si>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</si>
  <si>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</si>
  <si>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</si>
  <si>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</si>
  <si>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</si>
  <si>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</si>
  <si>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</si>
  <si>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</si>
  <si>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</si>
  <si>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</si>
  <si>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</si>
  <si>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</si>
  <si>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</si>
  <si>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</si>
  <si>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</si>
  <si>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</si>
  <si>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</si>
  <si>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</si>
  <si>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</si>
  <si>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</si>
  <si>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</si>
  <si>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</si>
  <si>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</si>
  <si>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</si>
  <si>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</si>
  <si>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</si>
  <si>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</si>
  <si>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</si>
  <si>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</si>
  <si>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</si>
  <si>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</si>
  <si>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</si>
  <si>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</si>
  <si>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</si>
  <si>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</si>
  <si>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</si>
  <si>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</si>
  <si>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</si>
  <si>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</si>
  <si>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</si>
  <si>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</si>
  <si>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</si>
  <si>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</si>
  <si>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</si>
  <si>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</si>
  <si>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</si>
  <si>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</si>
  <si>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</si>
  <si>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</si>
  <si>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</si>
  <si>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</si>
  <si>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</si>
  <si>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</si>
  <si>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</si>
  <si>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</si>
  <si>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</si>
  <si>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</si>
  <si>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</si>
  <si>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</si>
  <si>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</si>
  <si>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</si>
  <si>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</si>
  <si>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</si>
  <si>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</si>
  <si>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</si>
  <si>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</si>
  <si>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</si>
  <si>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</si>
  <si>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</si>
  <si>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</si>
  <si>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</si>
  <si>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</si>
  <si>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</si>
  <si>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</si>
  <si>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</si>
  <si>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</si>
  <si>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</si>
  <si>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</si>
  <si>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</si>
  <si>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</si>
  <si>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</si>
  <si>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</si>
  <si>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</si>
  <si>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</si>
  <si>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</si>
  <si>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</si>
  <si>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</si>
  <si>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</si>
  <si>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</si>
  <si>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</si>
  <si>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</si>
  <si>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</si>
  <si>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</si>
  <si>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</si>
  <si>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</si>
  <si>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</si>
  <si>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</si>
  <si>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</si>
  <si>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</si>
  <si>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</si>
  <si>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</si>
  <si>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</si>
  <si>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</si>
  <si>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</si>
  <si>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</si>
  <si>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</si>
  <si>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</si>
  <si>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</si>
  <si>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</si>
  <si>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</si>
  <si>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</si>
  <si>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</si>
  <si>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</si>
  <si>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</si>
  <si>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</si>
  <si>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</si>
  <si>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</si>
  <si>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</si>
  <si>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</si>
  <si>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</si>
  <si>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</si>
  <si>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</si>
  <si>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</si>
  <si>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</si>
  <si>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</si>
  <si>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</si>
  <si>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</si>
  <si>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</si>
  <si>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</si>
  <si>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</si>
  <si>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</si>
  <si>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</si>
  <si>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</si>
  <si>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</si>
  <si>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</si>
  <si>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</si>
  <si>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</si>
  <si>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</si>
  <si>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</si>
  <si>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</si>
  <si>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</si>
  <si>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</si>
  <si>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</si>
  <si>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</si>
  <si>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</si>
  <si>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</si>
  <si>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</si>
  <si>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</si>
  <si>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</si>
  <si>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</si>
  <si>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</si>
  <si>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</si>
  <si>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</si>
  <si>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</si>
  <si>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</si>
  <si>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</si>
  <si>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</si>
  <si>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</si>
  <si>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</si>
  <si>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</si>
  <si>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</si>
  <si>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</si>
  <si>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</si>
  <si>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</si>
  <si>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</si>
  <si>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</si>
  <si>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</si>
  <si>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</si>
  <si>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</si>
  <si>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</si>
  <si>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</si>
  <si>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</si>
  <si>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</si>
  <si>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</si>
  <si>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</si>
  <si>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</si>
  <si>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</si>
  <si>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</si>
  <si>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</si>
  <si>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</si>
  <si>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</si>
  <si>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</si>
  <si>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</si>
  <si>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</si>
  <si>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</si>
  <si>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</si>
  <si>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</si>
  <si>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</si>
  <si>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</si>
  <si>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</si>
  <si>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</si>
  <si>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</si>
  <si>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</si>
  <si>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</si>
  <si>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</si>
  <si>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</si>
  <si>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</si>
  <si>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</si>
  <si>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</si>
  <si>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</si>
  <si>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</si>
  <si>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</si>
  <si>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</si>
  <si>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</si>
  <si>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</si>
  <si>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</si>
  <si>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</si>
  <si>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</si>
  <si>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</si>
  <si>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</si>
  <si>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</si>
  <si>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</si>
  <si>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</si>
  <si>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</si>
  <si>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</si>
  <si>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</si>
  <si>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</si>
  <si>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</si>
  <si>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</si>
  <si>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</si>
  <si>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</si>
  <si>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</si>
  <si>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</si>
  <si>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</si>
  <si>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</si>
  <si>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</si>
  <si>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</si>
  <si>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</si>
  <si>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</si>
  <si>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</si>
  <si>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</si>
  <si>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</si>
  <si>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</si>
  <si>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</si>
  <si>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</si>
  <si>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</si>
  <si>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</si>
  <si>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</si>
  <si>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</si>
  <si>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</si>
  <si>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</si>
  <si>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</si>
  <si>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</si>
  <si>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</si>
  <si>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</si>
  <si>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</si>
  <si>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</si>
  <si>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</si>
  <si>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</si>
  <si>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</si>
  <si>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</si>
  <si>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</si>
  <si>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</si>
  <si>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</si>
  <si>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</si>
  <si>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</si>
  <si>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</si>
  <si>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</si>
  <si>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</si>
  <si>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</si>
  <si>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</si>
  <si>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</si>
  <si>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</si>
  <si>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</si>
  <si>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</si>
  <si>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</si>
  <si>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</si>
  <si>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</si>
  <si>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</si>
  <si>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</si>
  <si>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</si>
  <si>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</si>
  <si>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</si>
  <si>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</si>
  <si>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</si>
  <si>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</si>
  <si>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</si>
  <si>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</si>
  <si>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</si>
  <si>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</si>
  <si>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</si>
  <si>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</si>
  <si>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</si>
  <si>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</si>
  <si>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</si>
  <si>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</si>
  <si>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</si>
  <si>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</si>
  <si>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</si>
  <si>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</si>
  <si>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</si>
  <si>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</si>
  <si>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</si>
  <si>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</si>
  <si>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</si>
  <si>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</si>
  <si>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</si>
  <si>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</si>
  <si>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</si>
  <si>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</si>
  <si>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</si>
  <si>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</si>
  <si>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</si>
  <si>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</si>
  <si>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</si>
  <si>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</si>
  <si>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</si>
  <si>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</si>
  <si>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</si>
  <si>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</si>
  <si>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</si>
  <si>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</si>
  <si>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</si>
  <si>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</si>
  <si>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</si>
  <si>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</si>
  <si>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</si>
  <si>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</si>
  <si>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</si>
  <si>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</si>
  <si>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</si>
  <si>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</si>
  <si>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</si>
  <si>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</si>
  <si>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</si>
  <si>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</si>
  <si>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</si>
  <si>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SMS Store</t>
  </si>
  <si>
    <t xml:space="preserve">Address: Sajid Garden </t>
  </si>
  <si>
    <t xml:space="preserve">Smokies Mart </t>
  </si>
  <si>
    <t xml:space="preserve">Address: Hafez Garden </t>
  </si>
  <si>
    <t xml:space="preserve">Lohari Mart </t>
  </si>
  <si>
    <t>Address: canal Fort</t>
  </si>
  <si>
    <t xml:space="preserve">Discount Mart </t>
  </si>
  <si>
    <t>Address: Canal Fort</t>
  </si>
  <si>
    <t xml:space="preserve">Dulce Bakers </t>
  </si>
  <si>
    <t xml:space="preserve">Address: Canal Fort </t>
  </si>
  <si>
    <t xml:space="preserve">Ali Mart </t>
  </si>
  <si>
    <t>786 Store</t>
  </si>
  <si>
    <t xml:space="preserve">Address: Al Rehman Garden </t>
  </si>
  <si>
    <t>Hamza Store</t>
  </si>
  <si>
    <t xml:space="preserve">Address: Nazeer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</si>
</sst>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6" priority="7" stopIfTrue="1" operator="lessThan">
      <formula>1</formula>
    </cfRule>
  </conditionalFormatting>
  <conditionalFormatting sqref="A6:D67">
    <cfRule type="cellIs" dxfId="5" priority="4" stopIfTrue="1" operator="lessThan">
      <formula>1</formula>
    </cfRule>
  </conditionalFormatting>
  <conditionalFormatting sqref="A68:D70">
    <cfRule type="cellIs" dxfId="4" priority="1" stopIfTrue="1" operator="lessThan">
      <formula>1</formula>
    </cfRule>
  </conditionalFormatting>
  <conditionalFormatting sqref="A159:D163">
    <cfRule type="cellIs" dxfId="3" priority="6" stopIfTrue="1" operator="lessThan">
      <formula>1</formula>
    </cfRule>
  </conditionalFormatting>
  <conditionalFormatting sqref="A170:D172">
    <cfRule type="cellIs" dxfId="2" priority="5" stopIfTrue="1" operator="lessThan">
      <formula>1</formula>
    </cfRule>
  </conditionalFormatting>
  <conditionalFormatting sqref="D1:D3 D71:D1048576 D6:D67">
    <cfRule type="duplicateValues" dxfId="1" priority="2"/>
  </conditionalFormatting>
  <conditionalFormatting sqref="D6:D66"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Q3" sqref="Q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SMS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Smokies Mart </v>
      </c>
      <c r="T4" s="301">
        <f>+'2'!P35</f>
        <v>1411.2952132881355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Lohari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Smokies Mart </v>
      </c>
      <c r="T6" s="301">
        <f>+'4'!P35</f>
        <v>1881.7269510508474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26</v>
      </c>
      <c r="I7" s="235">
        <f>(G7*D7)*F7+H7*F7</f>
        <v>1364.0249999999999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109.12199999999999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47.740875000000003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1207.1621249999998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257.79661016949143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7.3247936758474568</v>
      </c>
      <c r="P7" s="310">
        <f>M7+N7+O7</f>
        <v>1472.2835288453389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Discount Mart </v>
      </c>
      <c r="T7" s="301">
        <f>+'5'!P35</f>
        <v>3136.2115850847463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26</v>
      </c>
      <c r="I8" s="236">
        <f t="shared" ref="I8:I14" si="0">(G8*D8)*F8+H8*F8</f>
        <v>1364.0249999999999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109.12199999999999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47.740875000000003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1207.1621249999998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257.79661016949143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7.3247936758474568</v>
      </c>
      <c r="P8" s="311">
        <f t="shared" ref="P8:P15" si="2">M8+N8+O8</f>
        <v>1472.2835288453389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Dulce Bakers 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</v>
      </c>
      <c r="I9" s="236">
        <f t="shared" si="0"/>
        <v>1468.95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117.51600000000001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51.413250000000005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1300.0207500000001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277.62711864406765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7.8882393432203388</v>
      </c>
      <c r="P9" s="311">
        <f t="shared" si="2"/>
        <v>1585.5361079872882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Ali Mart </v>
      </c>
      <c r="T9" s="301">
        <f>+'7'!P35</f>
        <v>3205.9150583644073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425.67040000000009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4481.1616000000004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27.210892745762713</v>
      </c>
      <c r="P10" s="311">
        <f t="shared" si="2"/>
        <v>5469.3894418983054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13</v>
      </c>
      <c r="R10" s="313">
        <v>8</v>
      </c>
      <c r="S10" s="300" t="str">
        <f>+'8'!A6:A6</f>
        <v>786 Store</v>
      </c>
      <c r="T10" s="301">
        <f>+'8'!P35</f>
        <v>3077.8090250847463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38</v>
      </c>
      <c r="I11" s="236">
        <f t="shared" si="0"/>
        <v>2760.32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239.71200000000002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96.611200000000011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2423.9967999999999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521.69491525423723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14.728458576271187</v>
      </c>
      <c r="P11" s="311">
        <f t="shared" si="2"/>
        <v>2960.4201738305087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13</v>
      </c>
      <c r="R11" s="313">
        <v>9</v>
      </c>
      <c r="S11" s="300" t="str">
        <f>+'9'!A6:A6</f>
        <v>Hamza Store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106</v>
      </c>
      <c r="I12" s="236">
        <f t="shared" si="0"/>
        <v>7699.84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636.32640000000004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269.49440000000004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6794.0191999999997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1455.2542372881358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41.246367186440679</v>
      </c>
      <c r="P12" s="311">
        <f t="shared" si="2"/>
        <v>8290.5198044745757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14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7.35</v>
      </c>
      <c r="H16" s="113">
        <f t="shared" ref="H16:M16" si="3">SUM(H7:H15)</f>
        <v>294</v>
      </c>
      <c r="I16" s="114">
        <f t="shared" si="3"/>
        <v>19741.96</v>
      </c>
      <c r="J16" s="274">
        <f>SUM(J7:J15)</f>
        <v>1637.4688000000001</v>
      </c>
      <c r="K16" s="275">
        <f t="shared" si="3"/>
        <v>690.96860000000015</v>
      </c>
      <c r="L16" s="276">
        <f t="shared" si="3"/>
        <v>0</v>
      </c>
      <c r="M16" s="232">
        <f t="shared" si="3"/>
        <v>17413.5226</v>
      </c>
      <c r="N16" s="233">
        <f>SUM(N7:N15)</f>
        <v>3731.1864406779655</v>
      </c>
      <c r="O16" s="101">
        <f>SUM(O7:O15)</f>
        <v>105.72354520338983</v>
      </c>
      <c r="P16" s="113">
        <f>SUM(P7:P15)</f>
        <v>21250.432585881354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19741.96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1637.4688000000001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690.96860000000015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17413.5226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3731.1864406779655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21144.709040677964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105.72354520338983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21250.432585881354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21250.432585881361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1307.52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104.60160000000002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45.763200000000005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1157.1551999999999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1404.2738440677965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45" t="s">
        <v>88</v>
      </c>
      <c r="O35" s="346"/>
      <c r="P35" s="297">
        <f>+P33+P34</f>
        <v>1411.2952132881355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52</v>
      </c>
      <c r="I25" s="114">
        <f t="shared" si="7"/>
        <v>2970.1800000000003</v>
      </c>
      <c r="J25" s="274">
        <f>SUM(J16:J24)</f>
        <v>237.61439999999999</v>
      </c>
      <c r="K25" s="275">
        <f t="shared" si="7"/>
        <v>103.95630000000001</v>
      </c>
      <c r="L25" s="276">
        <f t="shared" si="7"/>
        <v>0</v>
      </c>
      <c r="M25" s="232">
        <f t="shared" si="7"/>
        <v>2628.6093000000001</v>
      </c>
      <c r="N25" s="233">
        <f>SUM(N16:N24)</f>
        <v>561.35593220338967</v>
      </c>
      <c r="O25" s="101">
        <f>SUM(O16:O24)</f>
        <v>15.949826161016951</v>
      </c>
      <c r="P25" s="234">
        <f>SUM(P16:P24)</f>
        <v>3205.9150583644064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2970.1800000000003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237.61439999999999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103.95630000000001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2628.6093000000005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561.35593220338967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3189.9652322033903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15.949826161016952</v>
      </c>
    </row>
    <row r="35" spans="2:16" ht="15.75" customHeight="1" thickBot="1" x14ac:dyDescent="0.4">
      <c r="N35" s="345" t="s">
        <v>88</v>
      </c>
      <c r="O35" s="346"/>
      <c r="P35" s="297">
        <f>+P33+P34</f>
        <v>3205.9150583644073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94.432000000000016</v>
      </c>
      <c r="K19" s="128">
        <f t="shared" si="1"/>
        <v>33.051200000000001</v>
      </c>
      <c r="L19" s="119">
        <f t="shared" si="1"/>
        <v>0</v>
      </c>
      <c r="M19" s="230">
        <f t="shared" si="2"/>
        <v>816.83680000000004</v>
      </c>
      <c r="N19" s="277">
        <f t="shared" si="3"/>
        <v>178.47457627118644</v>
      </c>
      <c r="O19" s="239">
        <f t="shared" si="4"/>
        <v>4.9765568813559318</v>
      </c>
      <c r="P19" s="119">
        <f t="shared" si="5"/>
        <v>1000.2879331525423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94.432000000000016</v>
      </c>
      <c r="K20" s="128">
        <f t="shared" si="1"/>
        <v>33.051200000000001</v>
      </c>
      <c r="L20" s="119">
        <f t="shared" si="1"/>
        <v>0</v>
      </c>
      <c r="M20" s="230">
        <f t="shared" si="2"/>
        <v>816.83680000000004</v>
      </c>
      <c r="N20" s="277">
        <f t="shared" si="3"/>
        <v>178.47457627118644</v>
      </c>
      <c r="O20" s="239">
        <f t="shared" si="4"/>
        <v>4.9765568813559318</v>
      </c>
      <c r="P20" s="119">
        <f t="shared" si="5"/>
        <v>1000.2879331525423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101.69600000000001</v>
      </c>
      <c r="K21" s="128">
        <f t="shared" si="1"/>
        <v>35.593600000000002</v>
      </c>
      <c r="L21" s="119">
        <f t="shared" si="1"/>
        <v>0</v>
      </c>
      <c r="M21" s="230">
        <f t="shared" si="2"/>
        <v>879.67039999999997</v>
      </c>
      <c r="N21" s="277">
        <f t="shared" si="3"/>
        <v>192.20338983050848</v>
      </c>
      <c r="O21" s="239">
        <f t="shared" si="4"/>
        <v>5.3593689491525422</v>
      </c>
      <c r="P21" s="119">
        <f t="shared" si="5"/>
        <v>1077.2331587796609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290.56000000000006</v>
      </c>
      <c r="K25" s="275">
        <f t="shared" si="7"/>
        <v>101.696</v>
      </c>
      <c r="L25" s="276">
        <f t="shared" si="7"/>
        <v>0</v>
      </c>
      <c r="M25" s="232">
        <f t="shared" si="7"/>
        <v>2513.3440000000001</v>
      </c>
      <c r="N25" s="233">
        <f>SUM(N16:N24)</f>
        <v>549.15254237288138</v>
      </c>
      <c r="O25" s="101">
        <f>SUM(O16:O24)</f>
        <v>15.312482711864405</v>
      </c>
      <c r="P25" s="234">
        <f>SUM(P16:P24)</f>
        <v>3077.8090250847454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290.56000000000006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2513.3440000000005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3062.4965423728818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15.312482711864408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3077.8090250847463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51" priority="1" stopIfTrue="1" operator="lessThan">
      <formula>1</formula>
    </cfRule>
  </conditionalFormatting>
  <conditionalFormatting sqref="C3:C5">
    <cfRule type="duplicateValues" dxfId="50" priority="2"/>
  </conditionalFormatting>
  <conditionalFormatting sqref="C7 C9:C11 C15:C17 C22:C25">
    <cfRule type="cellIs" dxfId="49" priority="22" stopIfTrue="1" operator="lessThan">
      <formula>1</formula>
    </cfRule>
  </conditionalFormatting>
  <conditionalFormatting sqref="C9:C11">
    <cfRule type="duplicateValues" dxfId="48" priority="52"/>
  </conditionalFormatting>
  <conditionalFormatting sqref="C13">
    <cfRule type="cellIs" dxfId="47" priority="18" stopIfTrue="1" operator="lessThan">
      <formula>1</formula>
    </cfRule>
  </conditionalFormatting>
  <conditionalFormatting sqref="C15:C17">
    <cfRule type="duplicateValues" dxfId="46" priority="58"/>
  </conditionalFormatting>
  <conditionalFormatting sqref="C20">
    <cfRule type="cellIs" dxfId="45" priority="14" stopIfTrue="1" operator="lessThan">
      <formula>1</formula>
    </cfRule>
  </conditionalFormatting>
  <conditionalFormatting sqref="C22:C25">
    <cfRule type="duplicateValues" dxfId="44" priority="45"/>
  </conditionalFormatting>
  <conditionalFormatting sqref="C27">
    <cfRule type="cellIs" dxfId="43" priority="10" stopIfTrue="1" operator="lessThan">
      <formula>1</formula>
    </cfRule>
  </conditionalFormatting>
  <conditionalFormatting sqref="C29:C31">
    <cfRule type="cellIs" dxfId="42" priority="3" stopIfTrue="1" operator="lessThan">
      <formula>1</formula>
    </cfRule>
    <cfRule type="duplicateValues" dxfId="41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40" priority="1" stopIfTrue="1" operator="lessThan">
      <formula>1</formula>
    </cfRule>
  </conditionalFormatting>
  <conditionalFormatting sqref="B3:B5">
    <cfRule type="duplicateValues" dxfId="39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8" priority="30"/>
  </conditionalFormatting>
  <conditionalFormatting sqref="G35:G41 G44:G52">
    <cfRule type="duplicateValues" dxfId="37" priority="32"/>
  </conditionalFormatting>
  <conditionalFormatting sqref="G42">
    <cfRule type="duplicateValues" dxfId="36" priority="24"/>
    <cfRule type="duplicateValues" dxfId="35" priority="25"/>
  </conditionalFormatting>
  <conditionalFormatting sqref="G43">
    <cfRule type="duplicateValues" dxfId="34" priority="28"/>
    <cfRule type="duplicateValues" dxfId="33" priority="29"/>
  </conditionalFormatting>
  <conditionalFormatting sqref="G44">
    <cfRule type="duplicateValues" dxfId="32" priority="26"/>
    <cfRule type="duplicateValues" dxfId="31" priority="27"/>
  </conditionalFormatting>
  <conditionalFormatting sqref="G46">
    <cfRule type="duplicateValues" dxfId="30" priority="31"/>
  </conditionalFormatting>
  <conditionalFormatting sqref="G65:G102 G104:G118">
    <cfRule type="duplicateValues" dxfId="29" priority="21"/>
  </conditionalFormatting>
  <conditionalFormatting sqref="G95:G102 G104:G112">
    <cfRule type="duplicateValues" dxfId="28" priority="23"/>
  </conditionalFormatting>
  <conditionalFormatting sqref="G103">
    <cfRule type="duplicateValues" dxfId="27" priority="19"/>
    <cfRule type="duplicateValues" dxfId="26" priority="20"/>
  </conditionalFormatting>
  <conditionalFormatting sqref="G104">
    <cfRule type="duplicateValues" dxfId="25" priority="17"/>
    <cfRule type="duplicateValues" dxfId="24" priority="18"/>
  </conditionalFormatting>
  <conditionalFormatting sqref="G106">
    <cfRule type="duplicateValues" dxfId="23" priority="22"/>
  </conditionalFormatting>
  <conditionalFormatting sqref="G125:G162 G164:G178">
    <cfRule type="duplicateValues" dxfId="22" priority="14"/>
  </conditionalFormatting>
  <conditionalFormatting sqref="G155:G162 G164:G172">
    <cfRule type="duplicateValues" dxfId="21" priority="16"/>
  </conditionalFormatting>
  <conditionalFormatting sqref="G163">
    <cfRule type="duplicateValues" dxfId="20" priority="12"/>
    <cfRule type="duplicateValues" dxfId="19" priority="13"/>
  </conditionalFormatting>
  <conditionalFormatting sqref="G164">
    <cfRule type="duplicateValues" dxfId="18" priority="10"/>
    <cfRule type="duplicateValues" dxfId="17" priority="11"/>
  </conditionalFormatting>
  <conditionalFormatting sqref="G166">
    <cfRule type="duplicateValues" dxfId="16" priority="15"/>
  </conditionalFormatting>
  <conditionalFormatting sqref="G203">
    <cfRule type="duplicateValues" dxfId="15" priority="4"/>
  </conditionalFormatting>
  <conditionalFormatting sqref="G204">
    <cfRule type="duplicateValues" dxfId="14" priority="3"/>
  </conditionalFormatting>
  <conditionalFormatting sqref="G215:G222 G225:G232">
    <cfRule type="duplicateValues" dxfId="13" priority="9"/>
  </conditionalFormatting>
  <conditionalFormatting sqref="G223">
    <cfRule type="duplicateValues" dxfId="12" priority="5"/>
    <cfRule type="duplicateValues" dxfId="11" priority="6"/>
  </conditionalFormatting>
  <conditionalFormatting sqref="G224">
    <cfRule type="duplicateValues" dxfId="10" priority="1"/>
    <cfRule type="duplicateValues" dxfId="9" priority="2"/>
  </conditionalFormatting>
  <conditionalFormatting sqref="G225:G232 G185:G202 G205:G222 G236:G238">
    <cfRule type="duplicateValues" dxfId="8" priority="7"/>
  </conditionalFormatting>
  <conditionalFormatting sqref="G226">
    <cfRule type="duplicateValues" dxfId="7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2026-10-20T12:21:34Z</dcterms:modified>
</cp:coreProperties>
</file>