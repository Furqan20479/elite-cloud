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A4392BF-CBAF-45A3-93C9-6BC5F762F07E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M20" i="43" s="1"/>
  <c r="O20" i="43" s="1"/>
  <c r="P20" i="43" s="1"/>
  <c r="K20" i="57"/>
  <c r="J20" i="57"/>
  <c r="L20" i="57"/>
  <c r="K20" i="61"/>
  <c r="J20" i="61"/>
  <c r="L20" i="6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61" l="1"/>
  <c r="O20" i="61" s="1"/>
  <c r="P20" i="61" s="1"/>
  <c r="J25" i="61"/>
  <c r="P29" i="61" s="1"/>
  <c r="M20" i="57"/>
  <c r="O20" i="57" s="1"/>
  <c r="P20" i="57" s="1"/>
  <c r="M21" i="52"/>
  <c r="O21" i="52" s="1"/>
  <c r="P21" i="52" s="1"/>
  <c r="K12" i="62"/>
  <c r="M21" i="51"/>
  <c r="M20" i="47"/>
  <c r="O20" i="47" s="1"/>
  <c r="P20" i="47" s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<sst xmlns="http://schemas.openxmlformats.org/spreadsheetml/2006/main" count="3948" uniqueCount="536">
  <si>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</si>
  <si>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</si>
  <si>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</si>
  <si>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</si>
  <si>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</si>
  <si>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</si>
  <si>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</si>
  <si>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</si>
  <si>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</si>
  <si>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</si>
  <si>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</si>
  <si>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</si>
  <si>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</si>
  <si>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</si>
  <si>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</si>
  <si>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</si>
  <si>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</si>
  <si>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</si>
  <si>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</si>
  <si>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</si>
  <si>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</si>
  <si>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</si>
  <si>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</si>
  <si>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</si>
  <si>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</si>
  <si>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</si>
  <si>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</si>
  <si>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</si>
  <si>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</si>
  <si>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</si>
  <si>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</si>
  <si>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</si>
  <si>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</si>
  <si>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</si>
  <si>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</si>
  <si>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</si>
  <si>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</si>
  <si>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</si>
  <si>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</si>
  <si>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</si>
  <si>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</si>
  <si>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</si>
  <si>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</si>
  <si>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</si>
  <si>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</si>
  <si>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</si>
  <si>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</si>
  <si>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</si>
  <si>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</si>
  <si>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</si>
  <si>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</si>
  <si>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</si>
  <si>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</si>
  <si>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</si>
  <si>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</si>
  <si>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</si>
  <si>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</si>
  <si>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</si>
  <si>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</si>
  <si>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</si>
  <si>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</si>
  <si>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</si>
  <si>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</si>
  <si>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</si>
  <si>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</si>
  <si>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</si>
  <si>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</si>
  <si>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</si>
  <si>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</si>
  <si>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</si>
  <si>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</si>
  <si>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</si>
  <si>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</si>
  <si>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</si>
  <si>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</si>
  <si>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</si>
  <si>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</si>
  <si>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</si>
  <si>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</si>
  <si>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</si>
  <si>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</si>
  <si>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</si>
  <si>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</si>
  <si>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</si>
  <si>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</si>
  <si>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</si>
  <si>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</si>
  <si>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</si>
  <si>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</si>
  <si>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</si>
  <si>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</si>
  <si>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</si>
  <si>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</si>
  <si>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</si>
  <si>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</si>
  <si>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</si>
  <si>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</si>
  <si>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</si>
  <si>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</si>
  <si>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</si>
  <si>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</si>
  <si>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</si>
  <si>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</si>
  <si>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</si>
  <si>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</si>
  <si>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</si>
  <si>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</si>
  <si>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</si>
  <si>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</si>
  <si>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</si>
  <si>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</si>
  <si>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</si>
  <si>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</si>
  <si>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</si>
  <si>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</si>
  <si>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</si>
  <si>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</si>
  <si>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</si>
  <si>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</si>
  <si>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</si>
  <si>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</si>
  <si>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</si>
  <si>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</si>
  <si>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</si>
  <si>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</si>
  <si>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</si>
  <si>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</si>
  <si>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</si>
  <si>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</si>
  <si>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</si>
  <si>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</si>
  <si>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</si>
  <si>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</si>
  <si>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</si>
  <si>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</si>
  <si>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</si>
  <si>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</si>
  <si>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</si>
  <si>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</si>
  <si>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</si>
  <si>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</si>
  <si>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</si>
  <si>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</si>
  <si>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</si>
  <si>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</si>
  <si>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</si>
  <si>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</si>
  <si>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</si>
  <si>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</si>
  <si>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</si>
  <si>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</si>
  <si>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</si>
  <si>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</si>
  <si>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</si>
  <si>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</si>
  <si>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</si>
  <si>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</si>
  <si>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</si>
  <si>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</si>
  <si>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</si>
  <si>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</si>
  <si>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</si>
  <si>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</si>
  <si>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</si>
  <si>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</si>
  <si>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</si>
  <si>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</si>
  <si>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</si>
  <si>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</si>
  <si>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</si>
  <si>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</si>
  <si>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</si>
  <si>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</si>
  <si>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</si>
  <si>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</si>
  <si>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</si>
  <si>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</si>
  <si>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</si>
  <si>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</si>
  <si>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</si>
  <si>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</si>
  <si>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</si>
  <si>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</si>
  <si>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</si>
  <si>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</si>
  <si>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</si>
  <si>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</si>
  <si>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</si>
  <si>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</si>
  <si>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</si>
  <si>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</si>
  <si>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</si>
  <si>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</si>
  <si>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</si>
  <si>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</si>
  <si>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</si>
  <si>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</si>
  <si>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</si>
  <si>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</si>
  <si>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</si>
  <si>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</si>
  <si>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</si>
  <si>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</si>
  <si>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</si>
  <si>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</si>
  <si>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</si>
  <si>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</si>
  <si>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</si>
  <si>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</si>
  <si>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</si>
  <si>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</si>
  <si>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</si>
  <si>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</si>
  <si>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</si>
  <si>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</si>
  <si>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</si>
  <si>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</si>
  <si>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</si>
  <si>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</si>
  <si>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</si>
  <si>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</si>
  <si>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</si>
  <si>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</si>
  <si>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</si>
  <si>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</si>
  <si>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</si>
  <si>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</si>
  <si>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</si>
  <si>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</si>
  <si>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</si>
  <si>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</si>
  <si>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</si>
  <si>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</si>
  <si>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</si>
  <si>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</si>
  <si>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</si>
  <si>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</si>
  <si>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</si>
  <si>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</si>
  <si>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</si>
  <si>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</si>
  <si>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</si>
  <si>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</si>
  <si>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</si>
  <si>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</si>
  <si>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</si>
  <si>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</si>
  <si>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</si>
  <si>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</si>
  <si>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</si>
  <si>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</si>
  <si>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</si>
  <si>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</si>
  <si>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</si>
  <si>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</si>
  <si>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</si>
  <si>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</si>
  <si>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</si>
  <si>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</si>
  <si>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</si>
  <si>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</si>
  <si>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</si>
  <si>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</si>
  <si>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</si>
  <si>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</si>
  <si>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</si>
  <si>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</si>
  <si>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</si>
  <si>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</si>
  <si>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</si>
  <si>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</si>
  <si>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</si>
  <si>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</si>
  <si>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</si>
  <si>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</si>
  <si>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</si>
  <si>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</si>
  <si>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</si>
  <si>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</si>
  <si>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</si>
  <si>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</si>
  <si>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</si>
  <si>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</si>
  <si>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</si>
  <si>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</si>
  <si>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</si>
  <si>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</si>
  <si>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</si>
  <si>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</si>
  <si>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</si>
  <si>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</si>
  <si>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</si>
  <si>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</si>
  <si>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</si>
  <si>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</si>
  <si>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</si>
  <si>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</si>
  <si>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</si>
  <si>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</si>
  <si>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</si>
  <si>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</si>
  <si>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</si>
  <si>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</si>
  <si>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</si>
  <si>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</si>
  <si>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</si>
  <si>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</si>
  <si>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</si>
  <si>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</si>
  <si>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</si>
  <si>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</si>
  <si>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</si>
  <si>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</si>
  <si>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</si>
  <si>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</si>
  <si>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</si>
  <si>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</si>
  <si>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</si>
  <si>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</si>
  <si>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</si>
  <si>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</si>
  <si>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</si>
  <si>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</si>
  <si>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</si>
  <si>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</si>
  <si>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</si>
  <si>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</si>
  <si>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</si>
  <si>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</si>
  <si>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</si>
  <si>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</si>
  <si>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</si>
  <si>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</si>
  <si>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</si>
  <si>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</si>
  <si>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</si>
  <si>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</si>
  <si>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</si>
  <si>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</si>
  <si>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</si>
  <si>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</si>
  <si>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</si>
  <si>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</si>
  <si>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</si>
  <si>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</si>
  <si>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</si>
  <si>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</si>
  <si>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</si>
  <si>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</si>
  <si>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</si>
  <si>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</si>
  <si>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</si>
  <si>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</si>
  <si>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</si>
  <si>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</si>
  <si>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</si>
  <si>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</si>
  <si>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</si>
  <si>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</si>
  <si>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</si>
  <si>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</si>
  <si>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</si>
  <si>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</si>
  <si>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</si>
  <si>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</si>
  <si>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</si>
  <si>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</si>
  <si>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</si>
  <si>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</si>
  <si>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</si>
  <si>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</si>
  <si>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</si>
  <si>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</si>
  <si>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</si>
  <si>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</si>
  <si>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</si>
  <si>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</si>
  <si>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</si>
  <si>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</si>
  <si>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</si>
  <si>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</si>
  <si>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</si>
  <si>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</si>
  <si>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</si>
  <si>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</si>
  <si>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</si>
  <si>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</si>
  <si>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</si>
  <si>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</si>
  <si>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</si>
  <si>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</si>
  <si>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</si>
  <si>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</si>
  <si>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</si>
  <si>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</si>
  <si>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</si>
  <si>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</si>
  <si>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</si>
  <si>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</si>
  <si>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</si>
  <si>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</si>
  <si>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</si>
  <si>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</si>
  <si>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</si>
  <si>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</si>
  <si>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</si>
  <si>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</si>
  <si>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</si>
  <si>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</si>
  <si>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</si>
  <si>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</si>
  <si>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</si>
  <si>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</si>
  <si>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</si>
  <si>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</si>
  <si>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</si>
  <si>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</si>
  <si>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</si>
  <si>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</si>
  <si>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</si>
  <si>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</si>
  <si>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</si>
  <si>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</si>
  <si>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</si>
  <si>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</si>
  <si>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</si>
  <si>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</si>
  <si>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</si>
  <si>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</si>
  <si>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</si>
  <si>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</si>
  <si>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</si>
  <si>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</si>
  <si>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</si>
  <si>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</si>
  <si>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</si>
  <si>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</si>
  <si>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</si>
  <si>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</si>
  <si>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</si>
  <si>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</si>
  <si>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</si>
  <si>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</si>
  <si>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</si>
  <si>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</si>
  <si>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</si>
  <si>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</si>
  <si>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</si>
  <si>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</si>
  <si>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</si>
  <si>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</si>
  <si>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</si>
  <si>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</si>
  <si>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</si>
  <si>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</si>
  <si>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</si>
  <si>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</si>
  <si>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</si>
  <si>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</si>
  <si>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</si>
  <si>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</si>
  <si>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</si>
  <si>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</si>
  <si>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</si>
  <si>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</si>
  <si>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</si>
  <si>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</si>
  <si>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</si>
  <si>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</si>
  <si>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</si>
  <si>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</si>
  <si>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</si>
  <si>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</si>
  <si>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</si>
  <si>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</si>
  <si>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</si>
  <si>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</si>
  <si>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</si>
  <si>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</si>
  <si>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</si>
  <si>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</si>
  <si>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</si>
  <si>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</si>
  <si>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</si>
  <si>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</si>
  <si>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</si>
  <si>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</si>
  <si>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</si>
  <si>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</si>
  <si>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</si>
  <si>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</si>
  <si>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</si>
  <si>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</si>
  <si>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</si>
  <si>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</si>
  <si>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</si>
  <si>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</si>
  <si>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</si>
  <si>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</si>
  <si>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</si>
  <si>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</si>
  <si>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</si>
  <si>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</si>
  <si>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</si>
  <si>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</si>
  <si>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</si>
  <si>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</si>
  <si>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</si>
  <si>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</si>
  <si>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</si>
  <si>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</si>
  <si>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</si>
  <si>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</si>
  <si>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</si>
  <si>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</si>
  <si>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Basic Store</t>
  </si>
  <si>
    <t>Address: Dharampura</t>
  </si>
  <si>
    <t xml:space="preserve">Food Rite </t>
  </si>
  <si>
    <t>Shahbaz Store</t>
  </si>
  <si>
    <t>Touseef Store</t>
  </si>
  <si>
    <t>Yasir Store</t>
  </si>
  <si>
    <t>Khatak Store</t>
  </si>
  <si>
    <t>Awan Store</t>
  </si>
  <si>
    <t>Madina Store</t>
  </si>
  <si>
    <t>Khan Store</t>
  </si>
  <si>
    <t>786 Store</t>
  </si>
  <si>
    <t>Shah GS</t>
  </si>
  <si>
    <t>United Store</t>
  </si>
  <si>
    <t>Sarwer Store</t>
  </si>
  <si>
    <t>Abid Store</t>
  </si>
  <si>
    <t>Usman Store</t>
  </si>
  <si>
    <t>Classic Store</t>
  </si>
  <si>
    <t>Hashim Store</t>
  </si>
  <si>
    <t>Haji Store</t>
  </si>
  <si>
    <t>Sohail Gs</t>
  </si>
  <si>
    <t>Al Madina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</si>
</sst>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G39" sqref="G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46315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Basic Store</v>
      </c>
      <c r="T3" s="301">
        <f>+'1'!P35</f>
        <v>2700.6315839618646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Food Rite </v>
      </c>
      <c r="T4" s="301">
        <f>+'2'!P35</f>
        <v>6969.3689604661022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Shahbaz Store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Touseef Store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21</v>
      </c>
      <c r="I7" s="235">
        <f>(G7*D7)*F7+H7*F7</f>
        <v>1101.7124999999999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88.137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38.559937500000004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975.01556249999987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208.22033898305074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5.9161795074152543</v>
      </c>
      <c r="P7" s="310">
        <f>M7+N7+O7</f>
        <v>1189.1520809904659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Yasir Store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</v>
      </c>
      <c r="I8" s="236">
        <f t="shared" ref="I8:I14" si="0">(G8*D8)*F8+H8*F8</f>
        <v>839.4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67.152000000000001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29.379000000000001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742.86899999999991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158.6440677966101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4.507565338983051</v>
      </c>
      <c r="P8" s="311">
        <f t="shared" ref="P8:P15" si="2">M8+N8+O8</f>
        <v>906.02063313559302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Khatak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23</v>
      </c>
      <c r="I9" s="236">
        <f t="shared" si="0"/>
        <v>1206.6375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96.531000000000006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42.232312500000006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1067.8741875000001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228.05084745762701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6.4796251747881346</v>
      </c>
      <c r="P9" s="311">
        <f t="shared" si="2"/>
        <v>1302.4046601324153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Awan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101</v>
      </c>
      <c r="I10" s="236">
        <f t="shared" si="0"/>
        <v>7336.64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674.09920000000011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256.78240000000005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6405.7584000000006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1386.6101694915255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38.961842847457625</v>
      </c>
      <c r="P10" s="311">
        <f t="shared" si="2"/>
        <v>7831.3304123389835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Madina Store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96</v>
      </c>
      <c r="I11" s="236">
        <f t="shared" si="0"/>
        <v>6973.4400000000005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645.04320000000007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244.07040000000001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6084.3263999999999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1317.9661016949153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37.011462508474573</v>
      </c>
      <c r="P11" s="311">
        <f t="shared" si="2"/>
        <v>7439.30396420339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Khan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143</v>
      </c>
      <c r="I12" s="236">
        <f t="shared" si="0"/>
        <v>10387.52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1005.3376000000001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363.56320000000005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9018.619200000001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1963.2203389830511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54.909197694915257</v>
      </c>
      <c r="P12" s="311">
        <f t="shared" si="2"/>
        <v>11036.748736677966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786 Store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Shah GS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United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Sarwer Store</v>
      </c>
      <c r="T15" s="301">
        <f>+'13'!P35</f>
        <v>392.02644813559323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</v>
      </c>
      <c r="H16" s="113">
        <f t="shared" ref="H16:M16" si="3">SUM(H7:H15)</f>
        <v>400</v>
      </c>
      <c r="I16" s="114">
        <f t="shared" si="3"/>
        <v>27845.350000000002</v>
      </c>
      <c r="J16" s="274">
        <f>SUM(J7:J15)</f>
        <v>2576.3000000000002</v>
      </c>
      <c r="K16" s="275">
        <f t="shared" si="3"/>
        <v>974.58725000000004</v>
      </c>
      <c r="L16" s="276">
        <f t="shared" si="3"/>
        <v>0</v>
      </c>
      <c r="M16" s="232">
        <f t="shared" si="3"/>
        <v>24294.462749999999</v>
      </c>
      <c r="N16" s="233">
        <f>SUM(N7:N15)</f>
        <v>5262.7118644067796</v>
      </c>
      <c r="O16" s="101">
        <f>SUM(O7:O15)</f>
        <v>147.78587307203389</v>
      </c>
      <c r="P16" s="113">
        <f>SUM(P7:P15)</f>
        <v>29704.960487478813</v>
      </c>
      <c r="Q16" s="128">
        <f>SUM(Q7:Q15)</f>
        <v>0</v>
      </c>
      <c r="R16" s="313">
        <v>14</v>
      </c>
      <c r="S16" s="315" t="str">
        <f>+'14'!A6:A6</f>
        <v>Abid Store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Usman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Classic Store</v>
      </c>
      <c r="T18" s="301">
        <f>+'16'!P35</f>
        <v>392.02644813559323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27845.350000000002</v>
      </c>
      <c r="R19" s="299">
        <v>17</v>
      </c>
      <c r="S19" s="300" t="str">
        <f>+'17'!A6:A6</f>
        <v>Hashim Store</v>
      </c>
      <c r="T19" s="301">
        <f>+'17'!P35</f>
        <v>784.05289627118646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2576.3000000000002</v>
      </c>
      <c r="R20" s="299">
        <v>18</v>
      </c>
      <c r="S20" s="300" t="str">
        <f>+'18'!A6:A6</f>
        <v>Haji Store</v>
      </c>
      <c r="T20" s="301">
        <f>+'18'!P35</f>
        <v>784.05289627118646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974.58725000000004</v>
      </c>
      <c r="R21" s="299">
        <v>19</v>
      </c>
      <c r="S21" s="300" t="str">
        <f>+'19'!A6:A6</f>
        <v>Sohail Gs</v>
      </c>
      <c r="T21" s="301">
        <f>+'19'!P35</f>
        <v>784.05289627118646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24294.462750000002</v>
      </c>
      <c r="R22" s="299">
        <v>20</v>
      </c>
      <c r="S22" s="300" t="str">
        <f>+'20'!A6:A6</f>
        <v>Al Madina Store</v>
      </c>
      <c r="T22" s="301">
        <f>+'20'!P35</f>
        <v>12194.430980338982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5262.7118644067796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29557.17461440678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147.78587307203389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29704.960487478813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29704.96048747882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</v>
      </c>
      <c r="I18" s="236">
        <f t="shared" ref="I18:I21" si="7">(G18*D18)*F18+H18*F18</f>
        <v>419.7</v>
      </c>
      <c r="J18" s="272">
        <f t="shared" si="1"/>
        <v>33.576000000000001</v>
      </c>
      <c r="K18" s="128">
        <f t="shared" si="1"/>
        <v>14.689500000000001</v>
      </c>
      <c r="L18" s="119">
        <f t="shared" si="1"/>
        <v>0</v>
      </c>
      <c r="M18" s="230">
        <f t="shared" si="2"/>
        <v>371.43449999999996</v>
      </c>
      <c r="N18" s="277">
        <f t="shared" si="3"/>
        <v>79.322033898305051</v>
      </c>
      <c r="O18" s="239">
        <f t="shared" si="4"/>
        <v>2.2537826694915251</v>
      </c>
      <c r="P18" s="119">
        <f t="shared" si="5"/>
        <v>453.01031656779651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7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</v>
      </c>
      <c r="I21" s="236">
        <f t="shared" si="7"/>
        <v>581.12</v>
      </c>
      <c r="J21" s="272">
        <f t="shared" si="1"/>
        <v>46.489600000000003</v>
      </c>
      <c r="K21" s="128">
        <f t="shared" si="1"/>
        <v>20.339200000000002</v>
      </c>
      <c r="L21" s="119">
        <f t="shared" si="1"/>
        <v>0</v>
      </c>
      <c r="M21" s="230">
        <f t="shared" si="2"/>
        <v>514.2912</v>
      </c>
      <c r="N21" s="277">
        <f t="shared" si="3"/>
        <v>109.83050847457628</v>
      </c>
      <c r="O21" s="239">
        <f t="shared" si="4"/>
        <v>3.1206085423728815</v>
      </c>
      <c r="P21" s="119">
        <f t="shared" si="5"/>
        <v>627.24231701694919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2502.0500000000002</v>
      </c>
      <c r="J25" s="274">
        <f>SUM(J16:J24)</f>
        <v>200.16399999999999</v>
      </c>
      <c r="K25" s="275">
        <f t="shared" si="10"/>
        <v>87.571750000000009</v>
      </c>
      <c r="L25" s="276">
        <f t="shared" si="10"/>
        <v>0</v>
      </c>
      <c r="M25" s="232">
        <f t="shared" si="10"/>
        <v>2214.3142499999999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2502.0500000000002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200.16399999999999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87.571750000000009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2214.3142500000004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2687.1956059322038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74" t="s">
        <v>88</v>
      </c>
      <c r="O35" s="375"/>
      <c r="P35" s="297">
        <f>+P33+P34</f>
        <v>2700.6315839618646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516.55200000000002</v>
      </c>
      <c r="K25" s="275">
        <f t="shared" si="7"/>
        <v>225.99150000000006</v>
      </c>
      <c r="L25" s="276">
        <f t="shared" si="7"/>
        <v>0</v>
      </c>
      <c r="M25" s="232">
        <f t="shared" si="7"/>
        <v>5714.3564999999999</v>
      </c>
      <c r="N25" s="233">
        <f>SUM(N16:N24)</f>
        <v>1220.3389830508472</v>
      </c>
      <c r="O25" s="101">
        <f>SUM(O16:O24)</f>
        <v>34.673477415254233</v>
      </c>
      <c r="P25" s="234">
        <f>SUM(P16:P24)</f>
        <v>6969.3689604661013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6456.9000000000005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516.55200000000002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225.99150000000006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5714.3565000000008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6934.6954830508475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34.67347741525424</v>
      </c>
    </row>
    <row r="35" spans="2:16" ht="15.75" customHeight="1" thickBot="1" x14ac:dyDescent="0.4">
      <c r="N35" s="374" t="s">
        <v>88</v>
      </c>
      <c r="O35" s="375"/>
      <c r="P35" s="297">
        <f>+P33+P34</f>
        <v>6969.3689604661022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3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8.7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119">
        <f t="shared" si="5"/>
        <v>3048.6077450847456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639.23199999999997</v>
      </c>
      <c r="K21" s="128">
        <f t="shared" si="1"/>
        <v>203.39200000000002</v>
      </c>
      <c r="L21" s="119">
        <f t="shared" si="1"/>
        <v>0</v>
      </c>
      <c r="M21" s="230">
        <f t="shared" si="2"/>
        <v>4968.576</v>
      </c>
      <c r="N21" s="277">
        <f t="shared" si="3"/>
        <v>1098.3050847457628</v>
      </c>
      <c r="O21" s="239">
        <f t="shared" si="4"/>
        <v>30.334405423728814</v>
      </c>
      <c r="P21" s="119">
        <f t="shared" si="5"/>
        <v>6097.2154901694912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1278.4639999999999</v>
      </c>
      <c r="K25" s="275">
        <f t="shared" si="7"/>
        <v>406.78400000000005</v>
      </c>
      <c r="L25" s="276">
        <f t="shared" si="7"/>
        <v>0</v>
      </c>
      <c r="M25" s="232">
        <f t="shared" si="7"/>
        <v>9937.152</v>
      </c>
      <c r="N25" s="233">
        <f>SUM(N16:N24)</f>
        <v>2196.6101694915255</v>
      </c>
      <c r="O25" s="101">
        <f>SUM(O16:O24)</f>
        <v>60.668810847457628</v>
      </c>
      <c r="P25" s="234">
        <f>SUM(P16:P24)</f>
        <v>12194.430980338982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1278.4639999999999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9937.152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12133.762169491525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60.668810847457628</v>
      </c>
    </row>
    <row r="35" spans="2:16" ht="15.75" customHeight="1" thickBot="1" x14ac:dyDescent="0.4">
      <c r="N35" s="374" t="s">
        <v>88</v>
      </c>
      <c r="O35" s="375"/>
      <c r="P35" s="297">
        <f>+P33+P34</f>
        <v>12194.430980338982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2026-10-19T11:10:38Z</dcterms:modified>
</cp:coreProperties>
</file>