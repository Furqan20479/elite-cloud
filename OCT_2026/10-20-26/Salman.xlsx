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3FF64FA8-61EC-4E0B-BFB9-80F33B5E2F07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P25" i="61" l="1"/>
  <c r="P37" i="61"/>
  <c r="F22" i="47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5" l="1"/>
  <c r="N5" i="65" s="1"/>
  <c r="N4" i="60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M21" i="43" s="1"/>
  <c r="O21" i="43" s="1"/>
  <c r="P21" i="43" s="1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L20" i="48"/>
  <c r="J20" i="48"/>
  <c r="K20" i="53"/>
  <c r="L20" i="53"/>
  <c r="M20" i="53" s="1"/>
  <c r="O20" i="53" s="1"/>
  <c r="P20" i="53" s="1"/>
  <c r="J20" i="53"/>
  <c r="K20" i="43"/>
  <c r="L20" i="43"/>
  <c r="J20" i="43"/>
  <c r="M20" i="43" s="1"/>
  <c r="O20" i="43" s="1"/>
  <c r="P20" i="43" s="1"/>
  <c r="K20" i="57"/>
  <c r="J20" i="57"/>
  <c r="L20" i="57"/>
  <c r="K20" i="61"/>
  <c r="J20" i="61"/>
  <c r="L20" i="61"/>
  <c r="K20" i="71"/>
  <c r="J20" i="71"/>
  <c r="M20" i="71" s="1"/>
  <c r="O20" i="71" s="1"/>
  <c r="P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61" l="1"/>
  <c r="O20" i="61" s="1"/>
  <c r="P20" i="61" s="1"/>
  <c r="J25" i="61"/>
  <c r="P29" i="61" s="1"/>
  <c r="M20" i="57"/>
  <c r="O20" i="57" s="1"/>
  <c r="P20" i="57" s="1"/>
  <c r="M21" i="52"/>
  <c r="O21" i="52" s="1"/>
  <c r="P21" i="52" s="1"/>
  <c r="K12" i="62"/>
  <c r="M21" i="51"/>
  <c r="M20" i="47"/>
  <c r="O20" i="47" s="1"/>
  <c r="P20" i="47" s="1"/>
  <c r="M21" i="44"/>
  <c r="O21" i="44" s="1"/>
  <c r="P21" i="44" s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M20" i="65"/>
  <c r="O20" i="65" s="1"/>
  <c r="P20" i="65" s="1"/>
  <c r="M20" i="64"/>
  <c r="O20" i="64" s="1"/>
  <c r="P20" i="64" s="1"/>
  <c r="M20" i="52"/>
  <c r="M20" i="66"/>
  <c r="O20" i="66" s="1"/>
  <c r="P20" i="66" s="1"/>
  <c r="M20" i="59"/>
  <c r="O20" i="59" s="1"/>
  <c r="P20" i="59" s="1"/>
  <c r="M20" i="54"/>
  <c r="O20" i="54" s="1"/>
  <c r="P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P21" i="50" s="1"/>
  <c r="M20" i="44"/>
  <c r="O20" i="44" s="1"/>
  <c r="P20" i="44" s="1"/>
  <c r="M20" i="58"/>
  <c r="O20" i="58" s="1"/>
  <c r="P20" i="58" s="1"/>
  <c r="J25" i="47"/>
  <c r="P29" i="47" s="1"/>
  <c r="M20" i="55"/>
  <c r="O20" i="55" s="1"/>
  <c r="P20" i="55" s="1"/>
  <c r="M20" i="56"/>
  <c r="O20" i="56" s="1"/>
  <c r="P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P31" i="51" s="1"/>
  <c r="P33" i="51" s="1"/>
  <c r="P34" i="51" s="1"/>
  <c r="P35" i="51" s="1"/>
  <c r="T12" i="62" s="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2" i="6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<sst xmlns="http://schemas.openxmlformats.org/spreadsheetml/2006/main" count="3951" uniqueCount="540">
  <si>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</si>
  <si>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</si>
  <si>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</si>
  <si>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</si>
  <si>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</si>
  <si>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</si>
  <si>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</si>
  <si>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</si>
  <si>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</si>
  <si>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</si>
  <si>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</si>
  <si>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</si>
  <si>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</si>
  <si>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</si>
  <si>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</si>
  <si>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</si>
  <si>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</si>
  <si>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</si>
  <si>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</si>
  <si>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</si>
  <si>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</si>
  <si>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</si>
  <si>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</si>
  <si>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</si>
  <si>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</si>
  <si>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</si>
  <si>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</si>
  <si>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</si>
  <si>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</si>
  <si>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</si>
  <si>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</si>
  <si>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</si>
  <si>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</si>
  <si>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</si>
  <si>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</si>
  <si>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</si>
  <si>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</si>
  <si>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</si>
  <si>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</si>
  <si>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</si>
  <si>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</si>
  <si>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</si>
  <si>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</si>
  <si>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</si>
  <si>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</si>
  <si>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</si>
  <si>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</si>
  <si>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</si>
  <si>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</si>
  <si>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</si>
  <si>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</si>
  <si>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</si>
  <si>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</si>
  <si>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</si>
  <si>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</si>
  <si>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</si>
  <si>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</si>
  <si>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</si>
  <si>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</si>
  <si>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</si>
  <si>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</si>
  <si>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</si>
  <si>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</si>
  <si>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</si>
  <si>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</si>
  <si>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</si>
  <si>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</si>
  <si>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</si>
  <si>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</si>
  <si>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</si>
  <si>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</si>
  <si>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</si>
  <si>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</si>
  <si>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</si>
  <si>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</si>
  <si>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</si>
  <si>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</si>
  <si>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</si>
  <si>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</si>
  <si>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</si>
  <si>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</si>
  <si>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</si>
  <si>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</si>
  <si>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</si>
  <si>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</si>
  <si>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</si>
  <si>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</si>
  <si>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</si>
  <si>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</si>
  <si>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</si>
  <si>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</si>
  <si>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</si>
  <si>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</si>
  <si>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</si>
  <si>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</si>
  <si>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</si>
  <si>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</si>
  <si>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</si>
  <si>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</si>
  <si>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</si>
  <si>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</si>
  <si>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</si>
  <si>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</si>
  <si>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</si>
  <si>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</si>
  <si>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</si>
  <si>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</si>
  <si>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</si>
  <si>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</si>
  <si>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</si>
  <si>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</si>
  <si>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</si>
  <si>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</si>
  <si>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</si>
  <si>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</si>
  <si>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</si>
  <si>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</si>
  <si>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</si>
  <si>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</si>
  <si>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</si>
  <si>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</si>
  <si>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</si>
  <si>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</si>
  <si>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</si>
  <si>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</si>
  <si>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</si>
  <si>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</si>
  <si>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</si>
  <si>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</si>
  <si>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</si>
  <si>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</si>
  <si>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</si>
  <si>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</si>
  <si>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</si>
  <si>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</si>
  <si>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</si>
  <si>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</si>
  <si>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</si>
  <si>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</si>
  <si>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</si>
  <si>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</si>
  <si>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</si>
  <si>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</si>
  <si>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</si>
  <si>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</si>
  <si>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</si>
  <si>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</si>
  <si>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</si>
  <si>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</si>
  <si>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</si>
  <si>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</si>
  <si>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</si>
  <si>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</si>
  <si>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</si>
  <si>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</si>
  <si>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</si>
  <si>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</si>
  <si>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</si>
  <si>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</si>
  <si>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</si>
  <si>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</si>
  <si>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</si>
  <si>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</si>
  <si>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</si>
  <si>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</si>
  <si>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</si>
  <si>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</si>
  <si>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</si>
  <si>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</si>
  <si>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</si>
  <si>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</si>
  <si>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</si>
  <si>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</si>
  <si>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</si>
  <si>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</si>
  <si>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</si>
  <si>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</si>
  <si>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</si>
  <si>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</si>
  <si>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</si>
  <si>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</si>
  <si>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</si>
  <si>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</si>
  <si>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</si>
  <si>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</si>
  <si>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</si>
  <si>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</si>
  <si>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</si>
  <si>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</si>
  <si>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</si>
  <si>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</si>
  <si>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</si>
  <si>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</si>
  <si>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</si>
  <si>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</si>
  <si>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</si>
  <si>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</si>
  <si>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</si>
  <si>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</si>
  <si>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</si>
  <si>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</si>
  <si>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</si>
  <si>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</si>
  <si>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</si>
  <si>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</si>
  <si>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</si>
  <si>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</si>
  <si>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</si>
  <si>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</si>
  <si>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</si>
  <si>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</si>
  <si>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</si>
  <si>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</si>
  <si>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</si>
  <si>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</si>
  <si>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</si>
  <si>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</si>
  <si>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</si>
  <si>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</si>
  <si>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</si>
  <si>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</si>
  <si>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</si>
  <si>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</si>
  <si>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</si>
  <si>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</si>
  <si>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</si>
  <si>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</si>
  <si>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</si>
  <si>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</si>
  <si>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</si>
  <si>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</si>
  <si>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</si>
  <si>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</si>
  <si>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</si>
  <si>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</si>
  <si>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</si>
  <si>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</si>
  <si>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</si>
  <si>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</si>
  <si>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</si>
  <si>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</si>
  <si>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</si>
  <si>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</si>
  <si>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</si>
  <si>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</si>
  <si>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</si>
  <si>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</si>
  <si>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</si>
  <si>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</si>
  <si>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</si>
  <si>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</si>
  <si>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</si>
  <si>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</si>
  <si>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</si>
  <si>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</si>
  <si>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</si>
  <si>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</si>
  <si>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</si>
  <si>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</si>
  <si>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</si>
  <si>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</si>
  <si>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</si>
  <si>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</si>
  <si>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</si>
  <si>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</si>
  <si>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</si>
  <si>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</si>
  <si>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</si>
  <si>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</si>
  <si>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</si>
  <si>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</si>
  <si>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</si>
  <si>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</si>
  <si>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</si>
  <si>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</si>
  <si>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</si>
  <si>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</si>
  <si>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</si>
  <si>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</si>
  <si>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</si>
  <si>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</si>
  <si>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</si>
  <si>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</si>
  <si>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</si>
  <si>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</si>
  <si>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</si>
  <si>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</si>
  <si>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</si>
  <si>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</si>
  <si>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</si>
  <si>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</si>
  <si>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</si>
  <si>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</si>
  <si>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</si>
  <si>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</si>
  <si>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</si>
  <si>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</si>
  <si>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</si>
  <si>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</si>
  <si>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</si>
  <si>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</si>
  <si>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</si>
  <si>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</si>
  <si>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</si>
  <si>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</si>
  <si>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</si>
  <si>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</si>
  <si>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</si>
  <si>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</si>
  <si>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</si>
  <si>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</si>
  <si>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</si>
  <si>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</si>
  <si>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</si>
  <si>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</si>
  <si>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</si>
  <si>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</si>
  <si>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</si>
  <si>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</si>
  <si>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</si>
  <si>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</si>
  <si>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</si>
  <si>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</si>
  <si>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</si>
  <si>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</si>
  <si>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</si>
  <si>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</si>
  <si>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</si>
  <si>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</si>
  <si>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</si>
  <si>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</si>
  <si>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</si>
  <si>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</si>
  <si>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</si>
  <si>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</si>
  <si>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</si>
  <si>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</si>
  <si>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</si>
  <si>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</si>
  <si>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</si>
  <si>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</si>
  <si>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</si>
  <si>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</si>
  <si>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</si>
  <si>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</si>
  <si>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</si>
  <si>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</si>
  <si>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</si>
  <si>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</si>
  <si>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</si>
  <si>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</si>
  <si>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</si>
  <si>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</si>
  <si>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</si>
  <si>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</si>
  <si>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</si>
  <si>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</si>
  <si>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</si>
  <si>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</si>
  <si>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</si>
  <si>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</si>
  <si>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</si>
  <si>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</si>
  <si>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</si>
  <si>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</si>
  <si>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</si>
  <si>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</si>
  <si>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</si>
  <si>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</si>
  <si>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</si>
  <si>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</si>
  <si>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</si>
  <si>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</si>
  <si>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</si>
  <si>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</si>
  <si>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</si>
  <si>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</si>
  <si>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</si>
  <si>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</si>
  <si>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</si>
  <si>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</si>
  <si>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</si>
  <si>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</si>
  <si>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</si>
  <si>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</si>
  <si>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</si>
  <si>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</si>
  <si>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</si>
  <si>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</si>
  <si>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</si>
  <si>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</si>
  <si>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</si>
  <si>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</si>
  <si>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</si>
  <si>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</si>
  <si>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</si>
  <si>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</si>
  <si>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</si>
  <si>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</si>
  <si>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</si>
  <si>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</si>
  <si>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</si>
  <si>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</si>
  <si>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</si>
  <si>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</si>
  <si>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</si>
  <si>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</si>
  <si>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</si>
  <si>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</si>
  <si>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</si>
  <si>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</si>
  <si>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</si>
  <si>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</si>
  <si>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</si>
  <si>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</si>
  <si>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</si>
  <si>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</si>
  <si>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</si>
  <si>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</si>
  <si>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</si>
  <si>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</si>
  <si>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</si>
  <si>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</si>
  <si>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</si>
  <si>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</si>
  <si>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</si>
  <si>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</si>
  <si>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</si>
  <si>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</si>
  <si>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</si>
  <si>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</si>
  <si>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</si>
  <si>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</si>
  <si>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</si>
  <si>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</si>
  <si>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</si>
  <si>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</si>
  <si>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</si>
  <si>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</si>
  <si>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</si>
  <si>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</si>
  <si>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</si>
  <si>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</si>
  <si>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</si>
  <si>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</si>
  <si>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</si>
  <si>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</si>
  <si>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</si>
  <si>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</si>
  <si>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</si>
  <si>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</si>
  <si>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</si>
  <si>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</si>
  <si>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</si>
  <si>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</si>
  <si>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</si>
  <si>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</si>
  <si>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</si>
  <si>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</si>
  <si>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</si>
  <si>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</si>
  <si>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</si>
  <si>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</si>
  <si>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</si>
  <si>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</si>
  <si>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</si>
  <si>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</si>
  <si>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</si>
  <si>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</si>
  <si>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</si>
  <si>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</si>
  <si>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</si>
  <si>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</si>
  <si>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</si>
  <si>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</si>
  <si>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</si>
  <si>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</si>
  <si>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</si>
  <si>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</si>
  <si>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</si>
  <si>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</si>
  <si>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</si>
  <si>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</si>
  <si>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</si>
  <si>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</si>
  <si>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</si>
  <si>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</si>
  <si>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</si>
  <si>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</si>
  <si>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</si>
  <si>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</si>
  <si>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</si>
  <si>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</si>
  <si>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</si>
  <si>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</si>
  <si>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</si>
  <si>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</si>
  <si>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</si>
  <si>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</si>
  <si>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</si>
  <si>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</si>
  <si>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</si>
  <si>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</si>
  <si>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</si>
  <si>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</si>
  <si>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</si>
  <si>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</si>
  <si>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</si>
  <si>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</si>
  <si>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</si>
  <si>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</si>
  <si>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</si>
  <si>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</si>
  <si>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</si>
  <si>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Salman</t>
  </si>
  <si>
    <t>Basic Store</t>
  </si>
  <si>
    <t>Address: Dharampura</t>
  </si>
  <si>
    <t xml:space="preserve">Food Rite </t>
  </si>
  <si>
    <t>Shahbaz Store</t>
  </si>
  <si>
    <t>Touseef Store</t>
  </si>
  <si>
    <t>Yasir Store</t>
  </si>
  <si>
    <t>Khatak Store</t>
  </si>
  <si>
    <t>Awan Store</t>
  </si>
  <si>
    <t>Madina Store</t>
  </si>
  <si>
    <t>Khan Store</t>
  </si>
  <si>
    <t>786 Store</t>
  </si>
  <si>
    <t>Shah GS</t>
  </si>
  <si>
    <t>United Store</t>
  </si>
  <si>
    <t>Sarwer Store</t>
  </si>
  <si>
    <t>Abid Store</t>
  </si>
  <si>
    <t>Usman Store</t>
  </si>
  <si>
    <t>Classic Store</t>
  </si>
  <si>
    <t>Hashim Store</t>
  </si>
  <si>
    <t>Haji Store</t>
  </si>
  <si>
    <t>Sohail Gs</t>
  </si>
  <si>
    <t>Al Madina Store</t>
  </si>
  <si>
    <t>Prev =&gt;</t>
  </si>
  <si>
    <t>Bill</t>
  </si>
  <si>
    <t>Toqeer Store</t>
  </si>
  <si>
    <t>Tanveer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</si>
</sst>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23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18" fillId="0" borderId="58" xfId="0" applyFont="1" applyBorder="1" applyAlignment="1">
      <alignment horizontal="center"/>
    </xf>
    <xf numFmtId="0" fontId="18" fillId="0" borderId="56" xfId="0" applyFont="1" applyBorder="1" applyAlignment="1">
      <alignment horizontal="center"/>
    </xf>
    <xf numFmtId="1" fontId="18" fillId="0" borderId="59" xfId="0" applyNumberFormat="1" applyFont="1" applyBorder="1" applyAlignment="1">
      <alignment horizontal="right" wrapText="1"/>
    </xf>
    <xf numFmtId="0" fontId="1" fillId="0" borderId="12" xfId="0" applyFont="1" applyBorder="1" applyAlignment="1">
      <alignment horizontal="center"/>
    </xf>
    <xf numFmtId="0" fontId="1" fillId="0" borderId="20" xfId="0" applyFont="1" applyBorder="1"/>
    <xf numFmtId="0" fontId="1" fillId="0" borderId="60" xfId="0" applyFont="1" applyBorder="1" applyAlignment="1">
      <alignment horizontal="center"/>
    </xf>
    <xf numFmtId="0" fontId="1" fillId="0" borderId="40" xfId="0" applyFont="1" applyBorder="1" applyAlignment="1">
      <alignment horizontal="center"/>
    </xf>
    <xf numFmtId="1" fontId="1" fillId="0" borderId="21" xfId="0" applyNumberFormat="1" applyFont="1" applyBorder="1"/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J22" workbookViewId="0">
      <selection activeCell="U26" sqref="U2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514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46315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Basic Store</v>
      </c>
      <c r="T3" s="301">
        <f>+'1'!P35</f>
        <v>2700.6315839618646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Food Rite </v>
      </c>
      <c r="T4" s="301">
        <f>+'2'!P35</f>
        <v>6969.3689604661022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Shahbaz Store</v>
      </c>
      <c r="T5" s="301">
        <f>+'3'!P35</f>
        <v>392.02644813559323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Touseef Store</v>
      </c>
      <c r="T6" s="301">
        <f>+'4'!P35</f>
        <v>392.02644813559323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21</v>
      </c>
      <c r="I7" s="235">
        <f>(G7*D7)*F7+H7*F7</f>
        <v>1101.7124999999999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88.137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38.559937500000004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975.01556249999987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208.22033898305074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5.9161795074152543</v>
      </c>
      <c r="P7" s="310">
        <f>M7+N7+O7</f>
        <v>1189.1520809904659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Yasir Store</v>
      </c>
      <c r="T7" s="301">
        <f>+'5'!P35</f>
        <v>392.02644813559323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16</v>
      </c>
      <c r="I8" s="236">
        <f t="shared" ref="I8:I14" si="0">(G8*D8)*F8+H8*F8</f>
        <v>839.4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67.152000000000001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29.379000000000001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742.86899999999991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158.6440677966101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4.507565338983051</v>
      </c>
      <c r="P8" s="311">
        <f t="shared" ref="P8:P15" si="2">M8+N8+O8</f>
        <v>906.02063313559302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Khatak Store</v>
      </c>
      <c r="T8" s="301">
        <f>+'6'!P35</f>
        <v>392.02644813559323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23</v>
      </c>
      <c r="I9" s="236">
        <f t="shared" si="0"/>
        <v>1206.6375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96.531000000000006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42.232312500000006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1067.8741875000001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228.05084745762701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6.4796251747881346</v>
      </c>
      <c r="P9" s="311">
        <f t="shared" si="2"/>
        <v>1302.4046601324153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Awan Store</v>
      </c>
      <c r="T9" s="301">
        <f>+'7'!P35</f>
        <v>392.02644813559323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126</v>
      </c>
      <c r="I10" s="236">
        <f t="shared" si="0"/>
        <v>9152.64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819.37920000000008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320.34240000000005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8012.9183999999996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1729.8305084745766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48.713744542372879</v>
      </c>
      <c r="P10" s="311">
        <f t="shared" si="2"/>
        <v>9791.462653016948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Madina Store</v>
      </c>
      <c r="T10" s="301">
        <f>+'8'!P35</f>
        <v>392.02644813559323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116</v>
      </c>
      <c r="I11" s="236">
        <f t="shared" si="0"/>
        <v>8426.24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761.2672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294.91839999999996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7370.0544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1592.5423728813562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44.812983864406782</v>
      </c>
      <c r="P11" s="311">
        <f t="shared" si="2"/>
        <v>9007.4097567457629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Khan Store</v>
      </c>
      <c r="T11" s="301">
        <f>+'9'!P35</f>
        <v>392.02644813559323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168</v>
      </c>
      <c r="I12" s="236">
        <f t="shared" si="0"/>
        <v>12203.52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1150.6176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427.12320000000005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10625.779200000001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2306.4406779661022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64.661099389830511</v>
      </c>
      <c r="P12" s="311">
        <f t="shared" si="2"/>
        <v>12996.880977355933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786 Store</v>
      </c>
      <c r="T12" s="301">
        <f>+'10'!P35</f>
        <v>392.02644813559323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Shah GS</v>
      </c>
      <c r="T13" s="301">
        <f>+'11'!P35</f>
        <v>392.02644813559323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United Store</v>
      </c>
      <c r="T14" s="301">
        <f>+'12'!P35</f>
        <v>392.02644813559323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Sarwer Store</v>
      </c>
      <c r="T15" s="301">
        <f>+'13'!P35</f>
        <v>392.02644813559323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11.75</v>
      </c>
      <c r="H16" s="113">
        <f t="shared" ref="H16:M16" si="3">SUM(H7:H15)</f>
        <v>470</v>
      </c>
      <c r="I16" s="114">
        <f t="shared" si="3"/>
        <v>32930.149999999994</v>
      </c>
      <c r="J16" s="274">
        <f>SUM(J7:J15)</f>
        <v>2983.0839999999998</v>
      </c>
      <c r="K16" s="275">
        <f t="shared" si="3"/>
        <v>1152.5552500000001</v>
      </c>
      <c r="L16" s="276">
        <f t="shared" si="3"/>
        <v>0</v>
      </c>
      <c r="M16" s="232">
        <f t="shared" si="3"/>
        <v>28794.510750000001</v>
      </c>
      <c r="N16" s="233">
        <f>SUM(N7:N15)</f>
        <v>6223.7288135593226</v>
      </c>
      <c r="O16" s="101">
        <f>SUM(O7:O15)</f>
        <v>175.09119781779663</v>
      </c>
      <c r="P16" s="113">
        <f>SUM(P7:P15)</f>
        <v>35193.330761377118</v>
      </c>
      <c r="Q16" s="128">
        <f>SUM(Q7:Q15)</f>
        <v>0</v>
      </c>
      <c r="R16" s="313">
        <v>14</v>
      </c>
      <c r="S16" s="315" t="str">
        <f>+'14'!A6:A6</f>
        <v>Abid Store</v>
      </c>
      <c r="T16" s="301">
        <f>+'14'!P35</f>
        <v>392.02644813559323</v>
      </c>
    </row>
    <row r="17" spans="1:21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Usman Store</v>
      </c>
      <c r="T17" s="301">
        <f>+'15'!P35</f>
        <v>392.02644813559323</v>
      </c>
    </row>
    <row r="18" spans="1:21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Classic Store</v>
      </c>
      <c r="T18" s="301">
        <f>+'16'!P35</f>
        <v>392.02644813559323</v>
      </c>
    </row>
    <row r="19" spans="1:21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32930.149999999994</v>
      </c>
      <c r="R19" s="299">
        <v>17</v>
      </c>
      <c r="S19" s="300" t="str">
        <f>+'17'!A6:A6</f>
        <v>Hashim Store</v>
      </c>
      <c r="T19" s="301">
        <f>+'17'!P35</f>
        <v>784.05289627118646</v>
      </c>
    </row>
    <row r="20" spans="1:21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2983.0839999999998</v>
      </c>
      <c r="R20" s="299">
        <v>18</v>
      </c>
      <c r="S20" s="300" t="str">
        <f>+'18'!A6:A6</f>
        <v>Haji Store</v>
      </c>
      <c r="T20" s="301">
        <f>+'18'!P35</f>
        <v>784.05289627118646</v>
      </c>
    </row>
    <row r="21" spans="1:21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1152.5552500000001</v>
      </c>
      <c r="R21" s="299">
        <v>19</v>
      </c>
      <c r="S21" s="300" t="str">
        <f>+'19'!A6:A6</f>
        <v>Sohail Gs</v>
      </c>
      <c r="T21" s="301">
        <f>+'19'!P35</f>
        <v>784.05289627118646</v>
      </c>
    </row>
    <row r="22" spans="1:21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28794.510749999994</v>
      </c>
      <c r="R22" s="299">
        <v>20</v>
      </c>
      <c r="S22" s="300" t="str">
        <f>+'20'!A6:A6</f>
        <v>Al Madina Store</v>
      </c>
      <c r="T22" s="301">
        <v>11931</v>
      </c>
      <c r="U22" s="223"/>
    </row>
    <row r="23" spans="1:21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6223.7288135593226</v>
      </c>
      <c r="R23" s="299">
        <v>21</v>
      </c>
      <c r="S23" s="300" t="str">
        <f>+'21'!A6:A6</f>
        <v>Toqeer Store</v>
      </c>
      <c r="T23" s="301">
        <f>+'21'!P35</f>
        <v>2352.1586888135594</v>
      </c>
    </row>
    <row r="24" spans="1:21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35018.239563559313</v>
      </c>
      <c r="R24" s="299">
        <v>22</v>
      </c>
      <c r="S24" s="300" t="str">
        <f>+'22'!A6:A6</f>
        <v>Tanveer Store</v>
      </c>
      <c r="T24" s="301">
        <f>+'22'!P35</f>
        <v>3136.2115850847458</v>
      </c>
    </row>
    <row r="25" spans="1:21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175.09119781779663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1" ht="21.75" customHeight="1" thickBot="1" x14ac:dyDescent="0.4">
      <c r="N26" s="345" t="s">
        <v>88</v>
      </c>
      <c r="O26" s="346"/>
      <c r="P26" s="297">
        <f>+P24+P25</f>
        <v>35193.33076137711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1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1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1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1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1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1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34929.899781038141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9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118">
        <f>M16+N16+O16</f>
        <v>339.75773742584744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6</v>
      </c>
      <c r="I17" s="236">
        <f t="shared" ref="I17:I23" si="0">(G17*D17)*F17+H17*F17</f>
        <v>314.77499999999998</v>
      </c>
      <c r="J17" s="272">
        <f t="shared" ref="J17:L24" si="1">$I17*S17</f>
        <v>25.181999999999999</v>
      </c>
      <c r="K17" s="128">
        <f>$I17*T17</f>
        <v>11.017125</v>
      </c>
      <c r="L17" s="119">
        <f>$I17*U17</f>
        <v>0</v>
      </c>
      <c r="M17" s="230">
        <f t="shared" ref="M17:M24" si="2">I17-SUM(J17:L17)</f>
        <v>278.575875</v>
      </c>
      <c r="N17" s="277">
        <f t="shared" ref="N17:N24" si="3">+(G17*D17+H17)*V17</f>
        <v>59.491525423728788</v>
      </c>
      <c r="O17" s="239">
        <f t="shared" ref="O17:O24" si="4">(N17+M17)*$O$15</f>
        <v>1.6903370021186439</v>
      </c>
      <c r="P17" s="119">
        <f t="shared" ref="P17:P24" si="5">M17+N17+O17</f>
        <v>339.75773742584744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</v>
      </c>
      <c r="I18" s="236">
        <f t="shared" ref="I18:I21" si="7">(G18*D18)*F18+H18*F18</f>
        <v>419.7</v>
      </c>
      <c r="J18" s="272">
        <f t="shared" si="1"/>
        <v>33.576000000000001</v>
      </c>
      <c r="K18" s="128">
        <f t="shared" si="1"/>
        <v>14.689500000000001</v>
      </c>
      <c r="L18" s="119">
        <f t="shared" si="1"/>
        <v>0</v>
      </c>
      <c r="M18" s="230">
        <f t="shared" si="2"/>
        <v>371.43449999999996</v>
      </c>
      <c r="N18" s="277">
        <f t="shared" si="3"/>
        <v>79.322033898305051</v>
      </c>
      <c r="O18" s="239">
        <f t="shared" si="4"/>
        <v>2.2537826694915251</v>
      </c>
      <c r="P18" s="119">
        <f t="shared" si="5"/>
        <v>453.01031656779651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7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119">
        <f t="shared" si="5"/>
        <v>470.43173776271186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7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119">
        <f t="shared" si="5"/>
        <v>470.43173776271186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</v>
      </c>
      <c r="I21" s="236">
        <f t="shared" si="7"/>
        <v>581.12</v>
      </c>
      <c r="J21" s="272">
        <f t="shared" si="1"/>
        <v>46.489600000000003</v>
      </c>
      <c r="K21" s="128">
        <f t="shared" si="1"/>
        <v>20.339200000000002</v>
      </c>
      <c r="L21" s="119">
        <f t="shared" si="1"/>
        <v>0</v>
      </c>
      <c r="M21" s="230">
        <f t="shared" si="2"/>
        <v>514.2912</v>
      </c>
      <c r="N21" s="277">
        <f t="shared" si="3"/>
        <v>109.83050847457628</v>
      </c>
      <c r="O21" s="239">
        <f t="shared" si="4"/>
        <v>3.1206085423728815</v>
      </c>
      <c r="P21" s="119">
        <f t="shared" si="5"/>
        <v>627.24231701694919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40</v>
      </c>
      <c r="I25" s="114">
        <f t="shared" ref="I25:M25" si="10">SUM(I16:I24)</f>
        <v>2502.0500000000002</v>
      </c>
      <c r="J25" s="274">
        <f>SUM(J16:J24)</f>
        <v>200.16399999999999</v>
      </c>
      <c r="K25" s="275">
        <f t="shared" si="10"/>
        <v>87.571750000000009</v>
      </c>
      <c r="L25" s="276">
        <f t="shared" si="10"/>
        <v>0</v>
      </c>
      <c r="M25" s="232">
        <f t="shared" si="10"/>
        <v>2214.3142499999999</v>
      </c>
      <c r="N25" s="233">
        <f>SUM(N16:N24)</f>
        <v>472.88135593220329</v>
      </c>
      <c r="O25" s="101">
        <f>SUM(O16:O24)</f>
        <v>13.435978029661017</v>
      </c>
      <c r="P25" s="234">
        <f>SUM(P16:P24)</f>
        <v>2700.6315839618642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2502.0500000000002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200.16399999999999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87.571750000000009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2214.3142500000004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472.88135593220329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2687.1956059322038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13.435978029661019</v>
      </c>
    </row>
    <row r="35" spans="2:16" ht="15.75" customHeight="1" thickBot="1" x14ac:dyDescent="0.4">
      <c r="N35" s="345" t="s">
        <v>88</v>
      </c>
      <c r="O35" s="346"/>
      <c r="P35" s="297">
        <f>+P33+P34</f>
        <v>2700.6315839618646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15</v>
      </c>
      <c r="I16" s="235">
        <f>(G16*D16)*F16+H16*F16</f>
        <v>786.9375</v>
      </c>
      <c r="J16" s="271">
        <f>$I16*S16</f>
        <v>62.954999999999998</v>
      </c>
      <c r="K16" s="127">
        <f>$I16*T16</f>
        <v>27.542812500000004</v>
      </c>
      <c r="L16" s="118">
        <f>$I16*U16</f>
        <v>0</v>
      </c>
      <c r="M16" s="229">
        <f>I16-SUM(J16:L16)</f>
        <v>696.43968749999999</v>
      </c>
      <c r="N16" s="248">
        <f>+(G16*D16+H16)*V16</f>
        <v>148.72881355932196</v>
      </c>
      <c r="O16" s="238">
        <f>(N16+M16)*$O$15</f>
        <v>4.22584250529661</v>
      </c>
      <c r="P16" s="118">
        <f>M16+N16+O16</f>
        <v>849.39434356461845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15</v>
      </c>
      <c r="I18" s="236">
        <f t="shared" si="0"/>
        <v>786.9375</v>
      </c>
      <c r="J18" s="272">
        <f t="shared" si="1"/>
        <v>62.954999999999998</v>
      </c>
      <c r="K18" s="128">
        <f t="shared" si="1"/>
        <v>27.542812500000004</v>
      </c>
      <c r="L18" s="119">
        <f t="shared" si="1"/>
        <v>0</v>
      </c>
      <c r="M18" s="230">
        <f t="shared" si="2"/>
        <v>696.43968749999999</v>
      </c>
      <c r="N18" s="277">
        <f t="shared" si="3"/>
        <v>148.72881355932196</v>
      </c>
      <c r="O18" s="239">
        <f t="shared" si="4"/>
        <v>4.22584250529661</v>
      </c>
      <c r="P18" s="119">
        <f t="shared" si="5"/>
        <v>849.39434356461845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116.224</v>
      </c>
      <c r="K19" s="128">
        <f t="shared" si="1"/>
        <v>50.848000000000006</v>
      </c>
      <c r="L19" s="119">
        <f t="shared" si="1"/>
        <v>0</v>
      </c>
      <c r="M19" s="230">
        <f t="shared" si="2"/>
        <v>1285.7280000000001</v>
      </c>
      <c r="N19" s="277">
        <f t="shared" si="3"/>
        <v>274.57627118644069</v>
      </c>
      <c r="O19" s="239">
        <f t="shared" si="4"/>
        <v>7.8015213559322039</v>
      </c>
      <c r="P19" s="119">
        <f t="shared" si="5"/>
        <v>1568.1057925423729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116.224</v>
      </c>
      <c r="K20" s="128">
        <f t="shared" si="1"/>
        <v>50.848000000000006</v>
      </c>
      <c r="L20" s="119">
        <f t="shared" si="1"/>
        <v>0</v>
      </c>
      <c r="M20" s="230">
        <f t="shared" si="2"/>
        <v>1285.7280000000001</v>
      </c>
      <c r="N20" s="277">
        <f t="shared" si="3"/>
        <v>274.57627118644069</v>
      </c>
      <c r="O20" s="239">
        <f t="shared" si="4"/>
        <v>7.8015213559322039</v>
      </c>
      <c r="P20" s="119">
        <f t="shared" si="5"/>
        <v>1568.1057925423729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119">
        <f t="shared" si="5"/>
        <v>1568.1057925423729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100</v>
      </c>
      <c r="I25" s="114">
        <f t="shared" si="7"/>
        <v>6456.9000000000005</v>
      </c>
      <c r="J25" s="274">
        <f>SUM(J16:J24)</f>
        <v>516.55200000000002</v>
      </c>
      <c r="K25" s="275">
        <f t="shared" si="7"/>
        <v>225.99150000000006</v>
      </c>
      <c r="L25" s="276">
        <f t="shared" si="7"/>
        <v>0</v>
      </c>
      <c r="M25" s="232">
        <f t="shared" si="7"/>
        <v>5714.3564999999999</v>
      </c>
      <c r="N25" s="233">
        <f>SUM(N16:N24)</f>
        <v>1220.3389830508472</v>
      </c>
      <c r="O25" s="101">
        <f>SUM(O16:O24)</f>
        <v>34.673477415254233</v>
      </c>
      <c r="P25" s="234">
        <f>SUM(P16:P24)</f>
        <v>6969.3689604661013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6456.9000000000005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516.55200000000002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225.99150000000006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5714.3565000000008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1220.3389830508472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6934.6954830508475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34.67347741525424</v>
      </c>
    </row>
    <row r="35" spans="2:16" ht="15.75" customHeight="1" thickBot="1" x14ac:dyDescent="0.4">
      <c r="N35" s="345" t="s">
        <v>88</v>
      </c>
      <c r="O35" s="346"/>
      <c r="P35" s="297">
        <f>+P33+P34</f>
        <v>6969.3689604661022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8.7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5</v>
      </c>
      <c r="I20" s="236">
        <f t="shared" si="0"/>
        <v>363.2</v>
      </c>
      <c r="J20" s="272">
        <f t="shared" si="1"/>
        <v>29.056000000000001</v>
      </c>
      <c r="K20" s="128">
        <f t="shared" si="1"/>
        <v>12.712000000000002</v>
      </c>
      <c r="L20" s="119">
        <f t="shared" si="1"/>
        <v>0</v>
      </c>
      <c r="M20" s="230">
        <f t="shared" si="2"/>
        <v>321.43200000000002</v>
      </c>
      <c r="N20" s="277">
        <f t="shared" si="3"/>
        <v>68.644067796610173</v>
      </c>
      <c r="O20" s="239">
        <f t="shared" si="4"/>
        <v>1.950380338983051</v>
      </c>
      <c r="P20" s="119">
        <f t="shared" si="5"/>
        <v>392.02644813559323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5</v>
      </c>
      <c r="I20" s="236">
        <f t="shared" si="0"/>
        <v>363.2</v>
      </c>
      <c r="J20" s="272">
        <f t="shared" si="1"/>
        <v>29.056000000000001</v>
      </c>
      <c r="K20" s="128">
        <f t="shared" si="1"/>
        <v>12.712000000000002</v>
      </c>
      <c r="L20" s="119">
        <f t="shared" si="1"/>
        <v>0</v>
      </c>
      <c r="M20" s="230">
        <f t="shared" si="2"/>
        <v>321.43200000000002</v>
      </c>
      <c r="N20" s="277">
        <f t="shared" si="3"/>
        <v>68.644067796610173</v>
      </c>
      <c r="O20" s="239">
        <f t="shared" si="4"/>
        <v>1.950380338983051</v>
      </c>
      <c r="P20" s="119">
        <f t="shared" si="5"/>
        <v>392.02644813559323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119">
        <f t="shared" si="5"/>
        <v>392.02644813559323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119">
        <f t="shared" si="5"/>
        <v>392.02644813559323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5" customHeight="1" x14ac:dyDescent="0.4">
      <c r="A6" s="399" t="s">
        <v>526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5" customHeight="1" x14ac:dyDescent="0.4">
      <c r="A6" s="399" t="s">
        <v>527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119">
        <f t="shared" si="5"/>
        <v>392.02644813559323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5" customHeight="1" x14ac:dyDescent="0.4">
      <c r="A6" s="399" t="s">
        <v>528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119">
        <f t="shared" si="5"/>
        <v>392.02644813559323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5" customHeight="1" x14ac:dyDescent="0.4">
      <c r="A6" s="399" t="s">
        <v>529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119">
        <f t="shared" si="5"/>
        <v>392.02644813559323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5" customHeight="1" x14ac:dyDescent="0.4">
      <c r="A6" s="399" t="s">
        <v>530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5</v>
      </c>
      <c r="I20" s="236">
        <f t="shared" si="0"/>
        <v>363.2</v>
      </c>
      <c r="J20" s="272">
        <f t="shared" si="1"/>
        <v>29.056000000000001</v>
      </c>
      <c r="K20" s="128">
        <f t="shared" si="1"/>
        <v>12.712000000000002</v>
      </c>
      <c r="L20" s="119">
        <f t="shared" si="1"/>
        <v>0</v>
      </c>
      <c r="M20" s="230">
        <f t="shared" si="2"/>
        <v>321.43200000000002</v>
      </c>
      <c r="N20" s="277">
        <f t="shared" si="3"/>
        <v>68.644067796610173</v>
      </c>
      <c r="O20" s="239">
        <f t="shared" si="4"/>
        <v>1.950380338983051</v>
      </c>
      <c r="P20" s="119">
        <f t="shared" si="5"/>
        <v>392.02644813559323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5" customHeight="1" x14ac:dyDescent="0.4">
      <c r="A6" s="399" t="s">
        <v>531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5</v>
      </c>
      <c r="I20" s="236">
        <f t="shared" si="0"/>
        <v>363.2</v>
      </c>
      <c r="J20" s="272">
        <f t="shared" si="1"/>
        <v>29.056000000000001</v>
      </c>
      <c r="K20" s="128">
        <f t="shared" si="1"/>
        <v>12.712000000000002</v>
      </c>
      <c r="L20" s="119">
        <f t="shared" si="1"/>
        <v>0</v>
      </c>
      <c r="M20" s="230">
        <f t="shared" si="2"/>
        <v>321.43200000000002</v>
      </c>
      <c r="N20" s="277">
        <f t="shared" si="3"/>
        <v>68.644067796610173</v>
      </c>
      <c r="O20" s="239">
        <f t="shared" si="4"/>
        <v>1.950380338983051</v>
      </c>
      <c r="P20" s="119">
        <f t="shared" si="5"/>
        <v>392.02644813559323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5" customHeight="1" x14ac:dyDescent="0.4">
      <c r="A6" s="399" t="s">
        <v>532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5" customHeight="1" x14ac:dyDescent="0.4">
      <c r="A6" s="399" t="s">
        <v>533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5" customHeight="1" x14ac:dyDescent="0.4">
      <c r="A6" s="399" t="s">
        <v>534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16" workbookViewId="0">
      <selection activeCell="P25" sqref="P2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8.75" customHeight="1" x14ac:dyDescent="0.4">
      <c r="A6" s="399" t="s">
        <v>535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319.61599999999999</v>
      </c>
      <c r="K19" s="128">
        <f t="shared" si="1"/>
        <v>101.69600000000001</v>
      </c>
      <c r="L19" s="119">
        <f t="shared" si="1"/>
        <v>0</v>
      </c>
      <c r="M19" s="230">
        <f t="shared" si="2"/>
        <v>2484.288</v>
      </c>
      <c r="N19" s="277">
        <f t="shared" si="3"/>
        <v>549.15254237288138</v>
      </c>
      <c r="O19" s="239">
        <f t="shared" si="4"/>
        <v>15.167202711864407</v>
      </c>
      <c r="P19" s="119">
        <f t="shared" si="5"/>
        <v>3048.6077450847456</v>
      </c>
      <c r="Q19" s="319"/>
      <c r="S19" s="269">
        <f>+S18</f>
        <v>0.11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319.61599999999999</v>
      </c>
      <c r="K20" s="128">
        <f t="shared" si="1"/>
        <v>101.69600000000001</v>
      </c>
      <c r="L20" s="119">
        <f t="shared" si="1"/>
        <v>0</v>
      </c>
      <c r="M20" s="230">
        <f t="shared" si="2"/>
        <v>2484.288</v>
      </c>
      <c r="N20" s="277">
        <f t="shared" si="3"/>
        <v>549.15254237288138</v>
      </c>
      <c r="O20" s="239">
        <f t="shared" si="4"/>
        <v>15.167202711864407</v>
      </c>
      <c r="P20" s="119">
        <f t="shared" si="5"/>
        <v>3048.6077450847456</v>
      </c>
      <c r="Q20" s="319"/>
      <c r="S20" s="269">
        <f>+S19</f>
        <v>0.11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639.23199999999997</v>
      </c>
      <c r="K21" s="128">
        <f t="shared" si="1"/>
        <v>203.39200000000002</v>
      </c>
      <c r="L21" s="119">
        <f t="shared" si="1"/>
        <v>0</v>
      </c>
      <c r="M21" s="230">
        <f t="shared" si="2"/>
        <v>4968.576</v>
      </c>
      <c r="N21" s="277">
        <f t="shared" si="3"/>
        <v>1098.3050847457628</v>
      </c>
      <c r="O21" s="239">
        <f t="shared" si="4"/>
        <v>30.334405423728814</v>
      </c>
      <c r="P21" s="119">
        <f t="shared" si="5"/>
        <v>6097.2154901694912</v>
      </c>
      <c r="Q21" s="319"/>
      <c r="S21" s="269">
        <f>+S20</f>
        <v>0.11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160</v>
      </c>
      <c r="I25" s="114">
        <f t="shared" si="7"/>
        <v>11622.4</v>
      </c>
      <c r="J25" s="274">
        <f>SUM(J16:J24)</f>
        <v>1278.4639999999999</v>
      </c>
      <c r="K25" s="275">
        <f t="shared" si="7"/>
        <v>406.78400000000005</v>
      </c>
      <c r="L25" s="276">
        <f t="shared" si="7"/>
        <v>0</v>
      </c>
      <c r="M25" s="232">
        <f t="shared" si="7"/>
        <v>9937.152</v>
      </c>
      <c r="N25" s="233">
        <f>SUM(N16:N24)</f>
        <v>2196.6101694915255</v>
      </c>
      <c r="O25" s="101">
        <f>SUM(O16:O24)</f>
        <v>60.668810847457628</v>
      </c>
      <c r="P25" s="234">
        <f>SUM(P16:P24)</f>
        <v>12194.430980338982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11622.4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1278.4639999999999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406.78400000000005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9937.152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2196.6101694915255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12133.762169491525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60.668810847457628</v>
      </c>
    </row>
    <row r="35" spans="2:16" ht="15.75" customHeight="1" thickBot="1" x14ac:dyDescent="0.4">
      <c r="N35" s="415" t="s">
        <v>88</v>
      </c>
      <c r="O35" s="416"/>
      <c r="P35" s="417">
        <f>+P33+P34</f>
        <v>12194.430980338982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  <c r="N36" s="418" t="s">
        <v>536</v>
      </c>
      <c r="O36" s="256" t="s">
        <v>537</v>
      </c>
      <c r="P36" s="419">
        <v>263</v>
      </c>
    </row>
    <row r="37" spans="2:16" ht="15.75" customHeight="1" thickBot="1" x14ac:dyDescent="0.4">
      <c r="N37" s="420" t="s">
        <v>496</v>
      </c>
      <c r="O37" s="421"/>
      <c r="P37" s="422">
        <f>P35-P36</f>
        <v>11931.430980338982</v>
      </c>
    </row>
    <row r="38" spans="2:16" x14ac:dyDescent="0.35">
      <c r="L38">
        <v>0</v>
      </c>
    </row>
  </sheetData>
  <dataConsolidate/>
  <mergeCells count="49">
    <mergeCell ref="N37:O37"/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opLeftCell="A2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5" customHeight="1" x14ac:dyDescent="0.4">
      <c r="A6" s="399" t="s">
        <v>538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30</v>
      </c>
      <c r="I25" s="114">
        <f t="shared" si="7"/>
        <v>2179.1999999999998</v>
      </c>
      <c r="J25" s="274">
        <f>SUM(J16:J24)</f>
        <v>174.33600000000001</v>
      </c>
      <c r="K25" s="275">
        <f t="shared" si="7"/>
        <v>76.272000000000006</v>
      </c>
      <c r="L25" s="276">
        <f t="shared" si="7"/>
        <v>0</v>
      </c>
      <c r="M25" s="232">
        <f t="shared" si="7"/>
        <v>1928.5920000000001</v>
      </c>
      <c r="N25" s="233">
        <f>SUM(N16:N24)</f>
        <v>411.86440677966107</v>
      </c>
      <c r="O25" s="101">
        <f>SUM(O16:O24)</f>
        <v>11.702282033898307</v>
      </c>
      <c r="P25" s="234">
        <f>SUM(P16:P24)</f>
        <v>2352.1586888135594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2179.1999999999998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174.33600000000001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76.272000000000006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1928.5919999999999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411.86440677966107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2340.4564067796609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11.702282033898305</v>
      </c>
    </row>
    <row r="35" spans="2:16" ht="15.75" customHeight="1" thickBot="1" x14ac:dyDescent="0.4">
      <c r="N35" s="345" t="s">
        <v>88</v>
      </c>
      <c r="O35" s="346"/>
      <c r="P35" s="297">
        <f>+P33+P34</f>
        <v>2352.1586888135594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5" customHeight="1" x14ac:dyDescent="0.4">
      <c r="A6" s="399" t="s">
        <v>539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232.44799999999998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46315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46314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46316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46315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2026-10-20T05:32:15Z</dcterms:modified>
</cp:coreProperties>
</file>