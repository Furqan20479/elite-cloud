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BD66457C-F10C-493A-B267-7765D158EE72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0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2" l="1"/>
  <c r="N4" i="44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<sst xmlns="http://schemas.openxmlformats.org/spreadsheetml/2006/main" count="3948" uniqueCount="526">
  <si>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</si>
  <si>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</si>
  <si>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</si>
  <si>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</si>
  <si>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</si>
  <si>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</si>
  <si>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</si>
  <si>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</si>
  <si>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</si>
  <si>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</si>
  <si>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</si>
  <si>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</si>
  <si>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</si>
  <si>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</si>
  <si>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</si>
  <si>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</si>
  <si>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</si>
  <si>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</si>
  <si>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</si>
  <si>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</si>
  <si>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</si>
  <si>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</si>
  <si>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</si>
  <si>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</si>
  <si>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</si>
  <si>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</si>
  <si>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</si>
  <si>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</si>
  <si>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</si>
  <si>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</si>
  <si>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</si>
  <si>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</si>
  <si>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</si>
  <si>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</si>
  <si>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</si>
  <si>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</si>
  <si>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</si>
  <si>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</si>
  <si>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</si>
  <si>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</si>
  <si>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</si>
  <si>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</si>
  <si>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</si>
  <si>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</si>
  <si>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</si>
  <si>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</si>
  <si>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</si>
  <si>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</si>
  <si>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</si>
  <si>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</si>
  <si>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</si>
  <si>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</si>
  <si>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</si>
  <si>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</si>
  <si>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</si>
  <si>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</si>
  <si>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</si>
  <si>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</si>
  <si>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</si>
  <si>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</si>
  <si>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</si>
  <si>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</si>
  <si>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</si>
  <si>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</si>
  <si>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</si>
  <si>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</si>
  <si>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</si>
  <si>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</si>
  <si>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</si>
  <si>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</si>
  <si>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</si>
  <si>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</si>
  <si>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</si>
  <si>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</si>
  <si>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</si>
  <si>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</si>
  <si>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</si>
  <si>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</si>
  <si>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</si>
  <si>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</si>
  <si>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</si>
  <si>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</si>
  <si>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</si>
  <si>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</si>
  <si>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</si>
  <si>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</si>
  <si>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</si>
  <si>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</si>
  <si>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</si>
  <si>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</si>
  <si>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</si>
  <si>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</si>
  <si>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</si>
  <si>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</si>
  <si>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</si>
  <si>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</si>
  <si>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</si>
  <si>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</si>
  <si>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</si>
  <si>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</si>
  <si>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</si>
  <si>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</si>
  <si>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</si>
  <si>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</si>
  <si>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</si>
  <si>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</si>
  <si>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</si>
  <si>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</si>
  <si>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</si>
  <si>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</si>
  <si>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</si>
  <si>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</si>
  <si>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</si>
  <si>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</si>
  <si>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</si>
  <si>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</si>
  <si>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</si>
  <si>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</si>
  <si>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</si>
  <si>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</si>
  <si>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</si>
  <si>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</si>
  <si>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</si>
  <si>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</si>
  <si>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</si>
  <si>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</si>
  <si>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</si>
  <si>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</si>
  <si>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</si>
  <si>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</si>
  <si>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</si>
  <si>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</si>
  <si>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</si>
  <si>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</si>
  <si>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</si>
  <si>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</si>
  <si>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</si>
  <si>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</si>
  <si>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</si>
  <si>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</si>
  <si>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</si>
  <si>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</si>
  <si>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</si>
  <si>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</si>
  <si>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</si>
  <si>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</si>
  <si>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</si>
  <si>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</si>
  <si>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</si>
  <si>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</si>
  <si>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</si>
  <si>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</si>
  <si>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</si>
  <si>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</si>
  <si>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</si>
  <si>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</si>
  <si>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</si>
  <si>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</si>
  <si>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</si>
  <si>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</si>
  <si>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</si>
  <si>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</si>
  <si>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</si>
  <si>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</si>
  <si>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</si>
  <si>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</si>
  <si>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</si>
  <si>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</si>
  <si>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</si>
  <si>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</si>
  <si>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</si>
  <si>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</si>
  <si>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</si>
  <si>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</si>
  <si>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</si>
  <si>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</si>
  <si>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</si>
  <si>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</si>
  <si>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</si>
  <si>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</si>
  <si>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</si>
  <si>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</si>
  <si>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</si>
  <si>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</si>
  <si>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</si>
  <si>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</si>
  <si>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</si>
  <si>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</si>
  <si>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</si>
  <si>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</si>
  <si>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</si>
  <si>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</si>
  <si>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</si>
  <si>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</si>
  <si>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</si>
  <si>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</si>
  <si>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</si>
  <si>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</si>
  <si>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</si>
  <si>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</si>
  <si>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</si>
  <si>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</si>
  <si>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</si>
  <si>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</si>
  <si>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</si>
  <si>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</si>
  <si>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</si>
  <si>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</si>
  <si>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</si>
  <si>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</si>
  <si>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</si>
  <si>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</si>
  <si>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</si>
  <si>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</si>
  <si>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</si>
  <si>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</si>
  <si>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</si>
  <si>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</si>
  <si>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</si>
  <si>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</si>
  <si>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</si>
  <si>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</si>
  <si>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</si>
  <si>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</si>
  <si>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</si>
  <si>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</si>
  <si>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</si>
  <si>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</si>
  <si>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</si>
  <si>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</si>
  <si>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</si>
  <si>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</si>
  <si>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</si>
  <si>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</si>
  <si>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</si>
  <si>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</si>
  <si>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</si>
  <si>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</si>
  <si>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</si>
  <si>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</si>
  <si>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</si>
  <si>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</si>
  <si>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</si>
  <si>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</si>
  <si>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</si>
  <si>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</si>
  <si>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</si>
  <si>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</si>
  <si>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</si>
  <si>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</si>
  <si>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</si>
  <si>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</si>
  <si>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</si>
  <si>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</si>
  <si>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</si>
  <si>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</si>
  <si>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</si>
  <si>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</si>
  <si>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</si>
  <si>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</si>
  <si>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</si>
  <si>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</si>
  <si>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</si>
  <si>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</si>
  <si>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</si>
  <si>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</si>
  <si>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</si>
  <si>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</si>
  <si>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</si>
  <si>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</si>
  <si>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</si>
  <si>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</si>
  <si>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</si>
  <si>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</si>
  <si>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</si>
  <si>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</si>
  <si>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</si>
  <si>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</si>
  <si>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</si>
  <si>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</si>
  <si>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</si>
  <si>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</si>
  <si>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</si>
  <si>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</si>
  <si>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</si>
  <si>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</si>
  <si>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</si>
  <si>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</si>
  <si>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</si>
  <si>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</si>
  <si>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</si>
  <si>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</si>
  <si>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</si>
  <si>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</si>
  <si>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</si>
  <si>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</si>
  <si>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</si>
  <si>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</si>
  <si>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</si>
  <si>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</si>
  <si>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</si>
  <si>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</si>
  <si>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</si>
  <si>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</si>
  <si>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</si>
  <si>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</si>
  <si>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</si>
  <si>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</si>
  <si>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</si>
  <si>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</si>
  <si>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</si>
  <si>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</si>
  <si>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</si>
  <si>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</si>
  <si>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</si>
  <si>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</si>
  <si>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</si>
  <si>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</si>
  <si>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</si>
  <si>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</si>
  <si>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</si>
  <si>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</si>
  <si>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</si>
  <si>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</si>
  <si>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</si>
  <si>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</si>
  <si>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</si>
  <si>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</si>
  <si>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</si>
  <si>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</si>
  <si>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</si>
  <si>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</si>
  <si>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</si>
  <si>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</si>
  <si>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</si>
  <si>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</si>
  <si>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</si>
  <si>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</si>
  <si>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</si>
  <si>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</si>
  <si>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</si>
  <si>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</si>
  <si>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</si>
  <si>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</si>
  <si>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</si>
  <si>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</si>
  <si>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</si>
  <si>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</si>
  <si>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</si>
  <si>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</si>
  <si>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</si>
  <si>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</si>
  <si>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</si>
  <si>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</si>
  <si>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</si>
  <si>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</si>
  <si>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</si>
  <si>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</si>
  <si>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</si>
  <si>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</si>
  <si>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</si>
  <si>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</si>
  <si>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</si>
  <si>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</si>
  <si>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</si>
  <si>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</si>
  <si>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</si>
  <si>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</si>
  <si>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</si>
  <si>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</si>
  <si>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</si>
  <si>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</si>
  <si>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</si>
  <si>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</si>
  <si>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</si>
  <si>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</si>
  <si>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</si>
  <si>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</si>
  <si>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</si>
  <si>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</si>
  <si>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</si>
  <si>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</si>
  <si>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</si>
  <si>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</si>
  <si>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</si>
  <si>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</si>
  <si>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</si>
  <si>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</si>
  <si>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</si>
  <si>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</si>
  <si>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</si>
  <si>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</si>
  <si>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</si>
  <si>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</si>
  <si>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</si>
  <si>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</si>
  <si>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</si>
  <si>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</si>
  <si>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</si>
  <si>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</si>
  <si>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</si>
  <si>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</si>
  <si>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</si>
  <si>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</si>
  <si>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</si>
  <si>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</si>
  <si>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</si>
  <si>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</si>
  <si>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</si>
  <si>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</si>
  <si>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</si>
  <si>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</si>
  <si>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</si>
  <si>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</si>
  <si>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</si>
  <si>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</si>
  <si>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</si>
  <si>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</si>
  <si>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</si>
  <si>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</si>
  <si>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</si>
  <si>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</si>
  <si>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</si>
  <si>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</si>
  <si>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</si>
  <si>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</si>
  <si>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</si>
  <si>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</si>
  <si>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</si>
  <si>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</si>
  <si>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</si>
  <si>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</si>
  <si>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</si>
  <si>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</si>
  <si>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</si>
  <si>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</si>
  <si>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</si>
  <si>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</si>
  <si>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</si>
  <si>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</si>
  <si>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</si>
  <si>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</si>
  <si>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</si>
  <si>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</si>
  <si>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</si>
  <si>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</si>
  <si>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</si>
  <si>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</si>
  <si>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</si>
  <si>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</si>
  <si>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</si>
  <si>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</si>
  <si>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</si>
  <si>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</si>
  <si>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</si>
  <si>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</si>
  <si>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</si>
  <si>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</si>
  <si>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</si>
  <si>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</si>
  <si>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</si>
  <si>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</si>
  <si>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</si>
  <si>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</si>
  <si>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</si>
  <si>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</si>
  <si>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</si>
  <si>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</si>
  <si>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</si>
  <si>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</si>
  <si>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</si>
  <si>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</si>
  <si>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</si>
  <si>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</si>
  <si>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</si>
  <si>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</si>
  <si>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</si>
  <si>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</si>
  <si>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</si>
  <si>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</si>
  <si>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</si>
  <si>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</si>
  <si>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</si>
  <si>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</si>
  <si>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</si>
  <si>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</si>
  <si>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</si>
  <si>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</si>
  <si>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</si>
  <si>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</si>
  <si>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</si>
  <si>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</si>
  <si>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</si>
  <si>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</si>
  <si>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</si>
  <si>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</si>
  <si>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</si>
  <si>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</si>
  <si>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</si>
  <si>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</si>
  <si>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</si>
  <si>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</si>
  <si>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</si>
  <si>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</si>
  <si>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</si>
  <si>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</si>
  <si>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</si>
  <si>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</si>
  <si>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</si>
  <si>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</si>
  <si>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</si>
  <si>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</si>
  <si>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</si>
  <si>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</si>
  <si>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Zeshan</t>
  </si>
  <si>
    <t>Address: DHA</t>
  </si>
  <si>
    <t>Allys Store</t>
  </si>
  <si>
    <t xml:space="preserve">Kashmir Bakers </t>
  </si>
  <si>
    <t>Address: Peer Colony</t>
  </si>
  <si>
    <t>MS store</t>
  </si>
  <si>
    <t>Trust Store</t>
  </si>
  <si>
    <t>Mahraja Store</t>
  </si>
  <si>
    <t>Qadir Store</t>
  </si>
  <si>
    <t>Abdullah Store</t>
  </si>
  <si>
    <t>Defence Store</t>
  </si>
  <si>
    <t xml:space="preserve">Bravo Mart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</si>
</sst>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H7" sqref="H7:H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514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46296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Allys Store</v>
      </c>
      <c r="T3" s="301">
        <f>+'1'!P35</f>
        <v>1568.1057925423729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Kashmir Bakers </v>
      </c>
      <c r="T4" s="301">
        <f>+'2'!P35</f>
        <v>13938.737920932204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MS store</v>
      </c>
      <c r="T5" s="301">
        <f>+'3'!P35</f>
        <v>784.05289627118646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Trust Store</v>
      </c>
      <c r="T6" s="301">
        <f>+'4'!P35</f>
        <v>784.05289627118646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10</v>
      </c>
      <c r="R7" s="313">
        <v>5</v>
      </c>
      <c r="S7" s="300" t="str">
        <f>+'5'!A6:A6</f>
        <v>Mahraja Store</v>
      </c>
      <c r="T7" s="301">
        <f>+'5'!P35</f>
        <v>784.05289627118646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10</v>
      </c>
      <c r="R8" s="313">
        <v>6</v>
      </c>
      <c r="S8" s="300" t="str">
        <f>+'6'!A6:A6</f>
        <v>Qadir Store</v>
      </c>
      <c r="T8" s="301">
        <f>+'6'!P35</f>
        <v>784.05289627118646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80</v>
      </c>
      <c r="I9" s="236">
        <f t="shared" si="0"/>
        <v>4197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335.76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146.89500000000001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3714.3450000000003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793.22033898305051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22.537826694915253</v>
      </c>
      <c r="P9" s="311">
        <f t="shared" si="2"/>
        <v>4530.103165677966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20</v>
      </c>
      <c r="R9" s="313">
        <v>7</v>
      </c>
      <c r="S9" s="300" t="str">
        <f>+'7'!A6:A6</f>
        <v>Abdullah Store</v>
      </c>
      <c r="T9" s="301">
        <f>+'7'!P35</f>
        <v>1568.1057925423729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50</v>
      </c>
      <c r="I10" s="236">
        <f t="shared" si="0"/>
        <v>3632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290.56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127.12000000000002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3214.32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686.4406779661017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19.503803389830509</v>
      </c>
      <c r="P10" s="311">
        <f t="shared" si="2"/>
        <v>3920.2644813559323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Defence Store</v>
      </c>
      <c r="T10" s="301">
        <f>+'8'!P35</f>
        <v>1568.1057925423729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 xml:space="preserve">Bravo Mart 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170</v>
      </c>
      <c r="I12" s="236">
        <f t="shared" si="0"/>
        <v>12348.8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987.904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432.20800000000003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10928.687999999998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2333.8983050847464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66.31293152542375</v>
      </c>
      <c r="P12" s="311">
        <f t="shared" si="2"/>
        <v>13328.899236610168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7.5</v>
      </c>
      <c r="H16" s="113">
        <f t="shared" ref="H16:M16" si="3">SUM(H7:H15)</f>
        <v>300</v>
      </c>
      <c r="I16" s="114">
        <f t="shared" si="3"/>
        <v>20177.8</v>
      </c>
      <c r="J16" s="274">
        <f>SUM(J7:J15)</f>
        <v>1614.2239999999999</v>
      </c>
      <c r="K16" s="275">
        <f t="shared" si="3"/>
        <v>706.22300000000007</v>
      </c>
      <c r="L16" s="276">
        <f t="shared" si="3"/>
        <v>0</v>
      </c>
      <c r="M16" s="232">
        <f t="shared" si="3"/>
        <v>17857.352999999999</v>
      </c>
      <c r="N16" s="233">
        <f>SUM(N7:N15)</f>
        <v>3813.5593220338988</v>
      </c>
      <c r="O16" s="101">
        <f>SUM(O7:O15)</f>
        <v>108.35456161016951</v>
      </c>
      <c r="P16" s="113">
        <f>SUM(P7:P15)</f>
        <v>21779.266883644064</v>
      </c>
      <c r="Q16" s="128">
        <f>SUM(Q7:Q15)</f>
        <v>40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20177.8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1614.2239999999999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706.22300000000007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17857.352999999999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3813.5593220338988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21670.912322033899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108.35456161016951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21779.266883644068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21779.266883644072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9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1.4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7.2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7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7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20</v>
      </c>
      <c r="I25" s="114">
        <f t="shared" ref="I25:M25" si="10">SUM(I16:I24)</f>
        <v>1452.8</v>
      </c>
      <c r="J25" s="274">
        <f>SUM(J16:J24)</f>
        <v>116.224</v>
      </c>
      <c r="K25" s="275">
        <f t="shared" si="10"/>
        <v>50.848000000000006</v>
      </c>
      <c r="L25" s="276">
        <f t="shared" si="10"/>
        <v>0</v>
      </c>
      <c r="M25" s="232">
        <f t="shared" si="10"/>
        <v>1285.7280000000001</v>
      </c>
      <c r="N25" s="233">
        <f>SUM(N16:N24)</f>
        <v>274.57627118644069</v>
      </c>
      <c r="O25" s="101">
        <f>SUM(O16:O24)</f>
        <v>7.8015213559322039</v>
      </c>
      <c r="P25" s="234">
        <f>SUM(P16:P24)</f>
        <v>1568.1057925423729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1452.8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116.224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50.848000000000006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1285.7280000000001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1560.3042711864407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74" t="s">
        <v>88</v>
      </c>
      <c r="O35" s="375"/>
      <c r="P35" s="297">
        <f>+P33+P34</f>
        <v>1568.1057925423729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1.4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518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80</v>
      </c>
      <c r="I18" s="236">
        <f t="shared" si="0"/>
        <v>4197</v>
      </c>
      <c r="J18" s="272">
        <f t="shared" si="1"/>
        <v>335.76</v>
      </c>
      <c r="K18" s="128">
        <f t="shared" si="1"/>
        <v>146.89500000000001</v>
      </c>
      <c r="L18" s="119">
        <f t="shared" si="1"/>
        <v>0</v>
      </c>
      <c r="M18" s="230">
        <f t="shared" si="2"/>
        <v>3714.3450000000003</v>
      </c>
      <c r="N18" s="277">
        <f t="shared" si="3"/>
        <v>793.22033898305051</v>
      </c>
      <c r="O18" s="239">
        <f t="shared" si="4"/>
        <v>22.537826694915253</v>
      </c>
      <c r="P18" s="119">
        <f t="shared" si="5"/>
        <v>4530.103165677966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0"/>
        <v>5811.2</v>
      </c>
      <c r="J21" s="272">
        <f t="shared" si="1"/>
        <v>464.89600000000002</v>
      </c>
      <c r="K21" s="128">
        <f t="shared" si="1"/>
        <v>203.39200000000002</v>
      </c>
      <c r="L21" s="119">
        <f t="shared" si="1"/>
        <v>0</v>
      </c>
      <c r="M21" s="230">
        <f t="shared" si="2"/>
        <v>5142.9120000000003</v>
      </c>
      <c r="N21" s="277">
        <f t="shared" si="3"/>
        <v>1098.3050847457628</v>
      </c>
      <c r="O21" s="239">
        <f t="shared" si="4"/>
        <v>31.206085423728815</v>
      </c>
      <c r="P21" s="119">
        <f t="shared" si="5"/>
        <v>6272.4231701694916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200</v>
      </c>
      <c r="I25" s="114">
        <f t="shared" si="7"/>
        <v>12913.8</v>
      </c>
      <c r="J25" s="274">
        <f>SUM(J16:J24)</f>
        <v>1033.104</v>
      </c>
      <c r="K25" s="275">
        <f t="shared" si="7"/>
        <v>451.98300000000006</v>
      </c>
      <c r="L25" s="276">
        <f t="shared" si="7"/>
        <v>0</v>
      </c>
      <c r="M25" s="232">
        <f t="shared" si="7"/>
        <v>11428.713</v>
      </c>
      <c r="N25" s="233">
        <f>SUM(N16:N24)</f>
        <v>2440.6779661016944</v>
      </c>
      <c r="O25" s="101">
        <f>SUM(O16:O24)</f>
        <v>69.34695483050848</v>
      </c>
      <c r="P25" s="234">
        <f>SUM(P16:P24)</f>
        <v>13938.737920932203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12913.8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1033.104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451.98300000000006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11428.713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2440.6779661016944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13869.390966101695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69.34695483050848</v>
      </c>
    </row>
    <row r="35" spans="2:16" ht="15.75" customHeight="1" thickBot="1" x14ac:dyDescent="0.4">
      <c r="N35" s="374" t="s">
        <v>88</v>
      </c>
      <c r="O35" s="375"/>
      <c r="P35" s="297">
        <f>+P33+P34</f>
        <v>13938.737920932204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1.4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8.7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1.4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1.4531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1.4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1.4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523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116.224</v>
      </c>
      <c r="K25" s="275">
        <f t="shared" si="7"/>
        <v>50.848000000000006</v>
      </c>
      <c r="L25" s="276">
        <f t="shared" si="7"/>
        <v>0</v>
      </c>
      <c r="M25" s="232">
        <f t="shared" si="7"/>
        <v>1285.7280000000001</v>
      </c>
      <c r="N25" s="233">
        <f>SUM(N16:N24)</f>
        <v>274.57627118644069</v>
      </c>
      <c r="O25" s="101">
        <f>SUM(O16:O24)</f>
        <v>7.8015213559322039</v>
      </c>
      <c r="P25" s="234">
        <f>SUM(P16:P24)</f>
        <v>1568.1057925423729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1452.8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116.224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50.848000000000006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1285.7280000000001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1560.3042711864407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74" t="s">
        <v>88</v>
      </c>
      <c r="O35" s="375"/>
      <c r="P35" s="297">
        <f>+P33+P34</f>
        <v>1568.1057925423729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1.4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524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116.224</v>
      </c>
      <c r="K25" s="275">
        <f t="shared" si="7"/>
        <v>50.848000000000006</v>
      </c>
      <c r="L25" s="276">
        <f t="shared" si="7"/>
        <v>0</v>
      </c>
      <c r="M25" s="232">
        <f t="shared" si="7"/>
        <v>1285.7280000000001</v>
      </c>
      <c r="N25" s="233">
        <f>SUM(N16:N24)</f>
        <v>274.57627118644069</v>
      </c>
      <c r="O25" s="101">
        <f>SUM(O16:O24)</f>
        <v>7.8015213559322039</v>
      </c>
      <c r="P25" s="234">
        <f>SUM(P16:P24)</f>
        <v>1568.1057925423729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1452.8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116.224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50.848000000000006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1285.7280000000001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1560.3042711864407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74" t="s">
        <v>88</v>
      </c>
      <c r="O35" s="375"/>
      <c r="P35" s="297">
        <f>+P33+P34</f>
        <v>1568.1057925423729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4" workbookViewId="0">
      <selection activeCell="H16" sqref="H16:H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1.4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525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>
        <v>10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>
        <v>10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>
        <v>20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46297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46296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2026-10-01T09:50:45Z</dcterms:modified>
</cp:coreProperties>
</file>