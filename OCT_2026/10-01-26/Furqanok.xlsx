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9235BFE4-EE6A-4D50-8E28-B7FF56D66E74}" xr6:coauthVersionLast="47" xr6:coauthVersionMax="47" xr10:uidLastSave="{00000000-0000-0000-0000-000000000000}"/>
  <bookViews>
    <workbookView xWindow="-110" yWindow="-110" windowWidth="19420" windowHeight="10420" tabRatio="948" firstSheet="3" activeTab="7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0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52" l="1"/>
  <c r="N4" i="44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K12" i="62" l="1"/>
  <c r="M21" i="44"/>
  <c r="O21" i="44" s="1"/>
  <c r="P21" i="44" s="1"/>
  <c r="M20" i="46"/>
  <c r="O20" i="46" s="1"/>
  <c r="P20" i="46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<sst xmlns="http://schemas.openxmlformats.org/spreadsheetml/2006/main" count="3948" uniqueCount="519">
  <si>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</si>
  <si>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</si>
  <si>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</si>
  <si>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</si>
  <si>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</si>
  <si>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</si>
  <si>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</si>
  <si>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</si>
  <si>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</si>
  <si>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</si>
  <si>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</si>
  <si>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</si>
  <si>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</si>
  <si>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</si>
  <si>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</si>
  <si>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</si>
  <si>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</si>
  <si>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</si>
  <si>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</si>
  <si>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</si>
  <si>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</si>
  <si>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</si>
  <si>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</si>
  <si>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</si>
  <si>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</si>
  <si>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</si>
  <si>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</si>
  <si>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</si>
  <si>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</si>
  <si>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</si>
  <si>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</si>
  <si>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</si>
  <si>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</si>
  <si>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</si>
  <si>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</si>
  <si>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</si>
  <si>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</si>
  <si>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</si>
  <si>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</si>
  <si>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</si>
  <si>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</si>
  <si>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</si>
  <si>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</si>
  <si>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</si>
  <si>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</si>
  <si>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</si>
  <si>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</si>
  <si>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</si>
  <si>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</si>
  <si>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</si>
  <si>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</si>
  <si>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</si>
  <si>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</si>
  <si>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</si>
  <si>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</si>
  <si>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</si>
  <si>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</si>
  <si>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</si>
  <si>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</si>
  <si>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</si>
  <si>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</si>
  <si>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</si>
  <si>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</si>
  <si>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</si>
  <si>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</si>
  <si>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</si>
  <si>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</si>
  <si>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</si>
  <si>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</si>
  <si>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</si>
  <si>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</si>
  <si>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</si>
  <si>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</si>
  <si>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</si>
  <si>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</si>
  <si>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</si>
  <si>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</si>
  <si>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</si>
  <si>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</si>
  <si>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</si>
  <si>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</si>
  <si>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</si>
  <si>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</si>
  <si>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</si>
  <si>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</si>
  <si>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</si>
  <si>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</si>
  <si>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</si>
  <si>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</si>
  <si>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</si>
  <si>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</si>
  <si>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</si>
  <si>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</si>
  <si>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</si>
  <si>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</si>
  <si>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</si>
  <si>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</si>
  <si>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</si>
  <si>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</si>
  <si>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</si>
  <si>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</si>
  <si>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</si>
  <si>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</si>
  <si>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</si>
  <si>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</si>
  <si>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</si>
  <si>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</si>
  <si>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</si>
  <si>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</si>
  <si>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</si>
  <si>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</si>
  <si>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</si>
  <si>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</si>
  <si>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</si>
  <si>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</si>
  <si>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</si>
  <si>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</si>
  <si>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</si>
  <si>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</si>
  <si>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</si>
  <si>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</si>
  <si>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</si>
  <si>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</si>
  <si>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</si>
  <si>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</si>
  <si>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</si>
  <si>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</si>
  <si>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</si>
  <si>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</si>
  <si>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</si>
  <si>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</si>
  <si>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</si>
  <si>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</si>
  <si>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</si>
  <si>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</si>
  <si>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</si>
  <si>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</si>
  <si>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</si>
  <si>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</si>
  <si>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</si>
  <si>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</si>
  <si>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</si>
  <si>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</si>
  <si>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</si>
  <si>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</si>
  <si>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</si>
  <si>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</si>
  <si>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</si>
  <si>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</si>
  <si>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</si>
  <si>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</si>
  <si>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</si>
  <si>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</si>
  <si>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</si>
  <si>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</si>
  <si>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</si>
  <si>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</si>
  <si>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</si>
  <si>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</si>
  <si>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</si>
  <si>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</si>
  <si>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</si>
  <si>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</si>
  <si>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</si>
  <si>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</si>
  <si>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</si>
  <si>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</si>
  <si>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</si>
  <si>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</si>
  <si>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</si>
  <si>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</si>
  <si>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</si>
  <si>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</si>
  <si>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</si>
  <si>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</si>
  <si>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</si>
  <si>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</si>
  <si>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</si>
  <si>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</si>
  <si>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</si>
  <si>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</si>
  <si>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</si>
  <si>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</si>
  <si>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</si>
  <si>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</si>
  <si>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</si>
  <si>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</si>
  <si>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</si>
  <si>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</si>
  <si>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</si>
  <si>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</si>
  <si>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</si>
  <si>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</si>
  <si>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</si>
  <si>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</si>
  <si>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</si>
  <si>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</si>
  <si>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</si>
  <si>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</si>
  <si>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</si>
  <si>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</si>
  <si>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</si>
  <si>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</si>
  <si>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</si>
  <si>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</si>
  <si>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</si>
  <si>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</si>
  <si>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</si>
  <si>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</si>
  <si>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</si>
  <si>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</si>
  <si>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</si>
  <si>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</si>
  <si>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</si>
  <si>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</si>
  <si>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</si>
  <si>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</si>
  <si>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</si>
  <si>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</si>
  <si>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</si>
  <si>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</si>
  <si>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</si>
  <si>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</si>
  <si>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</si>
  <si>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</si>
  <si>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</si>
  <si>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</si>
  <si>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</si>
  <si>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</si>
  <si>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</si>
  <si>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</si>
  <si>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</si>
  <si>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</si>
  <si>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</si>
  <si>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</si>
  <si>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</si>
  <si>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</si>
  <si>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</si>
  <si>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</si>
  <si>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</si>
  <si>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</si>
  <si>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</si>
  <si>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</si>
  <si>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</si>
  <si>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</si>
  <si>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</si>
  <si>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</si>
  <si>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</si>
  <si>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</si>
  <si>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</si>
  <si>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</si>
  <si>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</si>
  <si>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</si>
  <si>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</si>
  <si>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</si>
  <si>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</si>
  <si>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</si>
  <si>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</si>
  <si>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</si>
  <si>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</si>
  <si>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</si>
  <si>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</si>
  <si>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</si>
  <si>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</si>
  <si>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</si>
  <si>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</si>
  <si>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</si>
  <si>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</si>
  <si>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</si>
  <si>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</si>
  <si>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</si>
  <si>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</si>
  <si>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</si>
  <si>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</si>
  <si>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</si>
  <si>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</si>
  <si>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</si>
  <si>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</si>
  <si>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</si>
  <si>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</si>
  <si>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</si>
  <si>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</si>
  <si>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</si>
  <si>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</si>
  <si>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</si>
  <si>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</si>
  <si>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</si>
  <si>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</si>
  <si>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</si>
  <si>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</si>
  <si>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</si>
  <si>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</si>
  <si>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</si>
  <si>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</si>
  <si>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</si>
  <si>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</si>
  <si>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</si>
  <si>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</si>
  <si>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</si>
  <si>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</si>
  <si>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</si>
  <si>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</si>
  <si>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</si>
  <si>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</si>
  <si>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</si>
  <si>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</si>
  <si>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</si>
  <si>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</si>
  <si>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</si>
  <si>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</si>
  <si>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</si>
  <si>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</si>
  <si>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</si>
  <si>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</si>
  <si>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</si>
  <si>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</si>
  <si>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</si>
  <si>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</si>
  <si>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</si>
  <si>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</si>
  <si>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</si>
  <si>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</si>
  <si>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</si>
  <si>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</si>
  <si>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</si>
  <si>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</si>
  <si>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</si>
  <si>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</si>
  <si>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</si>
  <si>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</si>
  <si>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</si>
  <si>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</si>
  <si>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</si>
  <si>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</si>
  <si>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</si>
  <si>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</si>
  <si>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</si>
  <si>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</si>
  <si>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</si>
  <si>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</si>
  <si>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</si>
  <si>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</si>
  <si>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</si>
  <si>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</si>
  <si>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</si>
  <si>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</si>
  <si>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</si>
  <si>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</si>
  <si>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</si>
  <si>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</si>
  <si>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</si>
  <si>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</si>
  <si>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</si>
  <si>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</si>
  <si>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</si>
  <si>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</si>
  <si>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</si>
  <si>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</si>
  <si>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</si>
  <si>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</si>
  <si>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</si>
  <si>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</si>
  <si>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</si>
  <si>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</si>
  <si>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</si>
  <si>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</si>
  <si>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</si>
  <si>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</si>
  <si>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</si>
  <si>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</si>
  <si>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</si>
  <si>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</si>
  <si>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</si>
  <si>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</si>
  <si>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</si>
  <si>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</si>
  <si>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</si>
  <si>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</si>
  <si>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</si>
  <si>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</si>
  <si>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</si>
  <si>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</si>
  <si>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</si>
  <si>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</si>
  <si>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</si>
  <si>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</si>
  <si>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</si>
  <si>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</si>
  <si>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</si>
  <si>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</si>
  <si>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</si>
  <si>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</si>
  <si>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</si>
  <si>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</si>
  <si>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</si>
  <si>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</si>
  <si>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</si>
  <si>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</si>
  <si>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</si>
  <si>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</si>
  <si>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</si>
  <si>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</si>
  <si>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</si>
  <si>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</si>
  <si>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</si>
  <si>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</si>
  <si>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</si>
  <si>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</si>
  <si>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</si>
  <si>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</si>
  <si>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</si>
  <si>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</si>
  <si>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</si>
  <si>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</si>
  <si>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</si>
  <si>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</si>
  <si>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</si>
  <si>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</si>
  <si>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</si>
  <si>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</si>
  <si>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</si>
  <si>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</si>
  <si>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</si>
  <si>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</si>
  <si>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</si>
  <si>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</si>
  <si>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</si>
  <si>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</si>
  <si>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</si>
  <si>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</si>
  <si>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</si>
  <si>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</si>
  <si>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</si>
  <si>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</si>
  <si>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</si>
  <si>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</si>
  <si>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</si>
  <si>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</si>
  <si>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</si>
  <si>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</si>
  <si>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</si>
  <si>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</si>
  <si>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</si>
  <si>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</si>
  <si>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</si>
  <si>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</si>
  <si>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</si>
  <si>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</si>
  <si>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</si>
  <si>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</si>
  <si>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</si>
  <si>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</si>
  <si>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</si>
  <si>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</si>
  <si>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</si>
  <si>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</si>
  <si>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</si>
  <si>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</si>
  <si>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</si>
  <si>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</si>
  <si>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</si>
  <si>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</si>
  <si>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</si>
  <si>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</si>
  <si>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</si>
  <si>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</si>
  <si>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</si>
  <si>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</si>
  <si>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</si>
  <si>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</si>
  <si>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</si>
  <si>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</si>
  <si>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</si>
  <si>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</si>
  <si>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</si>
  <si>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</si>
  <si>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</si>
  <si>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</si>
  <si>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</si>
  <si>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</si>
  <si>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</si>
  <si>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</si>
  <si>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</si>
  <si>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</si>
  <si>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</si>
  <si>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</si>
  <si>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</si>
  <si>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</si>
  <si>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</si>
  <si>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</si>
  <si>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</si>
  <si>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</si>
  <si>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</si>
  <si>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</si>
  <si>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</si>
  <si>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</si>
  <si>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</si>
  <si>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</si>
  <si>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</si>
  <si>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</si>
  <si>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</si>
  <si>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</si>
  <si>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</si>
  <si>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</si>
  <si>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</si>
  <si>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</si>
  <si>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</si>
  <si>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</si>
  <si>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</si>
  <si>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</si>
  <si>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</si>
  <si>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</si>
  <si>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</si>
  <si>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>Furqan</t>
  </si>
  <si>
    <t xml:space="preserve">Shan Mini Mart </t>
  </si>
  <si>
    <t>Address: Ghoseazam Bazaar</t>
  </si>
  <si>
    <t>Lasani Sweets</t>
  </si>
  <si>
    <t>New Prince Store</t>
  </si>
  <si>
    <t>Saeed Khan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</si>
</sst>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workbookViewId="0">
      <selection activeCell="S3" sqref="S3:S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513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46296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 xml:space="preserve">Shan Mini Mart </v>
      </c>
      <c r="T3" s="301">
        <f>+'1'!P35</f>
        <v>509.63660613877113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Lasani Sweets</v>
      </c>
      <c r="T4" s="301">
        <f>+'2'!P35</f>
        <v>3136.2115850847458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New Prince Store</v>
      </c>
      <c r="T5" s="301">
        <f>+'3'!P35</f>
        <v>1568.1057925423729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Saeed Khan Store</v>
      </c>
      <c r="T6" s="301">
        <f>+'4'!P35</f>
        <v>1019.2732122775423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9</v>
      </c>
      <c r="I7" s="235">
        <f>(G7*D7)*F7+H7*F7</f>
        <v>472.16249999999997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37.772999999999996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16.5256875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417.86381249999999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89.23728813559319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2.5355055031779656</v>
      </c>
      <c r="P7" s="310">
        <f>M7+N7+O7</f>
        <v>509.63660613877113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Shop Name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9</v>
      </c>
      <c r="I8" s="236">
        <f t="shared" ref="I8:I14" si="0">(G8*D8)*F8+H8*F8</f>
        <v>472.16249999999997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37.772999999999996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16.5256875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417.86381249999999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89.23728813559319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2.5355055031779656</v>
      </c>
      <c r="P8" s="311">
        <f t="shared" ref="P8:P15" si="2">M8+N8+O8</f>
        <v>509.63660613877113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Shop Name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9</v>
      </c>
      <c r="I9" s="236">
        <f t="shared" si="0"/>
        <v>472.16249999999997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37.772999999999996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16.5256875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417.86381249999999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89.23728813559319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2.5355055031779656</v>
      </c>
      <c r="P9" s="311">
        <f t="shared" si="2"/>
        <v>509.63660613877113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50</v>
      </c>
      <c r="I10" s="236">
        <f t="shared" si="0"/>
        <v>3632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290.56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127.12000000000002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3214.32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686.4406779661017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19.503803389830509</v>
      </c>
      <c r="P10" s="311">
        <f t="shared" si="2"/>
        <v>3920.2644813559323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311">
        <f t="shared" si="2"/>
        <v>0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10</v>
      </c>
      <c r="I12" s="236">
        <f t="shared" si="0"/>
        <v>726.4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58.112000000000002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25.424000000000003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642.86400000000003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137.28813559322035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3.9007606779661019</v>
      </c>
      <c r="P12" s="311">
        <f t="shared" si="2"/>
        <v>784.05289627118646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2.1749999999999998</v>
      </c>
      <c r="H16" s="113">
        <f t="shared" ref="H16:M16" si="3">SUM(H7:H15)</f>
        <v>87</v>
      </c>
      <c r="I16" s="114">
        <f t="shared" si="3"/>
        <v>5774.8874999999998</v>
      </c>
      <c r="J16" s="274">
        <f>SUM(J7:J15)</f>
        <v>461.99100000000004</v>
      </c>
      <c r="K16" s="275">
        <f t="shared" si="3"/>
        <v>202.12106250000002</v>
      </c>
      <c r="L16" s="276">
        <f t="shared" si="3"/>
        <v>0</v>
      </c>
      <c r="M16" s="232">
        <f t="shared" si="3"/>
        <v>5110.7754375000004</v>
      </c>
      <c r="N16" s="233">
        <f>SUM(N7:N15)</f>
        <v>1091.4406779661017</v>
      </c>
      <c r="O16" s="101">
        <f>SUM(O7:O15)</f>
        <v>31.011080577330507</v>
      </c>
      <c r="P16" s="113">
        <f>SUM(P7:P15)</f>
        <v>6233.2271960434318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5774.8874999999998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461.99100000000004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202.12106250000002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5110.7754374999995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1091.4406779661017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6202.2161154661007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31.011080577330507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6233.2271960434309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6233.2271960434327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7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17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7.2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3</v>
      </c>
      <c r="I16" s="235">
        <f>(G16*D16)*F16+H16*F16</f>
        <v>157.38749999999999</v>
      </c>
      <c r="J16" s="271">
        <f>$I16*S16</f>
        <v>12.590999999999999</v>
      </c>
      <c r="K16" s="127">
        <f>$I16*T16</f>
        <v>5.5085625</v>
      </c>
      <c r="L16" s="118">
        <f>$I16*U16</f>
        <v>0</v>
      </c>
      <c r="M16" s="229">
        <f>I16-SUM(J16:L16)</f>
        <v>139.2879375</v>
      </c>
      <c r="N16" s="248">
        <f>+(G16*D16+H16)*V16</f>
        <v>29.745762711864394</v>
      </c>
      <c r="O16" s="238">
        <f>(N16+M16)*$O$15</f>
        <v>0.84516850105932195</v>
      </c>
      <c r="P16" s="118">
        <f>M16+N16+O16</f>
        <v>169.87886871292372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3</v>
      </c>
      <c r="I17" s="236">
        <f t="shared" ref="I17:I23" si="0">(G17*D17)*F17+H17*F17</f>
        <v>157.38749999999999</v>
      </c>
      <c r="J17" s="272">
        <f t="shared" ref="J17:L24" si="1">$I17*S17</f>
        <v>12.590999999999999</v>
      </c>
      <c r="K17" s="128">
        <f>$I17*T17</f>
        <v>5.5085625</v>
      </c>
      <c r="L17" s="119">
        <f>$I17*U17</f>
        <v>0</v>
      </c>
      <c r="M17" s="230">
        <f t="shared" ref="M17:M24" si="2">I17-SUM(J17:L17)</f>
        <v>139.2879375</v>
      </c>
      <c r="N17" s="277">
        <f t="shared" ref="N17:N24" si="3">+(G17*D17+H17)*V17</f>
        <v>29.745762711864394</v>
      </c>
      <c r="O17" s="239">
        <f t="shared" ref="O17:O24" si="4">(N17+M17)*$O$15</f>
        <v>0.84516850105932195</v>
      </c>
      <c r="P17" s="119">
        <f t="shared" ref="P17:P24" si="5">M17+N17+O17</f>
        <v>169.87886871292372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3</v>
      </c>
      <c r="I18" s="236">
        <f t="shared" ref="I18:I21" si="7">(G18*D18)*F18+H18*F18</f>
        <v>157.38749999999999</v>
      </c>
      <c r="J18" s="272">
        <f t="shared" si="1"/>
        <v>12.590999999999999</v>
      </c>
      <c r="K18" s="128">
        <f t="shared" si="1"/>
        <v>5.5085625</v>
      </c>
      <c r="L18" s="119">
        <f t="shared" si="1"/>
        <v>0</v>
      </c>
      <c r="M18" s="230">
        <f t="shared" si="2"/>
        <v>139.2879375</v>
      </c>
      <c r="N18" s="277">
        <f t="shared" si="3"/>
        <v>29.745762711864394</v>
      </c>
      <c r="O18" s="239">
        <f t="shared" si="4"/>
        <v>0.84516850105932195</v>
      </c>
      <c r="P18" s="119">
        <f t="shared" si="5"/>
        <v>169.87886871292372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9</v>
      </c>
      <c r="I25" s="114">
        <f t="shared" ref="I25:M25" si="10">SUM(I16:I24)</f>
        <v>472.16249999999997</v>
      </c>
      <c r="J25" s="274">
        <f>SUM(J16:J24)</f>
        <v>37.772999999999996</v>
      </c>
      <c r="K25" s="275">
        <f t="shared" si="10"/>
        <v>16.5256875</v>
      </c>
      <c r="L25" s="276">
        <f t="shared" si="10"/>
        <v>0</v>
      </c>
      <c r="M25" s="232">
        <f t="shared" si="10"/>
        <v>417.86381249999999</v>
      </c>
      <c r="N25" s="233">
        <f>SUM(N16:N24)</f>
        <v>89.23728813559319</v>
      </c>
      <c r="O25" s="101">
        <f>SUM(O16:O24)</f>
        <v>2.5355055031779656</v>
      </c>
      <c r="P25" s="234">
        <f>SUM(P16:P24)</f>
        <v>509.63660613877119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472.16249999999997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37.772999999999996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16.5256875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417.86381249999999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89.23728813559319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507.10110063559318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2.5355055031779661</v>
      </c>
    </row>
    <row r="35" spans="2:16" ht="15.75" customHeight="1" thickBot="1" x14ac:dyDescent="0.4">
      <c r="N35" s="345" t="s">
        <v>88</v>
      </c>
      <c r="O35" s="346"/>
      <c r="P35" s="297">
        <f>+P33+P34</f>
        <v>509.63660613877113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2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17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516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2905.6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232.44800000000001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101.69600000000001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2571.4560000000001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3120.6085423728814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5" t="s">
        <v>88</v>
      </c>
      <c r="O35" s="346"/>
      <c r="P35" s="297">
        <f>+P33+P34</f>
        <v>3136.2115850847458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3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17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8.75" customHeight="1" x14ac:dyDescent="0.4">
      <c r="A6" s="399" t="s">
        <v>517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20</v>
      </c>
      <c r="I25" s="114">
        <f t="shared" si="7"/>
        <v>1452.8</v>
      </c>
      <c r="J25" s="274">
        <f>SUM(J16:J24)</f>
        <v>116.224</v>
      </c>
      <c r="K25" s="275">
        <f t="shared" si="7"/>
        <v>50.848000000000006</v>
      </c>
      <c r="L25" s="276">
        <f t="shared" si="7"/>
        <v>0</v>
      </c>
      <c r="M25" s="232">
        <f t="shared" si="7"/>
        <v>1285.7280000000001</v>
      </c>
      <c r="N25" s="233">
        <f>SUM(N16:N24)</f>
        <v>274.57627118644069</v>
      </c>
      <c r="O25" s="101">
        <f>SUM(O16:O24)</f>
        <v>7.8015213559322039</v>
      </c>
      <c r="P25" s="234">
        <f>SUM(P16:P24)</f>
        <v>1568.1057925423729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1452.8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116.224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50.848000000000006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1285.7280000000001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274.57627118644069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1560.3042711864407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7.8015213559322039</v>
      </c>
    </row>
    <row r="35" spans="2:16" ht="15.75" customHeight="1" thickBot="1" x14ac:dyDescent="0.4">
      <c r="N35" s="345" t="s">
        <v>88</v>
      </c>
      <c r="O35" s="346"/>
      <c r="P35" s="297">
        <f>+P33+P34</f>
        <v>1568.1057925423729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abSelected="1" topLeftCell="A3"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17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6</v>
      </c>
      <c r="I16" s="235">
        <f>(G16*D16)*F16+H16*F16</f>
        <v>314.77499999999998</v>
      </c>
      <c r="J16" s="271">
        <f>$I16*S16</f>
        <v>25.181999999999999</v>
      </c>
      <c r="K16" s="127">
        <f>$I16*T16</f>
        <v>11.017125</v>
      </c>
      <c r="L16" s="118">
        <f>$I16*U16</f>
        <v>0</v>
      </c>
      <c r="M16" s="229">
        <f>I16-SUM(J16:L16)</f>
        <v>278.575875</v>
      </c>
      <c r="N16" s="248">
        <f>+(G16*D16+H16)*V16</f>
        <v>59.491525423728788</v>
      </c>
      <c r="O16" s="238">
        <f>(N16+M16)*$O$15</f>
        <v>1.6903370021186439</v>
      </c>
      <c r="P16" s="118">
        <f>M16+N16+O16</f>
        <v>339.75773742584744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6</v>
      </c>
      <c r="I17" s="236">
        <f t="shared" ref="I17:I23" si="0">(G17*D17)*F17+H17*F17</f>
        <v>314.77499999999998</v>
      </c>
      <c r="J17" s="272">
        <f t="shared" ref="J17:L24" si="1">$I17*S17</f>
        <v>25.181999999999999</v>
      </c>
      <c r="K17" s="128">
        <f>$I17*T17</f>
        <v>11.017125</v>
      </c>
      <c r="L17" s="119">
        <f>$I17*U17</f>
        <v>0</v>
      </c>
      <c r="M17" s="230">
        <f t="shared" ref="M17:M24" si="2">I17-SUM(J17:L17)</f>
        <v>278.575875</v>
      </c>
      <c r="N17" s="277">
        <f t="shared" ref="N17:N24" si="3">+(G17*D17+H17)*V17</f>
        <v>59.491525423728788</v>
      </c>
      <c r="O17" s="239">
        <f t="shared" ref="O17:O24" si="4">(N17+M17)*$O$15</f>
        <v>1.6903370021186439</v>
      </c>
      <c r="P17" s="119">
        <f t="shared" ref="P17:P24" si="5">M17+N17+O17</f>
        <v>339.75773742584744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6</v>
      </c>
      <c r="I18" s="236">
        <f t="shared" si="0"/>
        <v>314.77499999999998</v>
      </c>
      <c r="J18" s="272">
        <f t="shared" si="1"/>
        <v>25.181999999999999</v>
      </c>
      <c r="K18" s="128">
        <f t="shared" si="1"/>
        <v>11.017125</v>
      </c>
      <c r="L18" s="119">
        <f t="shared" si="1"/>
        <v>0</v>
      </c>
      <c r="M18" s="230">
        <f t="shared" si="2"/>
        <v>278.575875</v>
      </c>
      <c r="N18" s="277">
        <f t="shared" si="3"/>
        <v>59.491525423728788</v>
      </c>
      <c r="O18" s="239">
        <f t="shared" si="4"/>
        <v>1.6903370021186439</v>
      </c>
      <c r="P18" s="119">
        <f t="shared" si="5"/>
        <v>339.75773742584744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18</v>
      </c>
      <c r="I25" s="114">
        <f t="shared" si="7"/>
        <v>944.32499999999993</v>
      </c>
      <c r="J25" s="274">
        <f>SUM(J16:J24)</f>
        <v>75.545999999999992</v>
      </c>
      <c r="K25" s="275">
        <f t="shared" si="7"/>
        <v>33.051375</v>
      </c>
      <c r="L25" s="276">
        <f t="shared" si="7"/>
        <v>0</v>
      </c>
      <c r="M25" s="232">
        <f t="shared" si="7"/>
        <v>835.72762499999999</v>
      </c>
      <c r="N25" s="233">
        <f>SUM(N16:N24)</f>
        <v>178.47457627118638</v>
      </c>
      <c r="O25" s="101">
        <f>SUM(O16:O24)</f>
        <v>5.0710110063559313</v>
      </c>
      <c r="P25" s="234">
        <f>SUM(P16:P24)</f>
        <v>1019.2732122775424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944.32499999999993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75.545999999999992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33.051375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835.72762499999999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178.47457627118638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1014.2022012711864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5.0710110063559322</v>
      </c>
    </row>
    <row r="35" spans="2:16" ht="15.75" customHeight="1" thickBot="1" x14ac:dyDescent="0.4">
      <c r="N35" s="345" t="s">
        <v>88</v>
      </c>
      <c r="O35" s="346"/>
      <c r="P35" s="297">
        <f>+P33+P34</f>
        <v>1019.2732122775423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6"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'1'!N4:P5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46322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46321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2026-10-26T08:53:24Z</dcterms:modified>
</cp:coreProperties>
</file>