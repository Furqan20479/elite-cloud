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C1574F-C0C4-4F7F-880E-7AABB90A162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<sst xmlns="http://schemas.openxmlformats.org/spreadsheetml/2006/main" count="3948" uniqueCount="519">
  <si>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</si>
  <si>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</si>
  <si>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</si>
  <si>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</si>
  <si>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</si>
  <si>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</si>
  <si>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</si>
  <si>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</si>
  <si>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</si>
  <si>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</si>
  <si>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</si>
  <si>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</si>
  <si>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</si>
  <si>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</si>
  <si>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</si>
  <si>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</si>
  <si>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</si>
  <si>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</si>
  <si>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</si>
  <si>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</si>
  <si>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</si>
  <si>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</si>
  <si>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</si>
  <si>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</si>
  <si>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</si>
  <si>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</si>
  <si>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</si>
  <si>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</si>
  <si>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</si>
  <si>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</si>
  <si>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</si>
  <si>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</si>
  <si>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</si>
  <si>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</si>
  <si>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</si>
  <si>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</si>
  <si>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</si>
  <si>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</si>
  <si>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</si>
  <si>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</si>
  <si>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</si>
  <si>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</si>
  <si>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</si>
  <si>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</si>
  <si>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</si>
  <si>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</si>
  <si>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</si>
  <si>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</si>
  <si>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</si>
  <si>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</si>
  <si>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</si>
  <si>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</si>
  <si>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</si>
  <si>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</si>
  <si>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</si>
  <si>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</si>
  <si>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</si>
  <si>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</si>
  <si>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</si>
  <si>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</si>
  <si>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</si>
  <si>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</si>
  <si>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</si>
  <si>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</si>
  <si>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</si>
  <si>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</si>
  <si>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</si>
  <si>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</si>
  <si>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</si>
  <si>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</si>
  <si>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</si>
  <si>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</si>
  <si>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</si>
  <si>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</si>
  <si>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</si>
  <si>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</si>
  <si>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</si>
  <si>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</si>
  <si>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</si>
  <si>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</si>
  <si>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</si>
  <si>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</si>
  <si>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</si>
  <si>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</si>
  <si>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</si>
  <si>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</si>
  <si>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</si>
  <si>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</si>
  <si>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</si>
  <si>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</si>
  <si>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</si>
  <si>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</si>
  <si>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</si>
  <si>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</si>
  <si>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</si>
  <si>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</si>
  <si>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</si>
  <si>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</si>
  <si>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</si>
  <si>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</si>
  <si>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</si>
  <si>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</si>
  <si>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</si>
  <si>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</si>
  <si>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</si>
  <si>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</si>
  <si>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</si>
  <si>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</si>
  <si>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</si>
  <si>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</si>
  <si>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</si>
  <si>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</si>
  <si>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</si>
  <si>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</si>
  <si>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</si>
  <si>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</si>
  <si>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</si>
  <si>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</si>
  <si>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</si>
  <si>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</si>
  <si>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</si>
  <si>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</si>
  <si>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</si>
  <si>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</si>
  <si>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</si>
  <si>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</si>
  <si>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</si>
  <si>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</si>
  <si>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</si>
  <si>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</si>
  <si>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</si>
  <si>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</si>
  <si>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</si>
  <si>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</si>
  <si>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</si>
  <si>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</si>
  <si>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</si>
  <si>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</si>
  <si>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</si>
  <si>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</si>
  <si>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</si>
  <si>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</si>
  <si>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</si>
  <si>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</si>
  <si>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</si>
  <si>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</si>
  <si>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</si>
  <si>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</si>
  <si>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</si>
  <si>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</si>
  <si>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</si>
  <si>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</si>
  <si>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</si>
  <si>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</si>
  <si>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</si>
  <si>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</si>
  <si>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</si>
  <si>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</si>
  <si>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</si>
  <si>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</si>
  <si>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</si>
  <si>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</si>
  <si>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</si>
  <si>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</si>
  <si>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</si>
  <si>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</si>
  <si>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</si>
  <si>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</si>
  <si>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</si>
  <si>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</si>
  <si>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</si>
  <si>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</si>
  <si>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</si>
  <si>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</si>
  <si>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</si>
  <si>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</si>
  <si>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</si>
  <si>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</si>
  <si>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</si>
  <si>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</si>
  <si>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</si>
  <si>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</si>
  <si>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</si>
  <si>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</si>
  <si>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</si>
  <si>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</si>
  <si>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</si>
  <si>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</si>
  <si>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</si>
  <si>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</si>
  <si>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</si>
  <si>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</si>
  <si>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</si>
  <si>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</si>
  <si>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</si>
  <si>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</si>
  <si>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</si>
  <si>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</si>
  <si>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</si>
  <si>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</si>
  <si>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</si>
  <si>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</si>
  <si>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</si>
  <si>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</si>
  <si>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</si>
  <si>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</si>
  <si>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</si>
  <si>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</si>
  <si>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</si>
  <si>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</si>
  <si>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</si>
  <si>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</si>
  <si>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</si>
  <si>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</si>
  <si>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</si>
  <si>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</si>
  <si>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</si>
  <si>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</si>
  <si>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</si>
  <si>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</si>
  <si>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</si>
  <si>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</si>
  <si>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</si>
  <si>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</si>
  <si>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</si>
  <si>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</si>
  <si>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</si>
  <si>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</si>
  <si>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</si>
  <si>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</si>
  <si>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</si>
  <si>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</si>
  <si>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</si>
  <si>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</si>
  <si>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</si>
  <si>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</si>
  <si>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</si>
  <si>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</si>
  <si>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</si>
  <si>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</si>
  <si>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</si>
  <si>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</si>
  <si>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</si>
  <si>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</si>
  <si>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</si>
  <si>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</si>
  <si>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</si>
  <si>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</si>
  <si>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</si>
  <si>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</si>
  <si>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</si>
  <si>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</si>
  <si>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</si>
  <si>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</si>
  <si>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</si>
  <si>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</si>
  <si>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</si>
  <si>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</si>
  <si>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</si>
  <si>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</si>
  <si>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</si>
  <si>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</si>
  <si>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</si>
  <si>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</si>
  <si>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</si>
  <si>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</si>
  <si>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</si>
  <si>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</si>
  <si>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</si>
  <si>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</si>
  <si>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</si>
  <si>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</si>
  <si>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</si>
  <si>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</si>
  <si>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</si>
  <si>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</si>
  <si>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</si>
  <si>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</si>
  <si>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</si>
  <si>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</si>
  <si>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</si>
  <si>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</si>
  <si>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</si>
  <si>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</si>
  <si>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</si>
  <si>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</si>
  <si>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</si>
  <si>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</si>
  <si>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</si>
  <si>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</si>
  <si>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</si>
  <si>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</si>
  <si>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</si>
  <si>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</si>
  <si>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</si>
  <si>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</si>
  <si>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</si>
  <si>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</si>
  <si>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</si>
  <si>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</si>
  <si>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</si>
  <si>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</si>
  <si>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</si>
  <si>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</si>
  <si>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</si>
  <si>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</si>
  <si>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</si>
  <si>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</si>
  <si>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</si>
  <si>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</si>
  <si>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</si>
  <si>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</si>
  <si>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</si>
  <si>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</si>
  <si>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</si>
  <si>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</si>
  <si>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</si>
  <si>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</si>
  <si>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</si>
  <si>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</si>
  <si>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</si>
  <si>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</si>
  <si>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</si>
  <si>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</si>
  <si>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</si>
  <si>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</si>
  <si>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</si>
  <si>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</si>
  <si>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</si>
  <si>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</si>
  <si>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</si>
  <si>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</si>
  <si>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</si>
  <si>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</si>
  <si>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</si>
  <si>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</si>
  <si>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</si>
  <si>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</si>
  <si>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</si>
  <si>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</si>
  <si>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</si>
  <si>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</si>
  <si>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</si>
  <si>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</si>
  <si>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</si>
  <si>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</si>
  <si>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</si>
  <si>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</si>
  <si>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</si>
  <si>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</si>
  <si>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</si>
  <si>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</si>
  <si>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</si>
  <si>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</si>
  <si>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</si>
  <si>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</si>
  <si>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</si>
  <si>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</si>
  <si>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</si>
  <si>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</si>
  <si>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</si>
  <si>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</si>
  <si>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</si>
  <si>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</si>
  <si>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</si>
  <si>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</si>
  <si>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</si>
  <si>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</si>
  <si>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</si>
  <si>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</si>
  <si>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</si>
  <si>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</si>
  <si>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</si>
  <si>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</si>
  <si>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</si>
  <si>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</si>
  <si>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</si>
  <si>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</si>
  <si>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</si>
  <si>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</si>
  <si>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</si>
  <si>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</si>
  <si>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</si>
  <si>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</si>
  <si>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</si>
  <si>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</si>
  <si>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</si>
  <si>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</si>
  <si>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</si>
  <si>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</si>
  <si>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</si>
  <si>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</si>
  <si>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</si>
  <si>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</si>
  <si>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</si>
  <si>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</si>
  <si>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</si>
  <si>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</si>
  <si>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</si>
  <si>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</si>
  <si>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</si>
  <si>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</si>
  <si>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</si>
  <si>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</si>
  <si>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</si>
  <si>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</si>
  <si>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</si>
  <si>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</si>
  <si>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</si>
  <si>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</si>
  <si>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</si>
  <si>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</si>
  <si>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</si>
  <si>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</si>
  <si>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</si>
  <si>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</si>
  <si>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</si>
  <si>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</si>
  <si>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</si>
  <si>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</si>
  <si>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</si>
  <si>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</si>
  <si>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</si>
  <si>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</si>
  <si>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</si>
  <si>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</si>
  <si>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</si>
  <si>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</si>
  <si>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</si>
  <si>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</si>
  <si>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</si>
  <si>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</si>
  <si>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</si>
  <si>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</si>
  <si>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</si>
  <si>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</si>
  <si>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</si>
  <si>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</si>
  <si>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</si>
  <si>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</si>
  <si>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</si>
  <si>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</si>
  <si>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</si>
  <si>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</si>
  <si>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</si>
  <si>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</si>
  <si>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</si>
  <si>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</si>
  <si>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</si>
  <si>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</si>
  <si>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</si>
  <si>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</si>
  <si>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</si>
  <si>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</si>
  <si>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</si>
  <si>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</si>
  <si>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</si>
  <si>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</si>
  <si>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</si>
  <si>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</si>
  <si>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</si>
  <si>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</si>
  <si>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</si>
  <si>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</si>
  <si>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</si>
  <si>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</si>
  <si>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</si>
  <si>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</si>
  <si>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</si>
  <si>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</si>
  <si>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</si>
  <si>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</si>
  <si>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</si>
  <si>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</si>
  <si>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</si>
  <si>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</si>
  <si>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</si>
  <si>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</si>
  <si>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</si>
  <si>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</si>
  <si>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</si>
  <si>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</si>
  <si>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</si>
  <si>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</si>
  <si>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</si>
  <si>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</si>
  <si>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</si>
  <si>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</si>
  <si>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</si>
  <si>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</si>
  <si>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</si>
  <si>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</si>
  <si>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</si>
  <si>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</si>
  <si>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</si>
  <si>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</si>
  <si>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</si>
  <si>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</si>
  <si>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</si>
  <si>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</si>
  <si>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</si>
  <si>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</si>
  <si>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</si>
  <si>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</si>
  <si>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</si>
  <si>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</si>
  <si>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</si>
  <si>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</si>
  <si>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</si>
  <si>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</si>
  <si>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</si>
  <si>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</si>
  <si>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</si>
  <si>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</si>
  <si>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Shan Mini Mart </t>
  </si>
  <si>
    <t>Address: Ghoseazam Bazaar</t>
  </si>
  <si>
    <t>Lasani Sweets</t>
  </si>
  <si>
    <t>New Prince Store</t>
  </si>
  <si>
    <t>Saeed 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</si>
</sst>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8" workbookViewId="0">
      <selection activeCell="G37" sqref="G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Shan Mini Mart </v>
      </c>
      <c r="T3" s="301">
        <f>+'1'!P35</f>
        <v>509.63660613877113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Lasani Sweets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New Prince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Saeed Khan Store</v>
      </c>
      <c r="T6" s="301">
        <f>+'4'!P35</f>
        <v>1019.2732122775423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</v>
      </c>
      <c r="I7" s="235">
        <f>(G7*D7)*F7+H7*F7</f>
        <v>472.16249999999997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37.772999999999996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16.5256875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417.86381249999999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89.23728813559319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2.5355055031779656</v>
      </c>
      <c r="P7" s="310">
        <f>M7+N7+O7</f>
        <v>509.63660613877113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</v>
      </c>
      <c r="I8" s="236">
        <f t="shared" ref="I8:I14" si="0">(G8*D8)*F8+H8*F8</f>
        <v>472.16249999999997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37.772999999999996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16.5256875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417.86381249999999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89.23728813559319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2.5355055031779656</v>
      </c>
      <c r="P8" s="311">
        <f t="shared" ref="P8:P15" si="2">M8+N8+O8</f>
        <v>509.63660613877113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</v>
      </c>
      <c r="I9" s="236">
        <f t="shared" si="0"/>
        <v>472.16249999999997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37.772999999999996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16.5256875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417.86381249999999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89.23728813559319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2.5355055031779656</v>
      </c>
      <c r="P9" s="311">
        <f t="shared" si="2"/>
        <v>509.63660613877113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2.1749999999999998</v>
      </c>
      <c r="H16" s="113">
        <f t="shared" ref="H16:M16" si="3">SUM(H7:H15)</f>
        <v>87</v>
      </c>
      <c r="I16" s="114">
        <f t="shared" si="3"/>
        <v>5774.8874999999998</v>
      </c>
      <c r="J16" s="274">
        <f>SUM(J7:J15)</f>
        <v>461.99100000000004</v>
      </c>
      <c r="K16" s="275">
        <f t="shared" si="3"/>
        <v>202.12106250000002</v>
      </c>
      <c r="L16" s="276">
        <f t="shared" si="3"/>
        <v>0</v>
      </c>
      <c r="M16" s="232">
        <f t="shared" si="3"/>
        <v>5110.7754375000004</v>
      </c>
      <c r="N16" s="233">
        <f>SUM(N7:N15)</f>
        <v>1091.4406779661017</v>
      </c>
      <c r="O16" s="101">
        <f>SUM(O7:O15)</f>
        <v>31.011080577330507</v>
      </c>
      <c r="P16" s="113">
        <f>SUM(P7:P15)</f>
        <v>6233.2271960434318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5774.8874999999998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461.99100000000004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202.12106250000002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5110.7754374999995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1091.4406779661017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6202.2161154661007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31.011080577330507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6233.2271960434309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6233.2271960434327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ref="I18:I21" si="7">(G18*D18)*F18+H18*F18</f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472.16249999999997</v>
      </c>
      <c r="J25" s="274">
        <f>SUM(J16:J24)</f>
        <v>37.772999999999996</v>
      </c>
      <c r="K25" s="275">
        <f t="shared" si="10"/>
        <v>16.5256875</v>
      </c>
      <c r="L25" s="276">
        <f t="shared" si="10"/>
        <v>0</v>
      </c>
      <c r="M25" s="232">
        <f t="shared" si="10"/>
        <v>417.86381249999999</v>
      </c>
      <c r="N25" s="233">
        <f>SUM(N16:N24)</f>
        <v>89.23728813559319</v>
      </c>
      <c r="O25" s="101">
        <f>SUM(O16:O24)</f>
        <v>2.5355055031779656</v>
      </c>
      <c r="P25" s="234">
        <f>SUM(P16:P24)</f>
        <v>509.63660613877119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472.16249999999997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37.772999999999996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16.5256875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417.86381249999999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507.10110063559318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45" t="s">
        <v>88</v>
      </c>
      <c r="O35" s="346"/>
      <c r="P35" s="297">
        <f>+P33+P34</f>
        <v>509.63660613877113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2026-09-30T11:42:48Z</dcterms:modified>
</cp:coreProperties>
</file>