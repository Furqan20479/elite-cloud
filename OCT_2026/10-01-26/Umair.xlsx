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57286E9-BE8A-4BBE-B27C-4F2694566765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7" l="1"/>
  <c r="O20" i="47" s="1"/>
  <c r="P20" i="47" s="1"/>
  <c r="R20" i="47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<sst xmlns="http://schemas.openxmlformats.org/spreadsheetml/2006/main" count="3948" uniqueCount="523">
  <si>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</si>
  <si>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</si>
  <si>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</si>
  <si>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</si>
  <si>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</si>
  <si>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</si>
  <si>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</si>
  <si>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</si>
  <si>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</si>
  <si>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</si>
  <si>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</si>
  <si>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</si>
  <si>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</si>
  <si>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</si>
  <si>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</si>
  <si>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</si>
  <si>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</si>
  <si>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</si>
  <si>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</si>
  <si>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</si>
  <si>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</si>
  <si>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</si>
  <si>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</si>
  <si>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</si>
  <si>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</si>
  <si>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</si>
  <si>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</si>
  <si>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</si>
  <si>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</si>
  <si>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</si>
  <si>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</si>
  <si>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</si>
  <si>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</si>
  <si>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</si>
  <si>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</si>
  <si>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</si>
  <si>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</si>
  <si>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</si>
  <si>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</si>
  <si>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</si>
  <si>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</si>
  <si>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</si>
  <si>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</si>
  <si>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</si>
  <si>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</si>
  <si>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</si>
  <si>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</si>
  <si>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</si>
  <si>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</si>
  <si>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</si>
  <si>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</si>
  <si>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</si>
  <si>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</si>
  <si>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</si>
  <si>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</si>
  <si>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</si>
  <si>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</si>
  <si>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</si>
  <si>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</si>
  <si>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</si>
  <si>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</si>
  <si>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</si>
  <si>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</si>
  <si>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</si>
  <si>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</si>
  <si>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</si>
  <si>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</si>
  <si>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</si>
  <si>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</si>
  <si>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</si>
  <si>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</si>
  <si>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</si>
  <si>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</si>
  <si>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</si>
  <si>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</si>
  <si>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</si>
  <si>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</si>
  <si>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</si>
  <si>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</si>
  <si>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</si>
  <si>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</si>
  <si>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</si>
  <si>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</si>
  <si>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</si>
  <si>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</si>
  <si>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</si>
  <si>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</si>
  <si>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</si>
  <si>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</si>
  <si>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</si>
  <si>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</si>
  <si>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</si>
  <si>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</si>
  <si>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</si>
  <si>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</si>
  <si>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</si>
  <si>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</si>
  <si>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</si>
  <si>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</si>
  <si>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</si>
  <si>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</si>
  <si>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</si>
  <si>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</si>
  <si>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</si>
  <si>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</si>
  <si>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</si>
  <si>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</si>
  <si>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</si>
  <si>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</si>
  <si>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</si>
  <si>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</si>
  <si>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</si>
  <si>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</si>
  <si>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</si>
  <si>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</si>
  <si>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</si>
  <si>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</si>
  <si>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</si>
  <si>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</si>
  <si>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</si>
  <si>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</si>
  <si>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</si>
  <si>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</si>
  <si>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</si>
  <si>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</si>
  <si>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</si>
  <si>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</si>
  <si>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</si>
  <si>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</si>
  <si>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</si>
  <si>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</si>
  <si>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</si>
  <si>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</si>
  <si>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</si>
  <si>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</si>
  <si>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</si>
  <si>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</si>
  <si>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</si>
  <si>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</si>
  <si>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</si>
  <si>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</si>
  <si>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</si>
  <si>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</si>
  <si>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</si>
  <si>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</si>
  <si>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</si>
  <si>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</si>
  <si>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</si>
  <si>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</si>
  <si>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</si>
  <si>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</si>
  <si>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</si>
  <si>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</si>
  <si>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</si>
  <si>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</si>
  <si>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</si>
  <si>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</si>
  <si>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</si>
  <si>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</si>
  <si>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</si>
  <si>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</si>
  <si>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</si>
  <si>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</si>
  <si>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</si>
  <si>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</si>
  <si>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</si>
  <si>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</si>
  <si>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</si>
  <si>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</si>
  <si>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</si>
  <si>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</si>
  <si>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</si>
  <si>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</si>
  <si>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</si>
  <si>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</si>
  <si>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</si>
  <si>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</si>
  <si>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</si>
  <si>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</si>
  <si>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</si>
  <si>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</si>
  <si>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</si>
  <si>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</si>
  <si>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</si>
  <si>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</si>
  <si>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</si>
  <si>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</si>
  <si>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</si>
  <si>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</si>
  <si>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</si>
  <si>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</si>
  <si>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</si>
  <si>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</si>
  <si>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</si>
  <si>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</si>
  <si>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</si>
  <si>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</si>
  <si>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</si>
  <si>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</si>
  <si>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</si>
  <si>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</si>
  <si>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</si>
  <si>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</si>
  <si>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</si>
  <si>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</si>
  <si>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</si>
  <si>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</si>
  <si>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</si>
  <si>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</si>
  <si>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</si>
  <si>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</si>
  <si>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</si>
  <si>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</si>
  <si>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</si>
  <si>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</si>
  <si>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</si>
  <si>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</si>
  <si>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</si>
  <si>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</si>
  <si>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</si>
  <si>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</si>
  <si>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</si>
  <si>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</si>
  <si>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</si>
  <si>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</si>
  <si>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</si>
  <si>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</si>
  <si>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</si>
  <si>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</si>
  <si>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</si>
  <si>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</si>
  <si>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</si>
  <si>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</si>
  <si>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</si>
  <si>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</si>
  <si>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</si>
  <si>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</si>
  <si>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</si>
  <si>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</si>
  <si>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</si>
  <si>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</si>
  <si>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</si>
  <si>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</si>
  <si>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</si>
  <si>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</si>
  <si>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</si>
  <si>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</si>
  <si>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</si>
  <si>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</si>
  <si>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</si>
  <si>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</si>
  <si>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</si>
  <si>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</si>
  <si>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</si>
  <si>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</si>
  <si>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</si>
  <si>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</si>
  <si>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</si>
  <si>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</si>
  <si>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</si>
  <si>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</si>
  <si>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</si>
  <si>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</si>
  <si>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</si>
  <si>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</si>
  <si>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</si>
  <si>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</si>
  <si>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</si>
  <si>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</si>
  <si>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</si>
  <si>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</si>
  <si>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</si>
  <si>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</si>
  <si>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</si>
  <si>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</si>
  <si>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</si>
  <si>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</si>
  <si>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</si>
  <si>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</si>
  <si>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</si>
  <si>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</si>
  <si>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</si>
  <si>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</si>
  <si>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</si>
  <si>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</si>
  <si>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</si>
  <si>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</si>
  <si>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</si>
  <si>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</si>
  <si>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</si>
  <si>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</si>
  <si>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</si>
  <si>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</si>
  <si>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</si>
  <si>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</si>
  <si>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</si>
  <si>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</si>
  <si>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</si>
  <si>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</si>
  <si>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</si>
  <si>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</si>
  <si>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</si>
  <si>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</si>
  <si>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</si>
  <si>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</si>
  <si>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</si>
  <si>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</si>
  <si>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</si>
  <si>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</si>
  <si>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</si>
  <si>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</si>
  <si>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</si>
  <si>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</si>
  <si>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</si>
  <si>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</si>
  <si>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</si>
  <si>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</si>
  <si>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</si>
  <si>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</si>
  <si>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</si>
  <si>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</si>
  <si>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</si>
  <si>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</si>
  <si>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</si>
  <si>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</si>
  <si>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</si>
  <si>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</si>
  <si>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</si>
  <si>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</si>
  <si>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</si>
  <si>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</si>
  <si>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</si>
  <si>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</si>
  <si>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</si>
  <si>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</si>
  <si>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</si>
  <si>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</si>
  <si>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</si>
  <si>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</si>
  <si>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</si>
  <si>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</si>
  <si>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</si>
  <si>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</si>
  <si>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</si>
  <si>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</si>
  <si>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</si>
  <si>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</si>
  <si>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</si>
  <si>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</si>
  <si>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</si>
  <si>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</si>
  <si>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</si>
  <si>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</si>
  <si>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</si>
  <si>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</si>
  <si>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</si>
  <si>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</si>
  <si>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</si>
  <si>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</si>
  <si>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</si>
  <si>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</si>
  <si>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</si>
  <si>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</si>
  <si>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</si>
  <si>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</si>
  <si>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</si>
  <si>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</si>
  <si>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</si>
  <si>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</si>
  <si>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</si>
  <si>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</si>
  <si>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</si>
  <si>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</si>
  <si>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</si>
  <si>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</si>
  <si>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</si>
  <si>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</si>
  <si>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</si>
  <si>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</si>
  <si>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</si>
  <si>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</si>
  <si>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</si>
  <si>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</si>
  <si>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</si>
  <si>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</si>
  <si>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</si>
  <si>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</si>
  <si>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</si>
  <si>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</si>
  <si>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</si>
  <si>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</si>
  <si>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</si>
  <si>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</si>
  <si>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</si>
  <si>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</si>
  <si>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</si>
  <si>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</si>
  <si>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</si>
  <si>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</si>
  <si>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</si>
  <si>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</si>
  <si>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</si>
  <si>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</si>
  <si>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</si>
  <si>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</si>
  <si>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</si>
  <si>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</si>
  <si>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</si>
  <si>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</si>
  <si>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</si>
  <si>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</si>
  <si>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</si>
  <si>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</si>
  <si>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</si>
  <si>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</si>
  <si>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</si>
  <si>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</si>
  <si>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</si>
  <si>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</si>
  <si>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</si>
  <si>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</si>
  <si>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</si>
  <si>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</si>
  <si>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</si>
  <si>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</si>
  <si>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</si>
  <si>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</si>
  <si>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</si>
  <si>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</si>
  <si>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</si>
  <si>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</si>
  <si>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</si>
  <si>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</si>
  <si>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</si>
  <si>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</si>
  <si>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</si>
  <si>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</si>
  <si>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</si>
  <si>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</si>
  <si>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</si>
  <si>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</si>
  <si>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</si>
  <si>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</si>
  <si>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</si>
  <si>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</si>
  <si>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</si>
  <si>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</si>
  <si>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</si>
  <si>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</si>
  <si>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</si>
  <si>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</si>
  <si>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</si>
  <si>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</si>
  <si>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</si>
  <si>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</si>
  <si>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</si>
  <si>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</si>
  <si>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</si>
  <si>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</si>
  <si>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</si>
  <si>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</si>
  <si>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</si>
  <si>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</si>
  <si>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</si>
  <si>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</si>
  <si>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</si>
  <si>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</si>
  <si>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</si>
  <si>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</si>
  <si>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</si>
  <si>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</si>
  <si>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</si>
  <si>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</si>
  <si>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</si>
  <si>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</si>
  <si>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</si>
  <si>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</si>
  <si>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</si>
  <si>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</si>
  <si>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</si>
  <si>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</si>
  <si>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</si>
  <si>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</si>
  <si>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</si>
  <si>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</si>
  <si>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</si>
  <si>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</si>
  <si>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</si>
  <si>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</si>
  <si>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</si>
  <si>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</si>
  <si>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</si>
  <si>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</si>
  <si>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</si>
  <si>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</si>
  <si>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</si>
  <si>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</si>
  <si>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</si>
  <si>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</si>
  <si>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</si>
  <si>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</si>
  <si>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</si>
  <si>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</si>
  <si>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</si>
  <si>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</si>
  <si>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</si>
  <si>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</si>
  <si>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</si>
  <si>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</si>
  <si>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</si>
  <si>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</si>
  <si>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</si>
  <si>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</si>
  <si>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</si>
  <si>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Umair</t>
  </si>
  <si>
    <t>Address: Nashter Bazar</t>
  </si>
  <si>
    <t xml:space="preserve">A1 Bakery </t>
  </si>
  <si>
    <t xml:space="preserve">Al Hamd Bakery </t>
  </si>
  <si>
    <t>Madina Store</t>
  </si>
  <si>
    <t xml:space="preserve">Every K Bakery </t>
  </si>
  <si>
    <t xml:space="preserve">SS Bakers </t>
  </si>
  <si>
    <t>SS Bakers Shop 1</t>
  </si>
  <si>
    <t>Sheikh Hasham 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</si>
</sst>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1" workbookViewId="0">
      <selection activeCell="E30" sqref="E3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46296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A1 Bakery </v>
      </c>
      <c r="T3" s="301">
        <f>+'1'!P35</f>
        <v>1568.1057925423729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Al Hamd Bakery </v>
      </c>
      <c r="T4" s="301">
        <f>+'2'!P35</f>
        <v>2265.051582838983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Madina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Every K Bakery </v>
      </c>
      <c r="T6" s="301">
        <f>+'4'!P35</f>
        <v>679.51547485169476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19</v>
      </c>
      <c r="I7" s="235">
        <f>(G7*D7)*F7+H7*F7</f>
        <v>996.78750000000002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79.742999999999995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34.887562500000001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882.15693750000003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188.38983050847449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5.3527338400423723</v>
      </c>
      <c r="P7" s="310">
        <f>M7+N7+O7</f>
        <v>1075.899501848517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SS Bakers </v>
      </c>
      <c r="T7" s="301">
        <f>+'5'!P35</f>
        <v>1881.7269510508474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16</v>
      </c>
      <c r="I8" s="236">
        <f t="shared" ref="I8:I14" si="0">(G8*D8)*F8+H8*F8</f>
        <v>839.4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67.152000000000001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29.379000000000001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742.86899999999991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158.6440677966101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4.5075653389830501</v>
      </c>
      <c r="P8" s="311">
        <f t="shared" ref="P8:P15" si="2">M8+N8+O8</f>
        <v>906.02063313559302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SS Bakers Shop 1</v>
      </c>
      <c r="T8" s="301">
        <f>+'6'!P35</f>
        <v>3136.2115850847463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17</v>
      </c>
      <c r="I9" s="236">
        <f t="shared" si="0"/>
        <v>891.86249999999995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71.34899999999999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31.215187500000003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789.29831249999995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168.55932203389824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4.7892881726694911</v>
      </c>
      <c r="P9" s="311">
        <f t="shared" si="2"/>
        <v>962.64692270656758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Sheikh Hasham GS</v>
      </c>
      <c r="T9" s="301">
        <f>+'7'!P35</f>
        <v>784.05289627118646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41</v>
      </c>
      <c r="I10" s="236">
        <f t="shared" si="0"/>
        <v>2978.2400000000002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238.25920000000002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104.23840000000001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2635.7424000000001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562.88135593220341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15.993118779661017</v>
      </c>
      <c r="P10" s="311">
        <f t="shared" si="2"/>
        <v>3214.6168747118645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34</v>
      </c>
      <c r="I11" s="236">
        <f t="shared" si="0"/>
        <v>2469.7600000000002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197.58080000000001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86.441600000000008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2185.7376000000004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466.77966101694921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13.262586305084746</v>
      </c>
      <c r="P11" s="311">
        <f t="shared" si="2"/>
        <v>2665.7798473220346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59</v>
      </c>
      <c r="I12" s="236">
        <f t="shared" si="0"/>
        <v>4285.76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342.86080000000004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150.00160000000002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3792.8976000000002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810.00000000000011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23.014488000000004</v>
      </c>
      <c r="P12" s="311">
        <f t="shared" si="2"/>
        <v>4625.912088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4.6500000000000004</v>
      </c>
      <c r="H16" s="113">
        <f t="shared" ref="H16:M16" si="3">SUM(H7:H15)</f>
        <v>186</v>
      </c>
      <c r="I16" s="114">
        <f t="shared" si="3"/>
        <v>12461.810000000001</v>
      </c>
      <c r="J16" s="274">
        <f>SUM(J7:J15)</f>
        <v>996.9448000000001</v>
      </c>
      <c r="K16" s="275">
        <f t="shared" si="3"/>
        <v>436.16335000000004</v>
      </c>
      <c r="L16" s="276">
        <f t="shared" si="3"/>
        <v>0</v>
      </c>
      <c r="M16" s="232">
        <f t="shared" si="3"/>
        <v>11028.701850000001</v>
      </c>
      <c r="N16" s="233">
        <f>SUM(N7:N15)</f>
        <v>2355.2542372881353</v>
      </c>
      <c r="O16" s="101">
        <f>SUM(O7:O15)</f>
        <v>66.919780436440675</v>
      </c>
      <c r="P16" s="113">
        <f>SUM(P7:P15)</f>
        <v>13450.875867724579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12461.810000000001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996.9448000000001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436.16335000000004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11028.701850000001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2355.2542372881353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13383.956087288137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66.919780436440675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13450.875867724579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13450.875867724575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20</v>
      </c>
      <c r="I25" s="114">
        <f t="shared" ref="I25:M25" si="10">SUM(I16:I24)</f>
        <v>1452.8</v>
      </c>
      <c r="J25" s="274">
        <f>SUM(J16:J24)</f>
        <v>116.224</v>
      </c>
      <c r="K25" s="275">
        <f t="shared" si="10"/>
        <v>50.848000000000006</v>
      </c>
      <c r="L25" s="276">
        <f t="shared" si="10"/>
        <v>0</v>
      </c>
      <c r="M25" s="232">
        <f t="shared" si="10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13</v>
      </c>
      <c r="I18" s="236">
        <f t="shared" si="0"/>
        <v>682.01249999999993</v>
      </c>
      <c r="J18" s="272">
        <f t="shared" si="1"/>
        <v>54.560999999999993</v>
      </c>
      <c r="K18" s="128">
        <f t="shared" si="1"/>
        <v>23.870437500000001</v>
      </c>
      <c r="L18" s="119">
        <f t="shared" si="1"/>
        <v>0</v>
      </c>
      <c r="M18" s="230">
        <f t="shared" si="2"/>
        <v>603.58106249999992</v>
      </c>
      <c r="N18" s="277">
        <f t="shared" si="3"/>
        <v>128.89830508474572</v>
      </c>
      <c r="O18" s="239">
        <f t="shared" si="4"/>
        <v>3.6623968379237284</v>
      </c>
      <c r="P18" s="119">
        <f t="shared" si="5"/>
        <v>736.14176442266944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396.61016949152531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396.61016949152531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Q20" s="319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50.364000000000004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679.51547485169476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629.54999999999995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50.364000000000004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22.03425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557.15174999999988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676.13480084745743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4" t="s">
        <v>88</v>
      </c>
      <c r="O35" s="375"/>
      <c r="P35" s="297">
        <f>+P33+P34</f>
        <v>679.51547485169476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1743.3600000000001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139.46880000000002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61.017600000000009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1542.8736000000001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1872.3651254237288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74" t="s">
        <v>88</v>
      </c>
      <c r="O35" s="375"/>
      <c r="P35" s="297">
        <f>+P33+P34</f>
        <v>1881.7269510508474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14</v>
      </c>
      <c r="I19" s="236">
        <f t="shared" si="0"/>
        <v>1016.96</v>
      </c>
      <c r="J19" s="272">
        <f t="shared" si="1"/>
        <v>81.356800000000007</v>
      </c>
      <c r="K19" s="128">
        <f t="shared" si="1"/>
        <v>35.593600000000002</v>
      </c>
      <c r="L19" s="119">
        <f t="shared" si="1"/>
        <v>0</v>
      </c>
      <c r="M19" s="230">
        <f t="shared" si="2"/>
        <v>900.00960000000009</v>
      </c>
      <c r="N19" s="277">
        <f t="shared" si="3"/>
        <v>192.20338983050848</v>
      </c>
      <c r="O19" s="239">
        <f t="shared" si="4"/>
        <v>5.4610649491525427</v>
      </c>
      <c r="P19" s="119">
        <f t="shared" si="5"/>
        <v>1097.6740547796612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13</v>
      </c>
      <c r="I21" s="236">
        <f t="shared" si="0"/>
        <v>944.32</v>
      </c>
      <c r="J21" s="272">
        <f t="shared" si="1"/>
        <v>75.545600000000007</v>
      </c>
      <c r="K21" s="128">
        <f t="shared" si="1"/>
        <v>33.051200000000001</v>
      </c>
      <c r="L21" s="119">
        <f t="shared" si="1"/>
        <v>0</v>
      </c>
      <c r="M21" s="230">
        <f t="shared" si="2"/>
        <v>835.72320000000002</v>
      </c>
      <c r="N21" s="277">
        <f t="shared" si="3"/>
        <v>178.47457627118644</v>
      </c>
      <c r="O21" s="239">
        <f t="shared" si="4"/>
        <v>5.070988881355933</v>
      </c>
      <c r="P21" s="119">
        <f t="shared" si="5"/>
        <v>1019.2687651525424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232.44800000000001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549.15254237288127</v>
      </c>
      <c r="O25" s="101">
        <f>SUM(O16:O24)</f>
        <v>15.603042711864408</v>
      </c>
      <c r="P25" s="234">
        <f>SUM(P16:P24)</f>
        <v>3136.2115850847463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549.15254237288127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3136.2115850847463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2026-09-30T12:37:54Z</dcterms:modified>
</cp:coreProperties>
</file>