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A99C4E-3FC8-420A-8BF0-1C34BF4E17E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<sst xmlns="http://schemas.openxmlformats.org/spreadsheetml/2006/main" count="3948" uniqueCount="518">
  <si>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</si>
  <si>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</si>
  <si>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</si>
  <si>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</si>
  <si>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</si>
  <si>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</si>
  <si>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</si>
  <si>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</si>
  <si>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</si>
  <si>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</si>
  <si>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</si>
  <si>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</si>
  <si>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</si>
  <si>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</si>
  <si>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</si>
  <si>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</si>
  <si>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</si>
  <si>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</si>
  <si>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</si>
  <si>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</si>
  <si>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</si>
  <si>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</si>
  <si>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</si>
  <si>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</si>
  <si>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</si>
  <si>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</si>
  <si>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</si>
  <si>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</si>
  <si>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</si>
  <si>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</si>
  <si>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</si>
  <si>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</si>
  <si>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</si>
  <si>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</si>
  <si>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</si>
  <si>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</si>
  <si>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</si>
  <si>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</si>
  <si>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</si>
  <si>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</si>
  <si>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</si>
  <si>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</si>
  <si>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</si>
  <si>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</si>
  <si>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</si>
  <si>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</si>
  <si>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</si>
  <si>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</si>
  <si>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</si>
  <si>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</si>
  <si>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</si>
  <si>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</si>
  <si>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</si>
  <si>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</si>
  <si>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</si>
  <si>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</si>
  <si>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</si>
  <si>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</si>
  <si>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</si>
  <si>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</si>
  <si>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</si>
  <si>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</si>
  <si>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</si>
  <si>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</si>
  <si>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</si>
  <si>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</si>
  <si>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</si>
  <si>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</si>
  <si>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</si>
  <si>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</si>
  <si>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</si>
  <si>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</si>
  <si>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</si>
  <si>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</si>
  <si>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</si>
  <si>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</si>
  <si>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</si>
  <si>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</si>
  <si>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</si>
  <si>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</si>
  <si>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</si>
  <si>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</si>
  <si>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</si>
  <si>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</si>
  <si>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</si>
  <si>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</si>
  <si>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</si>
  <si>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</si>
  <si>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</si>
  <si>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</si>
  <si>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</si>
  <si>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</si>
  <si>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</si>
  <si>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</si>
  <si>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</si>
  <si>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</si>
  <si>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</si>
  <si>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</si>
  <si>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</si>
  <si>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</si>
  <si>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</si>
  <si>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</si>
  <si>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</si>
  <si>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</si>
  <si>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</si>
  <si>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</si>
  <si>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</si>
  <si>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</si>
  <si>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</si>
  <si>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</si>
  <si>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</si>
  <si>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</si>
  <si>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</si>
  <si>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</si>
  <si>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</si>
  <si>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</si>
  <si>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</si>
  <si>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</si>
  <si>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</si>
  <si>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</si>
  <si>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</si>
  <si>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</si>
  <si>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</si>
  <si>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</si>
  <si>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</si>
  <si>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</si>
  <si>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</si>
  <si>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</si>
  <si>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</si>
  <si>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</si>
  <si>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</si>
  <si>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</si>
  <si>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</si>
  <si>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</si>
  <si>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</si>
  <si>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</si>
  <si>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</si>
  <si>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</si>
  <si>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</si>
  <si>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</si>
  <si>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</si>
  <si>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</si>
  <si>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</si>
  <si>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</si>
  <si>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</si>
  <si>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</si>
  <si>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</si>
  <si>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</si>
  <si>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</si>
  <si>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</si>
  <si>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</si>
  <si>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</si>
  <si>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</si>
  <si>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</si>
  <si>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</si>
  <si>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</si>
  <si>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</si>
  <si>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</si>
  <si>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</si>
  <si>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</si>
  <si>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</si>
  <si>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</si>
  <si>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</si>
  <si>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</si>
  <si>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</si>
  <si>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</si>
  <si>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</si>
  <si>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</si>
  <si>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</si>
  <si>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</si>
  <si>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</si>
  <si>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</si>
  <si>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</si>
  <si>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</si>
  <si>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</si>
  <si>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</si>
  <si>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</si>
  <si>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</si>
  <si>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</si>
  <si>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</si>
  <si>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</si>
  <si>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</si>
  <si>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</si>
  <si>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</si>
  <si>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</si>
  <si>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</si>
  <si>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</si>
  <si>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</si>
  <si>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</si>
  <si>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</si>
  <si>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</si>
  <si>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</si>
  <si>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</si>
  <si>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</si>
  <si>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</si>
  <si>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</si>
  <si>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</si>
  <si>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</si>
  <si>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</si>
  <si>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</si>
  <si>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</si>
  <si>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</si>
  <si>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</si>
  <si>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</si>
  <si>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</si>
  <si>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</si>
  <si>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</si>
  <si>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</si>
  <si>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</si>
  <si>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</si>
  <si>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</si>
  <si>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</si>
  <si>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</si>
  <si>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</si>
  <si>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</si>
  <si>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</si>
  <si>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</si>
  <si>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</si>
  <si>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</si>
  <si>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</si>
  <si>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</si>
  <si>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</si>
  <si>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</si>
  <si>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</si>
  <si>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</si>
  <si>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</si>
  <si>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</si>
  <si>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</si>
  <si>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</si>
  <si>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</si>
  <si>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</si>
  <si>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</si>
  <si>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</si>
  <si>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</si>
  <si>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</si>
  <si>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</si>
  <si>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</si>
  <si>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</si>
  <si>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</si>
  <si>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</si>
  <si>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</si>
  <si>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</si>
  <si>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</si>
  <si>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</si>
  <si>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</si>
  <si>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</si>
  <si>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</si>
  <si>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</si>
  <si>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</si>
  <si>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</si>
  <si>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</si>
  <si>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</si>
  <si>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</si>
  <si>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</si>
  <si>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</si>
  <si>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</si>
  <si>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</si>
  <si>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</si>
  <si>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</si>
  <si>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</si>
  <si>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</si>
  <si>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</si>
  <si>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</si>
  <si>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</si>
  <si>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</si>
  <si>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</si>
  <si>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</si>
  <si>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</si>
  <si>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</si>
  <si>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</si>
  <si>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</si>
  <si>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</si>
  <si>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</si>
  <si>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</si>
  <si>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</si>
  <si>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</si>
  <si>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</si>
  <si>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</si>
  <si>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</si>
  <si>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</si>
  <si>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</si>
  <si>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</si>
  <si>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</si>
  <si>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</si>
  <si>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</si>
  <si>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</si>
  <si>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</si>
  <si>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</si>
  <si>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</si>
  <si>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</si>
  <si>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</si>
  <si>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</si>
  <si>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</si>
  <si>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</si>
  <si>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</si>
  <si>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</si>
  <si>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</si>
  <si>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</si>
  <si>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</si>
  <si>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</si>
  <si>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</si>
  <si>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</si>
  <si>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</si>
  <si>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</si>
  <si>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</si>
  <si>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</si>
  <si>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</si>
  <si>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</si>
  <si>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</si>
  <si>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</si>
  <si>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</si>
  <si>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</si>
  <si>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</si>
  <si>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</si>
  <si>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</si>
  <si>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</si>
  <si>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</si>
  <si>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</si>
  <si>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</si>
  <si>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</si>
  <si>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</si>
  <si>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</si>
  <si>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</si>
  <si>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</si>
  <si>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</si>
  <si>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</si>
  <si>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</si>
  <si>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</si>
  <si>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</si>
  <si>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</si>
  <si>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</si>
  <si>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</si>
  <si>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</si>
  <si>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</si>
  <si>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</si>
  <si>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</si>
  <si>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</si>
  <si>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</si>
  <si>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</si>
  <si>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</si>
  <si>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</si>
  <si>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</si>
  <si>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</si>
  <si>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</si>
  <si>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</si>
  <si>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</si>
  <si>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</si>
  <si>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</si>
  <si>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</si>
  <si>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</si>
  <si>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</si>
  <si>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</si>
  <si>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</si>
  <si>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</si>
  <si>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</si>
  <si>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</si>
  <si>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</si>
  <si>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</si>
  <si>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</si>
  <si>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</si>
  <si>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</si>
  <si>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</si>
  <si>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</si>
  <si>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</si>
  <si>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</si>
  <si>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</si>
  <si>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</si>
  <si>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</si>
  <si>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</si>
  <si>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</si>
  <si>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</si>
  <si>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</si>
  <si>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</si>
  <si>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</si>
  <si>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</si>
  <si>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</si>
  <si>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</si>
  <si>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</si>
  <si>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</si>
  <si>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</si>
  <si>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</si>
  <si>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</si>
  <si>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</si>
  <si>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</si>
  <si>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</si>
  <si>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</si>
  <si>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</si>
  <si>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</si>
  <si>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</si>
  <si>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</si>
  <si>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</si>
  <si>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</si>
  <si>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</si>
  <si>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</si>
  <si>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</si>
  <si>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</si>
  <si>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</si>
  <si>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</si>
  <si>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</si>
  <si>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</si>
  <si>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</si>
  <si>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</si>
  <si>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</si>
  <si>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</si>
  <si>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</si>
  <si>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</si>
  <si>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</si>
  <si>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</si>
  <si>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</si>
  <si>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</si>
  <si>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</si>
  <si>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</si>
  <si>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</si>
  <si>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</si>
  <si>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</si>
  <si>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</si>
  <si>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</si>
  <si>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</si>
  <si>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</si>
  <si>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</si>
  <si>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</si>
  <si>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</si>
  <si>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</si>
  <si>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</si>
  <si>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</si>
  <si>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</si>
  <si>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</si>
  <si>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</si>
  <si>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</si>
  <si>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</si>
  <si>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</si>
  <si>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</si>
  <si>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</si>
  <si>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</si>
  <si>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</si>
  <si>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</si>
  <si>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</si>
  <si>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</si>
  <si>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</si>
  <si>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</si>
  <si>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</si>
  <si>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</si>
  <si>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</si>
  <si>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</si>
  <si>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</si>
  <si>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</si>
  <si>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</si>
  <si>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</si>
  <si>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</si>
  <si>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</si>
  <si>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</si>
  <si>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</si>
  <si>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</si>
  <si>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</si>
  <si>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</si>
  <si>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</si>
  <si>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</si>
  <si>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</si>
  <si>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</si>
  <si>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</si>
  <si>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</si>
  <si>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</si>
  <si>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</si>
  <si>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</si>
  <si>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</si>
  <si>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</si>
  <si>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</si>
  <si>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</si>
  <si>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</si>
  <si>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</si>
  <si>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</si>
  <si>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</si>
  <si>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</si>
  <si>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</si>
  <si>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</si>
  <si>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</si>
  <si>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</si>
  <si>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</si>
  <si>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</si>
  <si>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</si>
  <si>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</si>
  <si>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</si>
  <si>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</si>
  <si>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</si>
  <si>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</si>
  <si>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</si>
  <si>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</si>
  <si>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</si>
  <si>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</si>
  <si>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</si>
  <si>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</si>
  <si>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</si>
  <si>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</si>
  <si>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</si>
  <si>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</si>
  <si>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</si>
  <si>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</si>
  <si>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</si>
  <si>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</si>
  <si>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</si>
  <si>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</si>
  <si>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</si>
  <si>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</si>
  <si>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</si>
  <si>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</si>
  <si>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</si>
  <si>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</si>
  <si>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</si>
  <si>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</si>
  <si>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</si>
  <si>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</si>
  <si>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</si>
  <si>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</si>
  <si>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</si>
  <si>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Address: Sadar </t>
  </si>
  <si>
    <t>Shalimar Store</t>
  </si>
  <si>
    <t xml:space="preserve">Shaheen Bakers </t>
  </si>
  <si>
    <t xml:space="preserve">Al Falah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</si>
</sst>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Shalimar Store</v>
      </c>
      <c r="T3" s="301">
        <f>+'1'!P35</f>
        <v>15243.038725423728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Shaheen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Falah Bakers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726.4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5932.8720000000003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36.185546440677967</v>
      </c>
      <c r="P10" s="311">
        <f t="shared" si="2"/>
        <v>7273.2948345762716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5611.4400000000005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34.235166101694915</v>
      </c>
      <c r="P11" s="311">
        <f t="shared" si="2"/>
        <v>6881.2683864406781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3448.5839999999998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21.018343728813559</v>
      </c>
      <c r="P12" s="311">
        <f t="shared" si="2"/>
        <v>4224.6870894915255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</v>
      </c>
      <c r="H16" s="113">
        <f t="shared" ref="H16:M16" si="3">SUM(H7:H15)</f>
        <v>240</v>
      </c>
      <c r="I16" s="114">
        <f t="shared" si="3"/>
        <v>17433.600000000002</v>
      </c>
      <c r="J16" s="274">
        <f>SUM(J7:J15)</f>
        <v>1830.5279999999998</v>
      </c>
      <c r="K16" s="275">
        <f t="shared" si="3"/>
        <v>610.17600000000004</v>
      </c>
      <c r="L16" s="276">
        <f t="shared" si="3"/>
        <v>0</v>
      </c>
      <c r="M16" s="232">
        <f t="shared" si="3"/>
        <v>14992.896000000001</v>
      </c>
      <c r="N16" s="233">
        <f>SUM(N7:N15)</f>
        <v>3294.9152542372881</v>
      </c>
      <c r="O16" s="101">
        <f>SUM(O7:O15)</f>
        <v>91.439056271186445</v>
      </c>
      <c r="P16" s="113">
        <f>SUM(P7:P15)</f>
        <v>18379.250310508476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17433.600000000002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1830.5279999999998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610.17600000000004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14992.896000000002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3294.9152542372881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18287.811254237291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91.439056271186445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18379.250310508476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18379.250310508476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639.23199999999997</v>
      </c>
      <c r="K19" s="128">
        <f t="shared" si="1"/>
        <v>203.39200000000002</v>
      </c>
      <c r="L19" s="119">
        <f t="shared" si="1"/>
        <v>0</v>
      </c>
      <c r="M19" s="230">
        <f t="shared" si="2"/>
        <v>4968.576</v>
      </c>
      <c r="N19" s="277">
        <f t="shared" si="3"/>
        <v>1098.3050847457628</v>
      </c>
      <c r="O19" s="239">
        <f t="shared" si="4"/>
        <v>30.334405423728814</v>
      </c>
      <c r="P19" s="119">
        <f t="shared" si="5"/>
        <v>6097.2154901694912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639.23199999999997</v>
      </c>
      <c r="K20" s="128">
        <f t="shared" si="1"/>
        <v>203.39200000000002</v>
      </c>
      <c r="L20" s="119">
        <f t="shared" si="1"/>
        <v>0</v>
      </c>
      <c r="M20" s="230">
        <f t="shared" si="2"/>
        <v>4968.576</v>
      </c>
      <c r="N20" s="277">
        <f t="shared" si="3"/>
        <v>1098.3050847457628</v>
      </c>
      <c r="O20" s="239">
        <f t="shared" si="4"/>
        <v>30.334405423728814</v>
      </c>
      <c r="P20" s="119">
        <f t="shared" si="5"/>
        <v>6097.2154901694912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1598.08</v>
      </c>
      <c r="K25" s="275">
        <f t="shared" si="10"/>
        <v>508.48000000000008</v>
      </c>
      <c r="L25" s="276">
        <f t="shared" si="10"/>
        <v>0</v>
      </c>
      <c r="M25" s="232">
        <f t="shared" si="10"/>
        <v>12421.44</v>
      </c>
      <c r="N25" s="233">
        <f>SUM(N16:N24)</f>
        <v>2745.7627118644068</v>
      </c>
      <c r="O25" s="101">
        <f>SUM(O16:O24)</f>
        <v>75.836013559322041</v>
      </c>
      <c r="P25" s="234">
        <f>SUM(P16:P24)</f>
        <v>15243.038725423728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1598.08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508.48000000000008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12421.44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15167.202711864407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75.836013559322041</v>
      </c>
    </row>
    <row r="35" spans="2:16" ht="15.75" customHeight="1" thickBot="1" x14ac:dyDescent="0.4">
      <c r="N35" s="345" t="s">
        <v>88</v>
      </c>
      <c r="O35" s="346"/>
      <c r="P35" s="297">
        <f>+P33+P34</f>
        <v>15243.038725423728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H22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36328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2026-10-01T09:52:00Z</dcterms:modified>
</cp:coreProperties>
</file>