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209DC1-D56B-4A94-94E5-3D5FB516097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<sst xmlns="http://schemas.openxmlformats.org/spreadsheetml/2006/main" count="3948" uniqueCount="518">
  <si>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</si>
  <si>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</si>
  <si>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</si>
  <si>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</si>
  <si>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</si>
  <si>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</si>
  <si>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</si>
  <si>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</si>
  <si>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</si>
  <si>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</si>
  <si>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</si>
  <si>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</si>
  <si>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</si>
  <si>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</si>
  <si>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</si>
  <si>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</si>
  <si>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</si>
  <si>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</si>
  <si>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</si>
  <si>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</si>
  <si>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</si>
  <si>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</si>
  <si>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</si>
  <si>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</si>
  <si>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</si>
  <si>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</si>
  <si>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</si>
  <si>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</si>
  <si>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</si>
  <si>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</si>
  <si>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</si>
  <si>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</si>
  <si>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</si>
  <si>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</si>
  <si>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</si>
  <si>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</si>
  <si>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</si>
  <si>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</si>
  <si>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</si>
  <si>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</si>
  <si>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</si>
  <si>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</si>
  <si>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</si>
  <si>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</si>
  <si>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</si>
  <si>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</si>
  <si>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</si>
  <si>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</si>
  <si>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</si>
  <si>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</si>
  <si>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</si>
  <si>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</si>
  <si>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</si>
  <si>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</si>
  <si>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</si>
  <si>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</si>
  <si>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</si>
  <si>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</si>
  <si>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</si>
  <si>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</si>
  <si>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</si>
  <si>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</si>
  <si>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</si>
  <si>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</si>
  <si>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</si>
  <si>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</si>
  <si>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</si>
  <si>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</si>
  <si>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</si>
  <si>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</si>
  <si>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</si>
  <si>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</si>
  <si>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</si>
  <si>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</si>
  <si>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</si>
  <si>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</si>
  <si>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</si>
  <si>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</si>
  <si>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</si>
  <si>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</si>
  <si>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</si>
  <si>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</si>
  <si>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</si>
  <si>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</si>
  <si>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</si>
  <si>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</si>
  <si>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</si>
  <si>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</si>
  <si>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</si>
  <si>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</si>
  <si>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</si>
  <si>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</si>
  <si>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</si>
  <si>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</si>
  <si>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</si>
  <si>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</si>
  <si>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</si>
  <si>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</si>
  <si>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</si>
  <si>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</si>
  <si>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</si>
  <si>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</si>
  <si>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</si>
  <si>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</si>
  <si>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</si>
  <si>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</si>
  <si>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</si>
  <si>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</si>
  <si>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</si>
  <si>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</si>
  <si>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</si>
  <si>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</si>
  <si>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</si>
  <si>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</si>
  <si>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</si>
  <si>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</si>
  <si>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</si>
  <si>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</si>
  <si>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</si>
  <si>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</si>
  <si>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</si>
  <si>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</si>
  <si>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</si>
  <si>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</si>
  <si>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</si>
  <si>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</si>
  <si>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</si>
  <si>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</si>
  <si>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</si>
  <si>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</si>
  <si>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</si>
  <si>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</si>
  <si>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</si>
  <si>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</si>
  <si>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</si>
  <si>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</si>
  <si>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</si>
  <si>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</si>
  <si>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</si>
  <si>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</si>
  <si>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</si>
  <si>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</si>
  <si>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</si>
  <si>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</si>
  <si>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</si>
  <si>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</si>
  <si>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</si>
  <si>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</si>
  <si>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</si>
  <si>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</si>
  <si>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</si>
  <si>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</si>
  <si>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</si>
  <si>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</si>
  <si>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</si>
  <si>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</si>
  <si>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</si>
  <si>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</si>
  <si>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</si>
  <si>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</si>
  <si>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</si>
  <si>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</si>
  <si>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</si>
  <si>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</si>
  <si>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</si>
  <si>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</si>
  <si>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</si>
  <si>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</si>
  <si>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</si>
  <si>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</si>
  <si>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</si>
  <si>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</si>
  <si>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</si>
  <si>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</si>
  <si>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</si>
  <si>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</si>
  <si>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</si>
  <si>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</si>
  <si>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</si>
  <si>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</si>
  <si>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</si>
  <si>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</si>
  <si>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</si>
  <si>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</si>
  <si>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</si>
  <si>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</si>
  <si>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</si>
  <si>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</si>
  <si>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</si>
  <si>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</si>
  <si>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</si>
  <si>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</si>
  <si>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</si>
  <si>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</si>
  <si>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</si>
  <si>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</si>
  <si>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</si>
  <si>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</si>
  <si>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</si>
  <si>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</si>
  <si>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</si>
  <si>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</si>
  <si>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</si>
  <si>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</si>
  <si>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</si>
  <si>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</si>
  <si>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</si>
  <si>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</si>
  <si>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</si>
  <si>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</si>
  <si>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</si>
  <si>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</si>
  <si>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</si>
  <si>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</si>
  <si>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</si>
  <si>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</si>
  <si>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</si>
  <si>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</si>
  <si>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</si>
  <si>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</si>
  <si>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</si>
  <si>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</si>
  <si>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</si>
  <si>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</si>
  <si>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</si>
  <si>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</si>
  <si>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</si>
  <si>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</si>
  <si>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</si>
  <si>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</si>
  <si>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</si>
  <si>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</si>
  <si>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</si>
  <si>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</si>
  <si>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</si>
  <si>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</si>
  <si>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</si>
  <si>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</si>
  <si>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</si>
  <si>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</si>
  <si>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</si>
  <si>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</si>
  <si>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</si>
  <si>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</si>
  <si>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</si>
  <si>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</si>
  <si>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</si>
  <si>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</si>
  <si>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</si>
  <si>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</si>
  <si>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</si>
  <si>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</si>
  <si>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</si>
  <si>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</si>
  <si>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</si>
  <si>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</si>
  <si>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</si>
  <si>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</si>
  <si>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</si>
  <si>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</si>
  <si>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</si>
  <si>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</si>
  <si>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</si>
  <si>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</si>
  <si>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</si>
  <si>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</si>
  <si>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</si>
  <si>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</si>
  <si>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</si>
  <si>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</si>
  <si>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</si>
  <si>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</si>
  <si>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</si>
  <si>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</si>
  <si>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</si>
  <si>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</si>
  <si>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</si>
  <si>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</si>
  <si>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</si>
  <si>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</si>
  <si>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</si>
  <si>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</si>
  <si>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</si>
  <si>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</si>
  <si>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</si>
  <si>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</si>
  <si>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</si>
  <si>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</si>
  <si>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</si>
  <si>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</si>
  <si>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</si>
  <si>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</si>
  <si>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</si>
  <si>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</si>
  <si>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</si>
  <si>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</si>
  <si>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</si>
  <si>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</si>
  <si>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</si>
  <si>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</si>
  <si>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</si>
  <si>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</si>
  <si>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</si>
  <si>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</si>
  <si>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</si>
  <si>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</si>
  <si>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</si>
  <si>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</si>
  <si>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</si>
  <si>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</si>
  <si>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</si>
  <si>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</si>
  <si>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</si>
  <si>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</si>
  <si>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</si>
  <si>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</si>
  <si>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</si>
  <si>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</si>
  <si>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</si>
  <si>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</si>
  <si>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</si>
  <si>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</si>
  <si>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</si>
  <si>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</si>
  <si>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</si>
  <si>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</si>
  <si>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</si>
  <si>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</si>
  <si>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</si>
  <si>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</si>
  <si>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</si>
  <si>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</si>
  <si>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</si>
  <si>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</si>
  <si>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</si>
  <si>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</si>
  <si>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</si>
  <si>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</si>
  <si>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</si>
  <si>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</si>
  <si>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</si>
  <si>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</si>
  <si>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</si>
  <si>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</si>
  <si>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</si>
  <si>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</si>
  <si>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</si>
  <si>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</si>
  <si>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</si>
  <si>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</si>
  <si>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</si>
  <si>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</si>
  <si>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</si>
  <si>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</si>
  <si>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</si>
  <si>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</si>
  <si>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</si>
  <si>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</si>
  <si>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</si>
  <si>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</si>
  <si>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</si>
  <si>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</si>
  <si>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</si>
  <si>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</si>
  <si>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</si>
  <si>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</si>
  <si>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</si>
  <si>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</si>
  <si>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</si>
  <si>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</si>
  <si>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</si>
  <si>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</si>
  <si>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</si>
  <si>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</si>
  <si>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</si>
  <si>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</si>
  <si>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</si>
  <si>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</si>
  <si>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</si>
  <si>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</si>
  <si>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</si>
  <si>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</si>
  <si>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</si>
  <si>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</si>
  <si>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</si>
  <si>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</si>
  <si>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</si>
  <si>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</si>
  <si>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</si>
  <si>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</si>
  <si>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</si>
  <si>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</si>
  <si>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</si>
  <si>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</si>
  <si>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</si>
  <si>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</si>
  <si>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</si>
  <si>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</si>
  <si>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</si>
  <si>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</si>
  <si>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</si>
  <si>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</si>
  <si>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</si>
  <si>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</si>
  <si>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</si>
  <si>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</si>
  <si>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</si>
  <si>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</si>
  <si>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</si>
  <si>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</si>
  <si>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</si>
  <si>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</si>
  <si>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</si>
  <si>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</si>
  <si>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</si>
  <si>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</si>
  <si>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</si>
  <si>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</si>
  <si>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</si>
  <si>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</si>
  <si>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</si>
  <si>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</si>
  <si>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</si>
  <si>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</si>
  <si>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</si>
  <si>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</si>
  <si>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</si>
  <si>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</si>
  <si>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</si>
  <si>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</si>
  <si>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</si>
  <si>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</si>
  <si>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</si>
  <si>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</si>
  <si>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</si>
  <si>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</si>
  <si>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</si>
  <si>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</si>
  <si>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</si>
  <si>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</si>
  <si>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</si>
  <si>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</si>
  <si>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</si>
  <si>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</si>
  <si>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</si>
  <si>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</si>
  <si>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</si>
  <si>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</si>
  <si>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</si>
  <si>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</si>
  <si>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</si>
  <si>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</si>
  <si>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</si>
  <si>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</si>
  <si>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</si>
  <si>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</si>
  <si>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</si>
  <si>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</si>
  <si>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</si>
  <si>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</si>
  <si>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</si>
  <si>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</si>
  <si>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</si>
  <si>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</si>
  <si>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</si>
  <si>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</si>
  <si>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</si>
  <si>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</si>
  <si>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</si>
  <si>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</si>
  <si>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</si>
  <si>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</si>
  <si>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</si>
  <si>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</si>
  <si>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</si>
  <si>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</si>
  <si>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</si>
  <si>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</si>
  <si>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</si>
  <si>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</si>
  <si>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</si>
  <si>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</si>
  <si>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</si>
  <si>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</si>
  <si>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</si>
  <si>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</si>
  <si>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</si>
  <si>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</si>
  <si>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</si>
  <si>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</si>
  <si>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</si>
  <si>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</si>
  <si>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</si>
  <si>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</si>
  <si>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</si>
  <si>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</si>
  <si>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</si>
  <si>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</si>
  <si>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</si>
  <si>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</si>
  <si>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</si>
  <si>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</si>
  <si>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</si>
  <si>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</si>
  <si>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</si>
  <si>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</si>
  <si>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</si>
  <si>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</si>
  <si>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</si>
  <si>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</si>
  <si>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</si>
  <si>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</si>
  <si>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</si>
  <si>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</si>
  <si>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Address: Sadar </t>
  </si>
  <si>
    <t>Shalimar Store</t>
  </si>
  <si>
    <t xml:space="preserve">Shaheen Bakers </t>
  </si>
  <si>
    <t xml:space="preserve">Al Falah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</si>
</sst>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4" workbookViewId="0">
      <selection activeCell="E18" sqref="E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Shalimar Store</v>
      </c>
      <c r="T3" s="301">
        <f>+'1'!P35</f>
        <v>15243.038725423728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Shaheen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110</v>
      </c>
      <c r="I10" s="236">
        <f t="shared" si="0"/>
        <v>7990.4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279.66400000000004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6897.1679999999997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1510.1694915254238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42.036687457627117</v>
      </c>
      <c r="P10" s="311">
        <f t="shared" si="2"/>
        <v>8449.374178983051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755.4559999999999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6254.3040000000001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38.13592677966102</v>
      </c>
      <c r="P11" s="311">
        <f t="shared" si="2"/>
        <v>7665.3212827118641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4412.88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26.869484745762712</v>
      </c>
      <c r="P12" s="311">
        <f t="shared" si="2"/>
        <v>5400.766433898305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20339.2</v>
      </c>
      <c r="J16" s="274">
        <f>SUM(J7:J15)</f>
        <v>2062.9759999999997</v>
      </c>
      <c r="K16" s="275">
        <f t="shared" si="3"/>
        <v>711.87200000000007</v>
      </c>
      <c r="L16" s="276">
        <f t="shared" si="3"/>
        <v>0</v>
      </c>
      <c r="M16" s="232">
        <f t="shared" si="3"/>
        <v>17564.351999999999</v>
      </c>
      <c r="N16" s="233">
        <f>SUM(N7:N15)</f>
        <v>3844.0677966101698</v>
      </c>
      <c r="O16" s="101">
        <f>SUM(O7:O15)</f>
        <v>107.04209898305086</v>
      </c>
      <c r="P16" s="113">
        <f>SUM(P7:P15)</f>
        <v>21515.46189559322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20339.2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2062.9759999999997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711.87200000000007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17564.352000000003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3844.0677966101698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21408.419796610171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107.04209898305086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21515.46189559322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21515.461895593224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639.23199999999997</v>
      </c>
      <c r="K19" s="128">
        <f t="shared" si="1"/>
        <v>203.39200000000002</v>
      </c>
      <c r="L19" s="119">
        <f t="shared" si="1"/>
        <v>0</v>
      </c>
      <c r="M19" s="230">
        <f t="shared" si="2"/>
        <v>4968.576</v>
      </c>
      <c r="N19" s="277">
        <f t="shared" si="3"/>
        <v>1098.3050847457628</v>
      </c>
      <c r="O19" s="239">
        <f t="shared" si="4"/>
        <v>30.334405423728814</v>
      </c>
      <c r="P19" s="119">
        <f t="shared" si="5"/>
        <v>6097.2154901694912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639.23199999999997</v>
      </c>
      <c r="K20" s="128">
        <f t="shared" si="1"/>
        <v>203.39200000000002</v>
      </c>
      <c r="L20" s="119">
        <f t="shared" si="1"/>
        <v>0</v>
      </c>
      <c r="M20" s="230">
        <f t="shared" si="2"/>
        <v>4968.576</v>
      </c>
      <c r="N20" s="277">
        <f t="shared" si="3"/>
        <v>1098.3050847457628</v>
      </c>
      <c r="O20" s="239">
        <f t="shared" si="4"/>
        <v>30.334405423728814</v>
      </c>
      <c r="P20" s="119">
        <f t="shared" si="5"/>
        <v>6097.2154901694912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1598.08</v>
      </c>
      <c r="K25" s="275">
        <f t="shared" si="10"/>
        <v>508.48000000000008</v>
      </c>
      <c r="L25" s="276">
        <f t="shared" si="10"/>
        <v>0</v>
      </c>
      <c r="M25" s="232">
        <f t="shared" si="10"/>
        <v>12421.44</v>
      </c>
      <c r="N25" s="233">
        <f>SUM(N16:N24)</f>
        <v>2745.7627118644068</v>
      </c>
      <c r="O25" s="101">
        <f>SUM(O16:O24)</f>
        <v>75.836013559322041</v>
      </c>
      <c r="P25" s="234">
        <f>SUM(P16:P24)</f>
        <v>15243.038725423728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1598.08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508.48000000000008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12421.44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15167.202711864407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75.836013559322041</v>
      </c>
    </row>
    <row r="35" spans="2:16" ht="15.75" customHeight="1" thickBot="1" x14ac:dyDescent="0.4">
      <c r="N35" s="374" t="s">
        <v>88</v>
      </c>
      <c r="O35" s="375"/>
      <c r="P35" s="297">
        <f>+P33+P34</f>
        <v>15243.038725423728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2026-09-30T11:26:52Z</dcterms:modified>
</cp:coreProperties>
</file>