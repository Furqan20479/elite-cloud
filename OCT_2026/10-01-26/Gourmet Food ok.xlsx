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B99B35D-A9DC-4F5A-BDD4-8C89011A14FE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H18" i="48"/>
  <c r="H20" i="56"/>
  <c r="H19" i="56"/>
  <c r="H18" i="56"/>
  <c r="H17" i="56"/>
  <c r="H16" i="56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56" l="1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<sst xmlns="http://schemas.openxmlformats.org/spreadsheetml/2006/main" count="3949" uniqueCount="548">
  <si>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</si>
  <si>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</si>
  <si>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</si>
  <si>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</si>
  <si>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</si>
  <si>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</si>
  <si>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</si>
  <si>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</si>
  <si>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</si>
  <si>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</si>
  <si>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</si>
  <si>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</si>
  <si>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</si>
  <si>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</si>
  <si>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</si>
  <si>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</si>
  <si>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</si>
  <si>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</si>
  <si>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</si>
  <si>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</si>
  <si>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</si>
  <si>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</si>
  <si>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</si>
  <si>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</si>
  <si>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</si>
  <si>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</si>
  <si>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</si>
  <si>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</si>
  <si>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</si>
  <si>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</si>
  <si>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</si>
  <si>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</si>
  <si>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</si>
  <si>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</si>
  <si>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</si>
  <si>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</si>
  <si>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</si>
  <si>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</si>
  <si>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</si>
  <si>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</si>
  <si>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</si>
  <si>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</si>
  <si>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</si>
  <si>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</si>
  <si>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</si>
  <si>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</si>
  <si>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</si>
  <si>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</si>
  <si>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</si>
  <si>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</si>
  <si>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</si>
  <si>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</si>
  <si>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</si>
  <si>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</si>
  <si>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</si>
  <si>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</si>
  <si>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</si>
  <si>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</si>
  <si>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</si>
  <si>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</si>
  <si>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</si>
  <si>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</si>
  <si>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</si>
  <si>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</si>
  <si>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</si>
  <si>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</si>
  <si>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</si>
  <si>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</si>
  <si>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</si>
  <si>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</si>
  <si>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</si>
  <si>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</si>
  <si>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</si>
  <si>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</si>
  <si>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</si>
  <si>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</si>
  <si>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</si>
  <si>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</si>
  <si>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</si>
  <si>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</si>
  <si>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</si>
  <si>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</si>
  <si>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</si>
  <si>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</si>
  <si>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</si>
  <si>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</si>
  <si>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</si>
  <si>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</si>
  <si>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</si>
  <si>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</si>
  <si>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</si>
  <si>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</si>
  <si>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</si>
  <si>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</si>
  <si>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</si>
  <si>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</si>
  <si>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</si>
  <si>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</si>
  <si>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</si>
  <si>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</si>
  <si>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</si>
  <si>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</si>
  <si>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</si>
  <si>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</si>
  <si>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</si>
  <si>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</si>
  <si>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</si>
  <si>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</si>
  <si>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</si>
  <si>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</si>
  <si>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</si>
  <si>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</si>
  <si>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</si>
  <si>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</si>
  <si>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</si>
  <si>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</si>
  <si>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</si>
  <si>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</si>
  <si>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</si>
  <si>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</si>
  <si>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</si>
  <si>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</si>
  <si>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</si>
  <si>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</si>
  <si>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</si>
  <si>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</si>
  <si>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</si>
  <si>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</si>
  <si>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</si>
  <si>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</si>
  <si>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</si>
  <si>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</si>
  <si>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</si>
  <si>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</si>
  <si>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</si>
  <si>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</si>
  <si>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</si>
  <si>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</si>
  <si>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</si>
  <si>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</si>
  <si>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</si>
  <si>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</si>
  <si>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</si>
  <si>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</si>
  <si>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</si>
  <si>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</si>
  <si>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</si>
  <si>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</si>
  <si>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</si>
  <si>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</si>
  <si>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</si>
  <si>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</si>
  <si>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</si>
  <si>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</si>
  <si>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</si>
  <si>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</si>
  <si>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</si>
  <si>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</si>
  <si>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</si>
  <si>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</si>
  <si>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</si>
  <si>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</si>
  <si>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</si>
  <si>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</si>
  <si>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</si>
  <si>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</si>
  <si>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</si>
  <si>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</si>
  <si>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</si>
  <si>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</si>
  <si>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</si>
  <si>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</si>
  <si>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</si>
  <si>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</si>
  <si>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</si>
  <si>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</si>
  <si>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</si>
  <si>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</si>
  <si>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</si>
  <si>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</si>
  <si>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</si>
  <si>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</si>
  <si>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</si>
  <si>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</si>
  <si>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</si>
  <si>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</si>
  <si>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</si>
  <si>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</si>
  <si>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</si>
  <si>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</si>
  <si>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</si>
  <si>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</si>
  <si>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</si>
  <si>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</si>
  <si>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</si>
  <si>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</si>
  <si>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</si>
  <si>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</si>
  <si>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</si>
  <si>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</si>
  <si>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</si>
  <si>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</si>
  <si>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</si>
  <si>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</si>
  <si>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</si>
  <si>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</si>
  <si>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</si>
  <si>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</si>
  <si>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</si>
  <si>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</si>
  <si>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</si>
  <si>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</si>
  <si>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</si>
  <si>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</si>
  <si>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</si>
  <si>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</si>
  <si>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</si>
  <si>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</si>
  <si>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</si>
  <si>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</si>
  <si>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</si>
  <si>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</si>
  <si>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</si>
  <si>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</si>
  <si>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</si>
  <si>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</si>
  <si>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</si>
  <si>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</si>
  <si>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</si>
  <si>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</si>
  <si>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</si>
  <si>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</si>
  <si>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</si>
  <si>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</si>
  <si>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</si>
  <si>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</si>
  <si>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</si>
  <si>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</si>
  <si>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</si>
  <si>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</si>
  <si>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</si>
  <si>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</si>
  <si>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</si>
  <si>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</si>
  <si>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</si>
  <si>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</si>
  <si>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</si>
  <si>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</si>
  <si>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</si>
  <si>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</si>
  <si>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</si>
  <si>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</si>
  <si>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</si>
  <si>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</si>
  <si>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</si>
  <si>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</si>
  <si>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</si>
  <si>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</si>
  <si>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</si>
  <si>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</si>
  <si>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</si>
  <si>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</si>
  <si>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</si>
  <si>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</si>
  <si>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</si>
  <si>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</si>
  <si>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</si>
  <si>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</si>
  <si>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</si>
  <si>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</si>
  <si>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</si>
  <si>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</si>
  <si>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</si>
  <si>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</si>
  <si>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</si>
  <si>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</si>
  <si>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</si>
  <si>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</si>
  <si>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</si>
  <si>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</si>
  <si>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</si>
  <si>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</si>
  <si>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</si>
  <si>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</si>
  <si>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</si>
  <si>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</si>
  <si>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</si>
  <si>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</si>
  <si>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</si>
  <si>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</si>
  <si>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</si>
  <si>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</si>
  <si>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</si>
  <si>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</si>
  <si>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</si>
  <si>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</si>
  <si>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</si>
  <si>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</si>
  <si>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</si>
  <si>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</si>
  <si>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</si>
  <si>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</si>
  <si>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</si>
  <si>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</si>
  <si>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</si>
  <si>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</si>
  <si>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</si>
  <si>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</si>
  <si>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</si>
  <si>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</si>
  <si>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</si>
  <si>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</si>
  <si>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</si>
  <si>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</si>
  <si>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</si>
  <si>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</si>
  <si>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</si>
  <si>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</si>
  <si>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</si>
  <si>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</si>
  <si>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</si>
  <si>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</si>
  <si>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</si>
  <si>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</si>
  <si>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</si>
  <si>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</si>
  <si>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</si>
  <si>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</si>
  <si>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</si>
  <si>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</si>
  <si>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</si>
  <si>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</si>
  <si>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</si>
  <si>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</si>
  <si>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</si>
  <si>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</si>
  <si>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</si>
  <si>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</si>
  <si>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</si>
  <si>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</si>
  <si>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</si>
  <si>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</si>
  <si>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</si>
  <si>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</si>
  <si>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</si>
  <si>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</si>
  <si>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</si>
  <si>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</si>
  <si>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</si>
  <si>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</si>
  <si>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</si>
  <si>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</si>
  <si>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</si>
  <si>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</si>
  <si>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</si>
  <si>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</si>
  <si>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</si>
  <si>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</si>
  <si>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</si>
  <si>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</si>
  <si>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</si>
  <si>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</si>
  <si>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</si>
  <si>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</si>
  <si>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</si>
  <si>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</si>
  <si>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</si>
  <si>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</si>
  <si>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</si>
  <si>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</si>
  <si>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</si>
  <si>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</si>
  <si>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</si>
  <si>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</si>
  <si>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</si>
  <si>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</si>
  <si>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</si>
  <si>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</si>
  <si>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</si>
  <si>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</si>
  <si>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</si>
  <si>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</si>
  <si>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</si>
  <si>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</si>
  <si>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</si>
  <si>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</si>
  <si>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</si>
  <si>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</si>
  <si>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</si>
  <si>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</si>
  <si>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</si>
  <si>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</si>
  <si>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</si>
  <si>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</si>
  <si>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</si>
  <si>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</si>
  <si>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</si>
  <si>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</si>
  <si>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</si>
  <si>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</si>
  <si>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</si>
  <si>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</si>
  <si>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</si>
  <si>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</si>
  <si>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</si>
  <si>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</si>
  <si>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</si>
  <si>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</si>
  <si>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</si>
  <si>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</si>
  <si>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</si>
  <si>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</si>
  <si>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</si>
  <si>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</si>
  <si>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</si>
  <si>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</si>
  <si>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</si>
  <si>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</si>
  <si>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</si>
  <si>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</si>
  <si>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</si>
  <si>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</si>
  <si>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</si>
  <si>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</si>
  <si>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</si>
  <si>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</si>
  <si>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</si>
  <si>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</si>
  <si>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</si>
  <si>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</si>
  <si>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</si>
  <si>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</si>
  <si>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</si>
  <si>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</si>
  <si>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</si>
  <si>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</si>
  <si>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</si>
  <si>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</si>
  <si>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</si>
  <si>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</si>
  <si>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</si>
  <si>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</si>
  <si>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</si>
  <si>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</si>
  <si>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</si>
  <si>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</si>
  <si>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</si>
  <si>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</si>
  <si>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</si>
  <si>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</si>
  <si>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</si>
  <si>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</si>
  <si>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</si>
  <si>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</si>
  <si>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</si>
  <si>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</si>
  <si>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</si>
  <si>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</si>
  <si>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</si>
  <si>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</si>
  <si>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</si>
  <si>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</si>
  <si>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</si>
  <si>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</si>
  <si>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</si>
  <si>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</si>
  <si>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</si>
  <si>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</si>
  <si>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</si>
  <si>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</si>
  <si>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</si>
  <si>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</si>
  <si>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</si>
  <si>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</si>
  <si>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</si>
  <si>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</si>
  <si>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</si>
  <si>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</si>
  <si>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</si>
  <si>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</si>
  <si>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</si>
  <si>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</si>
  <si>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</si>
  <si>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</si>
  <si>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</si>
  <si>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</si>
  <si>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</si>
  <si>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</si>
  <si>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</si>
  <si>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</si>
  <si>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</si>
  <si>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</si>
  <si>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</si>
  <si>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</si>
  <si>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</si>
  <si>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</si>
  <si>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</si>
  <si>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</si>
  <si>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</si>
  <si>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</si>
  <si>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</si>
  <si>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</si>
  <si>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</si>
  <si>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</si>
  <si>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</si>
  <si>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</si>
  <si>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</si>
  <si>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</si>
  <si>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</si>
  <si>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</si>
  <si>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</si>
  <si>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</si>
  <si>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</si>
  <si>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</si>
  <si>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</si>
  <si>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Nisbat Road</t>
  </si>
  <si>
    <t>Gourmet Food Islam Pura</t>
  </si>
  <si>
    <t xml:space="preserve">Gourmet Food  DHA XX- Block </t>
  </si>
  <si>
    <t>Gourmet Food Riwind Road Thokar</t>
  </si>
  <si>
    <t xml:space="preserve">Shakoor Husain </t>
  </si>
  <si>
    <t xml:space="preserve"> </t>
  </si>
  <si>
    <t>Gourmet Food Davis Road</t>
  </si>
  <si>
    <t xml:space="preserve">Gourmet Food Shadman </t>
  </si>
  <si>
    <t>Gourmet Food Rehmanpura</t>
  </si>
  <si>
    <t xml:space="preserve">Gourmet Food 18-Gulshan </t>
  </si>
  <si>
    <t xml:space="preserve">Gourmet Food Jinah Hospital </t>
  </si>
  <si>
    <t xml:space="preserve">Gourmet Food Shama </t>
  </si>
  <si>
    <t xml:space="preserve">Gourmet Food Walton </t>
  </si>
  <si>
    <t xml:space="preserve">Gourmet Food C Block </t>
  </si>
  <si>
    <t>Gourmet Food Krishan Nager</t>
  </si>
  <si>
    <t>Gourmet Food Nadeem Shaheed Road</t>
  </si>
  <si>
    <t>Gourmet Food Firdos Market</t>
  </si>
  <si>
    <t xml:space="preserve">Gourmet Food Umer Chowk </t>
  </si>
  <si>
    <t>Gourmet Food Link Road</t>
  </si>
  <si>
    <t xml:space="preserve">Gourmet Food Neelam Cenema </t>
  </si>
  <si>
    <t>Gourmet Food K Block DHA</t>
  </si>
  <si>
    <t xml:space="preserve">Gourmet Food Shadbagh </t>
  </si>
  <si>
    <t xml:space="preserve">Gourmet Food Railway Plaza </t>
  </si>
  <si>
    <t xml:space="preserve">Gourmet Food Rustam Park </t>
  </si>
  <si>
    <t xml:space="preserve">Gourmet Food kot abdul malik </t>
  </si>
  <si>
    <t xml:space="preserve">Gourmet Food Shadra Town </t>
  </si>
  <si>
    <t xml:space="preserve">Gourmet Food Bilal Ganj </t>
  </si>
  <si>
    <t xml:space="preserve">Gourmet Food Kareem Park </t>
  </si>
  <si>
    <t>Gourmet Food Imamia Colony</t>
  </si>
  <si>
    <t>Gourmet Food Dharampura</t>
  </si>
  <si>
    <t>Gourmet Food Sultanpura</t>
  </si>
  <si>
    <t xml:space="preserve">Gourmet Food Awan Town </t>
  </si>
  <si>
    <t>Invoice No # :0001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</si>
</sst>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2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3" borderId="3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/>
    </xf>
    <xf numFmtId="1" fontId="35" fillId="3" borderId="20" xfId="0" applyNumberFormat="1" applyFont="1" applyFill="1" applyBorder="1" applyAlignment="1">
      <alignment horizontal="center"/>
    </xf>
    <xf numFmtId="0" fontId="35" fillId="3" borderId="12" xfId="0" applyFont="1" applyFill="1" applyBorder="1" applyAlignment="1">
      <alignment horizontal="center" vertical="center" wrapText="1"/>
    </xf>
    <xf numFmtId="0" fontId="35" fillId="6" borderId="3" xfId="0" applyFont="1" applyFill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center"/>
    </xf>
    <xf numFmtId="1" fontId="35" fillId="6" borderId="20" xfId="0" applyNumberFormat="1" applyFont="1" applyFill="1" applyBorder="1" applyAlignment="1">
      <alignment horizontal="center"/>
    </xf>
    <xf numFmtId="0" fontId="35" fillId="6" borderId="12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0" t="s">
        <v>24</v>
      </c>
      <c r="B2" s="330"/>
      <c r="C2" s="330"/>
      <c r="D2" s="330"/>
      <c r="E2" s="330"/>
      <c r="F2" s="330"/>
      <c r="G2" s="330"/>
      <c r="H2" s="330"/>
    </row>
    <row r="3" spans="1:21" ht="18" thickBot="1" x14ac:dyDescent="0.35">
      <c r="A3" s="331" t="s">
        <v>15</v>
      </c>
      <c r="B3" s="331"/>
      <c r="C3" s="331"/>
      <c r="D3" s="331"/>
      <c r="E3" s="331"/>
      <c r="F3" s="331"/>
      <c r="G3" s="331"/>
      <c r="H3" s="33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2" t="s">
        <v>37</v>
      </c>
      <c r="P3" s="33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4" t="s">
        <v>25</v>
      </c>
      <c r="D4" s="33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8" t="s">
        <v>30</v>
      </c>
      <c r="H13" s="32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8" t="s">
        <v>30</v>
      </c>
      <c r="H26" s="32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8" t="s">
        <v>30</v>
      </c>
      <c r="H37" s="32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0" t="s">
        <v>24</v>
      </c>
      <c r="B2" s="330"/>
      <c r="C2" s="330"/>
      <c r="D2" s="330"/>
      <c r="E2" s="330"/>
      <c r="F2" s="330"/>
      <c r="G2" s="330"/>
      <c r="H2" s="330"/>
    </row>
    <row r="3" spans="1:21" ht="18" thickBot="1" x14ac:dyDescent="0.35">
      <c r="A3" s="331" t="s">
        <v>15</v>
      </c>
      <c r="B3" s="331"/>
      <c r="C3" s="331"/>
      <c r="D3" s="331"/>
      <c r="E3" s="331"/>
      <c r="F3" s="331"/>
      <c r="G3" s="331"/>
      <c r="H3" s="33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2" t="s">
        <v>37</v>
      </c>
      <c r="P3" s="33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4" t="s">
        <v>25</v>
      </c>
      <c r="D4" s="33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8" t="s">
        <v>30</v>
      </c>
      <c r="H13" s="32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8" t="s">
        <v>30</v>
      </c>
      <c r="H26" s="32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8" t="s">
        <v>30</v>
      </c>
      <c r="H37" s="32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6"/>
      <c r="B3" s="336"/>
      <c r="C3" s="336"/>
      <c r="D3" s="336"/>
      <c r="E3" s="336"/>
      <c r="F3" s="337"/>
      <c r="G3" s="337"/>
      <c r="H3" s="337"/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</row>
    <row r="4" spans="1:29" x14ac:dyDescent="0.35">
      <c r="A4" s="338" t="s">
        <v>436</v>
      </c>
      <c r="B4" s="165" t="s">
        <v>437</v>
      </c>
      <c r="C4" s="165"/>
      <c r="D4" s="340" t="s">
        <v>438</v>
      </c>
      <c r="E4" s="342" t="s">
        <v>439</v>
      </c>
      <c r="F4" s="344" t="s">
        <v>58</v>
      </c>
      <c r="G4" s="344"/>
      <c r="H4" s="345" t="s">
        <v>440</v>
      </c>
      <c r="I4" s="345"/>
      <c r="J4" s="346" t="s">
        <v>441</v>
      </c>
      <c r="K4" s="347"/>
      <c r="L4" s="346" t="s">
        <v>442</v>
      </c>
      <c r="M4" s="347"/>
      <c r="N4" s="348" t="s">
        <v>443</v>
      </c>
      <c r="O4" s="348"/>
      <c r="P4" s="346" t="s">
        <v>86</v>
      </c>
      <c r="Q4" s="347"/>
      <c r="R4" s="346" t="s">
        <v>444</v>
      </c>
      <c r="S4" s="347"/>
      <c r="T4" s="349" t="s">
        <v>445</v>
      </c>
      <c r="U4" s="349"/>
      <c r="V4" s="350" t="s">
        <v>446</v>
      </c>
      <c r="W4" s="351"/>
      <c r="X4" s="350" t="s">
        <v>447</v>
      </c>
      <c r="Y4" s="351"/>
    </row>
    <row r="5" spans="1:29" ht="26.25" customHeight="1" thickBot="1" x14ac:dyDescent="0.4">
      <c r="A5" s="339"/>
      <c r="B5" s="167" t="s">
        <v>448</v>
      </c>
      <c r="C5" s="167" t="s">
        <v>438</v>
      </c>
      <c r="D5" s="341"/>
      <c r="E5" s="34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J19" workbookViewId="0">
      <selection activeCell="S28" sqref="S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400" t="s">
        <v>91</v>
      </c>
      <c r="B2" s="400"/>
      <c r="C2" s="400"/>
      <c r="E2" s="392" t="s">
        <v>498</v>
      </c>
      <c r="F2" s="393"/>
      <c r="G2" s="393"/>
      <c r="H2" s="390" t="s">
        <v>513</v>
      </c>
      <c r="I2" s="390"/>
      <c r="J2" s="391"/>
      <c r="R2" s="387" t="s">
        <v>497</v>
      </c>
      <c r="S2" s="388"/>
      <c r="T2" s="389"/>
    </row>
    <row r="3" spans="1:20 16377:16378" ht="21.75" customHeight="1" thickBot="1" x14ac:dyDescent="0.4">
      <c r="A3" s="401" t="s">
        <v>92</v>
      </c>
      <c r="B3" s="401"/>
      <c r="C3" s="401"/>
      <c r="E3" s="396" t="s">
        <v>508</v>
      </c>
      <c r="F3" s="397"/>
      <c r="G3" s="397"/>
      <c r="H3" s="394">
        <v>46296</v>
      </c>
      <c r="I3" s="394"/>
      <c r="J3" s="395"/>
      <c r="K3" s="402" t="s">
        <v>43</v>
      </c>
      <c r="L3" s="402"/>
      <c r="M3" s="402"/>
      <c r="N3" s="401"/>
      <c r="O3" s="401"/>
      <c r="P3" s="401"/>
      <c r="R3" s="326">
        <v>1</v>
      </c>
      <c r="S3" s="324" t="str">
        <f>+'1'!A6:A6</f>
        <v>Gourmet Food Davis Road</v>
      </c>
      <c r="T3" s="325">
        <f>+'1'!P35</f>
        <v>6670.3456381779661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322">
        <v>2</v>
      </c>
      <c r="S4" s="320" t="str">
        <f>+'2'!A6:A6</f>
        <v xml:space="preserve">Gourmet Food Shadman </v>
      </c>
      <c r="T4" s="321">
        <f>+'2'!P35</f>
        <v>3601.1687028813562</v>
      </c>
      <c r="XEX4" t="s">
        <v>105</v>
      </c>
    </row>
    <row r="5" spans="1:20 16377:16378" ht="21.75" customHeight="1" thickBot="1" x14ac:dyDescent="0.4">
      <c r="A5" s="352" t="s">
        <v>51</v>
      </c>
      <c r="B5" s="353"/>
      <c r="C5" s="356" t="s">
        <v>90</v>
      </c>
      <c r="D5" s="115" t="s">
        <v>52</v>
      </c>
      <c r="E5" s="358" t="s">
        <v>58</v>
      </c>
      <c r="F5" s="359"/>
      <c r="G5" s="360" t="s">
        <v>54</v>
      </c>
      <c r="H5" s="361"/>
      <c r="I5" s="362" t="s">
        <v>77</v>
      </c>
      <c r="J5" s="399" t="s">
        <v>55</v>
      </c>
      <c r="K5" s="360"/>
      <c r="L5" s="361"/>
      <c r="M5" s="353" t="s">
        <v>84</v>
      </c>
      <c r="N5" s="398" t="s">
        <v>495</v>
      </c>
      <c r="O5" s="103" t="s">
        <v>89</v>
      </c>
      <c r="P5" s="115" t="s">
        <v>56</v>
      </c>
      <c r="Q5" s="314" t="s">
        <v>507</v>
      </c>
      <c r="R5" s="319">
        <v>3</v>
      </c>
      <c r="S5" s="320" t="str">
        <f>+'3'!A6:A6</f>
        <v>Gourmet Food Rehmanpura</v>
      </c>
      <c r="T5" s="321">
        <f>+'3'!P35</f>
        <v>5197.1440056355923</v>
      </c>
      <c r="XEX5" t="s">
        <v>106</v>
      </c>
    </row>
    <row r="6" spans="1:20 16377:16378" ht="21.75" customHeight="1" thickBot="1" x14ac:dyDescent="0.4">
      <c r="A6" s="354"/>
      <c r="B6" s="355"/>
      <c r="C6" s="35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55"/>
      <c r="N6" s="363"/>
      <c r="O6" s="228" t="e">
        <f>IF(#REF!="Filer",0.5%,2.5%)</f>
        <v>#REF!</v>
      </c>
      <c r="P6" s="111" t="s">
        <v>38</v>
      </c>
      <c r="Q6" s="314" t="s">
        <v>506</v>
      </c>
      <c r="R6" s="319">
        <v>4</v>
      </c>
      <c r="S6" s="320" t="str">
        <f>+'4'!A6:A6</f>
        <v xml:space="preserve">Gourmet Food 18-Gulshan </v>
      </c>
      <c r="T6" s="321">
        <f>+'4'!P35</f>
        <v>6015.580200381356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645</v>
      </c>
      <c r="I7" s="235">
        <f>(G7*D7)*F7+H7*F7</f>
        <v>33838.3125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6090.896249999998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27747.416250000002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6395.338983050844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170.71377616525422</v>
      </c>
      <c r="P7" s="309">
        <f>M7+N7+O7</f>
        <v>34313.469009216104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85</v>
      </c>
      <c r="R7" s="323">
        <v>5</v>
      </c>
      <c r="S7" s="324" t="str">
        <f>+'5'!A6:A6</f>
        <v>Gourmet Food Nisbat Road</v>
      </c>
      <c r="T7" s="325">
        <f>+'5'!P35</f>
        <v>10803.506108644067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605</v>
      </c>
      <c r="I8" s="236">
        <f t="shared" ref="I8:I14" si="0">(G8*D8)*F8+H8*F8</f>
        <v>31739.8125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5713.1662499999975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26026.646250000002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5998.7288135593199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160.12687531779659</v>
      </c>
      <c r="P8" s="310">
        <f t="shared" ref="P8:P15" si="2">M8+N8+O8</f>
        <v>32185.501938877118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35</v>
      </c>
      <c r="R8" s="313">
        <v>6</v>
      </c>
      <c r="S8" s="327" t="str">
        <f>+'6'!A6:A6</f>
        <v>Gourmet Food Islam Pura</v>
      </c>
      <c r="T8" s="300">
        <f>+'6'!P35</f>
        <v>6670.3456381779661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720</v>
      </c>
      <c r="I9" s="236">
        <f t="shared" si="0"/>
        <v>37773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6799.1399999999967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30973.860000000004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7138.9830508474543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190.56421525423727</v>
      </c>
      <c r="P9" s="310">
        <f t="shared" si="2"/>
        <v>38303.407266101691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9">
        <v>7</v>
      </c>
      <c r="S9" s="320" t="str">
        <f>+'7'!A6:A6</f>
        <v xml:space="preserve">Gourmet Food Jinah Hospital </v>
      </c>
      <c r="T9" s="321">
        <f>+'7'!P35</f>
        <v>10005.51845726695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475</v>
      </c>
      <c r="I10" s="236">
        <f t="shared" si="0"/>
        <v>34504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6210.7199999999984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28293.280000000002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6521.1864406779687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174.07233220338989</v>
      </c>
      <c r="P10" s="310">
        <f t="shared" si="2"/>
        <v>34988.538772881358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35</v>
      </c>
      <c r="R10" s="319">
        <v>8</v>
      </c>
      <c r="S10" s="320" t="str">
        <f>+'8'!A6:A6</f>
        <v xml:space="preserve">Gourmet Food Shama </v>
      </c>
      <c r="T10" s="321">
        <f>+'8'!P35</f>
        <v>6383.9012110169497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355</v>
      </c>
      <c r="I11" s="236">
        <f t="shared" si="0"/>
        <v>25787.200000000001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4641.695999999999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21145.504000000001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4873.7288135593235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130.09616406779665</v>
      </c>
      <c r="P11" s="310">
        <f t="shared" si="2"/>
        <v>26149.328977627119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25</v>
      </c>
      <c r="R11" s="313">
        <v>9</v>
      </c>
      <c r="S11" s="327" t="str">
        <f>+'9'!A6:A6</f>
        <v xml:space="preserve">Gourmet Food Walton </v>
      </c>
      <c r="T11" s="300">
        <f>+'9'!P35</f>
        <v>4419.6048976271186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380</v>
      </c>
      <c r="I12" s="236">
        <f t="shared" si="0"/>
        <v>27603.200000000001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4968.5759999999991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22634.624000000003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5216.9491525423746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139.2578657627119</v>
      </c>
      <c r="P12" s="310">
        <f t="shared" si="2"/>
        <v>27990.831018305089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20</v>
      </c>
      <c r="R12" s="319">
        <v>10</v>
      </c>
      <c r="S12" s="320" t="str">
        <f>+'10'!A6:A6</f>
        <v xml:space="preserve">Gourmet Food C Block </v>
      </c>
      <c r="T12" s="321">
        <f>+'10'!P35</f>
        <v>5197.1440056355923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27" t="str">
        <f>+'11'!A6:A6</f>
        <v>Gourmet Food Krishan Nager</v>
      </c>
      <c r="T13" s="300">
        <f>+'11'!P35</f>
        <v>6547.5719679661033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9">
        <v>12</v>
      </c>
      <c r="S14" s="320" t="str">
        <f>+'12'!A6:A6</f>
        <v>Gourmet Food Nadeem Shaheed Road</v>
      </c>
      <c r="T14" s="321">
        <f>+'12'!P35</f>
        <v>10271.514341059321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9">
        <v>13</v>
      </c>
      <c r="S15" s="320" t="str">
        <f>+'13'!A6:A6</f>
        <v>Gourmet Food Firdos Market</v>
      </c>
      <c r="T15" s="321">
        <f>+'13'!P35</f>
        <v>6547.5719679661033</v>
      </c>
    </row>
    <row r="16" spans="1:20 16377:16378" ht="21.75" customHeight="1" thickBot="1" x14ac:dyDescent="0.4">
      <c r="A16" s="403">
        <f>COUNT(A7:A15)</f>
        <v>0</v>
      </c>
      <c r="B16" s="364"/>
      <c r="C16" s="364" t="s">
        <v>40</v>
      </c>
      <c r="D16" s="364"/>
      <c r="E16" s="364"/>
      <c r="F16" s="365"/>
      <c r="G16" s="274">
        <f>H16/40</f>
        <v>79.5</v>
      </c>
      <c r="H16" s="113">
        <f t="shared" ref="H16:M16" si="3">SUM(H7:H15)</f>
        <v>3180</v>
      </c>
      <c r="I16" s="114">
        <f t="shared" si="3"/>
        <v>191245.52500000002</v>
      </c>
      <c r="J16" s="274">
        <f>SUM(J7:J15)</f>
        <v>34424.194499999991</v>
      </c>
      <c r="K16" s="275">
        <f t="shared" si="3"/>
        <v>0</v>
      </c>
      <c r="L16" s="276">
        <f t="shared" si="3"/>
        <v>0</v>
      </c>
      <c r="M16" s="232">
        <f t="shared" si="3"/>
        <v>156821.33050000001</v>
      </c>
      <c r="N16" s="233">
        <f>SUM(N7:N15)</f>
        <v>36144.915254237283</v>
      </c>
      <c r="O16" s="101">
        <f>SUM(O7:O15)</f>
        <v>964.83122877118649</v>
      </c>
      <c r="P16" s="113">
        <f>SUM(P7:P15)</f>
        <v>193931.07698300848</v>
      </c>
      <c r="Q16" s="128">
        <f>SUM(Q7:Q15)</f>
        <v>280</v>
      </c>
      <c r="R16" s="313">
        <v>14</v>
      </c>
      <c r="S16" s="318" t="str">
        <f>+'14'!A6:A6</f>
        <v xml:space="preserve">Gourmet Food Umer Chowk </v>
      </c>
      <c r="T16" s="300">
        <f>+'14'!P35</f>
        <v>9739.5225734745745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322">
        <v>15</v>
      </c>
      <c r="S17" s="320" t="str">
        <f>+'15'!A6:A6</f>
        <v>Gourmet Food Link Road</v>
      </c>
      <c r="T17" s="321">
        <f>+'15'!P35</f>
        <v>4603.765402944915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326">
        <v>16</v>
      </c>
      <c r="S18" s="324" t="str">
        <f>+'16'!A6:A6</f>
        <v xml:space="preserve">Gourmet Food Neelam Cenema </v>
      </c>
      <c r="T18" s="325">
        <f>+'16'!P35</f>
        <v>9330.3044761016936</v>
      </c>
    </row>
    <row r="19" spans="1:20" ht="21.75" customHeight="1" x14ac:dyDescent="0.35">
      <c r="B19" s="366" t="s">
        <v>64</v>
      </c>
      <c r="C19" s="367"/>
      <c r="D19" s="367"/>
      <c r="E19" s="367"/>
      <c r="F19" s="367"/>
      <c r="G19" s="367"/>
      <c r="H19" s="367"/>
      <c r="I19" s="367"/>
      <c r="J19" s="367"/>
      <c r="K19" s="367"/>
      <c r="L19" s="368"/>
      <c r="N19" s="375" t="s">
        <v>60</v>
      </c>
      <c r="O19" s="376"/>
      <c r="P19" s="139">
        <f>I16</f>
        <v>191245.52500000002</v>
      </c>
      <c r="R19" s="299">
        <v>17</v>
      </c>
      <c r="S19" s="318" t="str">
        <f>+'17'!A6:A6</f>
        <v>Gourmet Food K Block DHA</v>
      </c>
      <c r="T19" s="300">
        <f>+'17'!P35</f>
        <v>8675.5390383050853</v>
      </c>
    </row>
    <row r="20" spans="1:20" ht="21.75" customHeight="1" x14ac:dyDescent="0.35">
      <c r="B20" s="369"/>
      <c r="C20" s="370"/>
      <c r="D20" s="370"/>
      <c r="E20" s="370"/>
      <c r="F20" s="370"/>
      <c r="G20" s="370"/>
      <c r="H20" s="370"/>
      <c r="I20" s="370"/>
      <c r="J20" s="370"/>
      <c r="K20" s="370"/>
      <c r="L20" s="371"/>
      <c r="N20" s="377" t="s">
        <v>85</v>
      </c>
      <c r="O20" s="378"/>
      <c r="P20" s="140">
        <f>+J16</f>
        <v>34424.194499999991</v>
      </c>
      <c r="R20" s="326">
        <v>18</v>
      </c>
      <c r="S20" s="324" t="str">
        <f>+'18'!A6:A6</f>
        <v xml:space="preserve">Gourmet Food Shadbagh </v>
      </c>
      <c r="T20" s="325">
        <f>+'18'!P35</f>
        <v>6547.5719679661033</v>
      </c>
    </row>
    <row r="21" spans="1:20" ht="21.75" customHeight="1" x14ac:dyDescent="0.35">
      <c r="B21" s="369"/>
      <c r="C21" s="370"/>
      <c r="D21" s="370"/>
      <c r="E21" s="370"/>
      <c r="F21" s="370"/>
      <c r="G21" s="370"/>
      <c r="H21" s="370"/>
      <c r="I21" s="370"/>
      <c r="J21" s="370"/>
      <c r="K21" s="370"/>
      <c r="L21" s="371"/>
      <c r="N21" s="377" t="s">
        <v>86</v>
      </c>
      <c r="O21" s="378"/>
      <c r="P21" s="140">
        <f>+K16+L16</f>
        <v>0</v>
      </c>
      <c r="R21" s="326">
        <v>19</v>
      </c>
      <c r="S21" s="324" t="str">
        <f>+'19'!A6:A6</f>
        <v xml:space="preserve">Gourmet Food Railway Plaza </v>
      </c>
      <c r="T21" s="325">
        <f>+'19'!P35</f>
        <v>4665.1522380508468</v>
      </c>
    </row>
    <row r="22" spans="1:20" ht="21.75" customHeight="1" x14ac:dyDescent="0.35">
      <c r="B22" s="369"/>
      <c r="C22" s="370"/>
      <c r="D22" s="370"/>
      <c r="E22" s="370"/>
      <c r="F22" s="370"/>
      <c r="G22" s="370"/>
      <c r="H22" s="370"/>
      <c r="I22" s="370"/>
      <c r="J22" s="370"/>
      <c r="K22" s="370"/>
      <c r="L22" s="371"/>
      <c r="M22" s="131"/>
      <c r="N22" s="377" t="s">
        <v>87</v>
      </c>
      <c r="O22" s="378"/>
      <c r="P22" s="140">
        <f>P19-P20-P21</f>
        <v>156821.33050000004</v>
      </c>
      <c r="R22" s="299">
        <v>20</v>
      </c>
      <c r="S22" s="327" t="str">
        <f>+'20'!A6:A6</f>
        <v xml:space="preserve">Gourmet Food Rustam Park </v>
      </c>
      <c r="T22" s="300">
        <f>+'20'!P35</f>
        <v>6138.3538705932206</v>
      </c>
    </row>
    <row r="23" spans="1:20" ht="21.75" customHeight="1" x14ac:dyDescent="0.35">
      <c r="B23" s="369"/>
      <c r="C23" s="370"/>
      <c r="D23" s="370"/>
      <c r="E23" s="370"/>
      <c r="F23" s="370"/>
      <c r="G23" s="370"/>
      <c r="H23" s="370"/>
      <c r="I23" s="370"/>
      <c r="J23" s="370"/>
      <c r="K23" s="370"/>
      <c r="L23" s="371"/>
      <c r="M23" s="131"/>
      <c r="N23" s="136" t="s">
        <v>61</v>
      </c>
      <c r="O23" s="133">
        <v>0.18</v>
      </c>
      <c r="P23" s="140">
        <f>+N16</f>
        <v>36144.915254237283</v>
      </c>
      <c r="R23" s="326">
        <v>21</v>
      </c>
      <c r="S23" s="324" t="str">
        <f>+'21'!A6:A6</f>
        <v xml:space="preserve">Gourmet Food kot abdul malik </v>
      </c>
      <c r="T23" s="325">
        <f>+'21'!P35</f>
        <v>5074.3703354237296</v>
      </c>
    </row>
    <row r="24" spans="1:20" ht="21.75" customHeight="1" x14ac:dyDescent="0.35">
      <c r="B24" s="369"/>
      <c r="C24" s="370"/>
      <c r="D24" s="370"/>
      <c r="E24" s="370"/>
      <c r="F24" s="370"/>
      <c r="G24" s="370"/>
      <c r="H24" s="370"/>
      <c r="I24" s="370"/>
      <c r="J24" s="370"/>
      <c r="K24" s="370"/>
      <c r="L24" s="371"/>
      <c r="M24" s="131"/>
      <c r="N24" s="379" t="s">
        <v>76</v>
      </c>
      <c r="O24" s="380"/>
      <c r="P24" s="140">
        <f>P22+P23</f>
        <v>192966.24575423732</v>
      </c>
      <c r="R24" s="326">
        <v>22</v>
      </c>
      <c r="S24" s="324" t="str">
        <f>+'22'!A6:A6</f>
        <v xml:space="preserve">Gourmet Food Shadra Town </v>
      </c>
      <c r="T24" s="325">
        <f>+'22'!P35</f>
        <v>8675.5390383050853</v>
      </c>
    </row>
    <row r="25" spans="1:20" ht="21.75" customHeight="1" thickBot="1" x14ac:dyDescent="0.4">
      <c r="B25" s="372"/>
      <c r="C25" s="373"/>
      <c r="D25" s="373"/>
      <c r="E25" s="373"/>
      <c r="F25" s="373"/>
      <c r="G25" s="373"/>
      <c r="H25" s="373"/>
      <c r="I25" s="373"/>
      <c r="J25" s="373"/>
      <c r="K25" s="373"/>
      <c r="L25" s="374"/>
      <c r="M25" s="99"/>
      <c r="N25" s="138" t="s">
        <v>83</v>
      </c>
      <c r="O25" s="137" t="e">
        <f>IF(#REF!="Filer",0.5%,2.5%)</f>
        <v>#REF!</v>
      </c>
      <c r="P25" s="140">
        <f>+O16</f>
        <v>964.83122877118649</v>
      </c>
      <c r="R25" s="299">
        <v>23</v>
      </c>
      <c r="S25" s="327" t="str">
        <f>+'23'!A6:A6</f>
        <v xml:space="preserve">Gourmet Food Bilal Ganj </v>
      </c>
      <c r="T25" s="300">
        <f>+'23'!P35</f>
        <v>0</v>
      </c>
    </row>
    <row r="26" spans="1:20" ht="21.75" customHeight="1" thickBot="1" x14ac:dyDescent="0.4">
      <c r="N26" s="381" t="s">
        <v>88</v>
      </c>
      <c r="O26" s="382"/>
      <c r="P26" s="297">
        <f>+P24+P25</f>
        <v>193931.0769830085</v>
      </c>
      <c r="R26" s="326">
        <v>24</v>
      </c>
      <c r="S26" s="324" t="str">
        <f>+'24'!A6:A6</f>
        <v xml:space="preserve">Gourmet Food Kareem Park </v>
      </c>
      <c r="T26" s="325">
        <f>+'24'!P35</f>
        <v>5074.3703354237296</v>
      </c>
    </row>
    <row r="27" spans="1:20" ht="21.75" customHeight="1" thickBot="1" x14ac:dyDescent="0.4">
      <c r="B27" s="121" t="s">
        <v>63</v>
      </c>
      <c r="C27" s="383"/>
      <c r="D27" s="383"/>
      <c r="E27" s="383"/>
      <c r="F27" s="383"/>
      <c r="G27" s="383"/>
      <c r="H27" s="383"/>
      <c r="I27" s="384"/>
      <c r="J27" s="385"/>
      <c r="K27" s="386"/>
      <c r="R27" s="326">
        <v>25</v>
      </c>
      <c r="S27" s="324" t="str">
        <f>+'25'!A6:A6</f>
        <v>Gourmet Food Imamia Colony</v>
      </c>
      <c r="T27" s="325">
        <f>+'25'!P35</f>
        <v>7857.1028435593216</v>
      </c>
    </row>
    <row r="28" spans="1:20" ht="21.75" customHeight="1" x14ac:dyDescent="0.35">
      <c r="R28" s="299">
        <v>26</v>
      </c>
      <c r="S28" s="327" t="str">
        <f>+'26'!A6:A6</f>
        <v>Gourmet Food Dharampura</v>
      </c>
      <c r="T28" s="300">
        <f>+'26'!P35</f>
        <v>8143.5472707203389</v>
      </c>
    </row>
    <row r="29" spans="1:20" ht="21.75" customHeight="1" x14ac:dyDescent="0.35">
      <c r="L29">
        <v>0</v>
      </c>
      <c r="R29" s="299">
        <v>27</v>
      </c>
      <c r="S29" s="318" t="str">
        <f>+'27'!A6:A6</f>
        <v>Gourmet Food Sultanpura</v>
      </c>
      <c r="T29" s="300">
        <f>+'27'!P35</f>
        <v>10803.506108644067</v>
      </c>
    </row>
    <row r="30" spans="1:20" ht="21.75" customHeight="1" x14ac:dyDescent="0.35">
      <c r="R30" s="299">
        <v>28</v>
      </c>
      <c r="S30" s="327" t="str">
        <f>+'28'!A6:A6</f>
        <v xml:space="preserve">Gourmet Food Awan Town </v>
      </c>
      <c r="T30" s="300">
        <f>+'28'!P35</f>
        <v>10271.514341059321</v>
      </c>
    </row>
    <row r="31" spans="1:20" ht="21.75" customHeight="1" x14ac:dyDescent="0.35">
      <c r="R31" s="299">
        <v>29</v>
      </c>
      <c r="S31" s="318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8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193931.07698300845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7.25" customHeight="1" x14ac:dyDescent="0.4">
      <c r="A6" s="407" t="s">
        <v>521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" si="8">SUM(G16:G24)</f>
        <v>0</v>
      </c>
      <c r="H25" s="113">
        <f t="shared" ref="H25" si="9">SUM(H16:H24)</f>
        <v>110</v>
      </c>
      <c r="I25" s="114">
        <f t="shared" ref="I25:M25" si="10">SUM(I16:I24)</f>
        <v>6577.9750000000004</v>
      </c>
      <c r="J25" s="274">
        <f>SUM(J16:J24)</f>
        <v>1184.0354999999997</v>
      </c>
      <c r="K25" s="275">
        <f t="shared" si="10"/>
        <v>0</v>
      </c>
      <c r="L25" s="276">
        <f t="shared" si="10"/>
        <v>0</v>
      </c>
      <c r="M25" s="232">
        <f t="shared" si="10"/>
        <v>5393.9395000000004</v>
      </c>
      <c r="N25" s="233">
        <f>SUM(N16:N24)</f>
        <v>1243.2203389830504</v>
      </c>
      <c r="O25" s="101">
        <f>SUM(O16:O24)</f>
        <v>33.185799194915248</v>
      </c>
      <c r="P25" s="113">
        <f>SUM(P16:P24)</f>
        <v>6670.3456381779652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6577.9750000000004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1184.0354999999997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5393.9395000000004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1243.2203389830504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6637.1598389830506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33.185799194915255</v>
      </c>
    </row>
    <row r="35" spans="2:16" ht="15.75" customHeight="1" thickBot="1" x14ac:dyDescent="0.4">
      <c r="N35" s="381" t="s">
        <v>88</v>
      </c>
      <c r="O35" s="382"/>
      <c r="P35" s="297">
        <f>+P33+P34</f>
        <v>6670.3456381779661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K5" sqref="K5:M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  <c r="F2" t="s">
        <v>520</v>
      </c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522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>
        <v>30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60</v>
      </c>
      <c r="I25" s="114">
        <f t="shared" si="7"/>
        <v>3551.3</v>
      </c>
      <c r="J25" s="274">
        <f>SUM(J16:J24)</f>
        <v>639.23399999999992</v>
      </c>
      <c r="K25" s="275">
        <f t="shared" si="7"/>
        <v>0</v>
      </c>
      <c r="L25" s="276">
        <f t="shared" si="7"/>
        <v>0</v>
      </c>
      <c r="M25" s="232">
        <f t="shared" si="7"/>
        <v>2912.0659999999998</v>
      </c>
      <c r="N25" s="233">
        <f>SUM(N16:N24)</f>
        <v>671.18644067796595</v>
      </c>
      <c r="O25" s="101">
        <f>SUM(O16:O24)</f>
        <v>17.916262203389827</v>
      </c>
      <c r="P25" s="113">
        <f>SUM(P16:P24)</f>
        <v>3601.1687028813553</v>
      </c>
      <c r="Q25" s="128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3551.3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639.23399999999992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2912.0660000000003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671.18644067796595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3583.2524406779662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17.916262203389831</v>
      </c>
    </row>
    <row r="35" spans="2:16" ht="15.75" customHeight="1" thickBot="1" x14ac:dyDescent="0.4">
      <c r="N35" s="381" t="s">
        <v>88</v>
      </c>
      <c r="O35" s="382"/>
      <c r="P35" s="297">
        <f>+P33+P34</f>
        <v>3601.1687028813562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8.75" customHeight="1" x14ac:dyDescent="0.4">
      <c r="A6" s="407" t="s">
        <v>523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90</v>
      </c>
      <c r="I25" s="114">
        <f t="shared" si="7"/>
        <v>5125.1750000000002</v>
      </c>
      <c r="J25" s="274">
        <f>SUM(J16:J24)</f>
        <v>922.53149999999982</v>
      </c>
      <c r="K25" s="275">
        <f t="shared" si="7"/>
        <v>0</v>
      </c>
      <c r="L25" s="276">
        <f t="shared" si="7"/>
        <v>0</v>
      </c>
      <c r="M25" s="232">
        <f t="shared" si="7"/>
        <v>4202.6435000000001</v>
      </c>
      <c r="N25" s="233">
        <f>SUM(N16:N24)</f>
        <v>968.64406779660976</v>
      </c>
      <c r="O25" s="101">
        <f>SUM(O16:O24)</f>
        <v>25.856437838983048</v>
      </c>
      <c r="P25" s="113">
        <f>SUM(P16:P24)</f>
        <v>5197.1440056355923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5125.1750000000002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922.53149999999982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4202.6435000000001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968.64406779660976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5171.2875677966094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25.856437838983048</v>
      </c>
    </row>
    <row r="35" spans="2:16" ht="15.75" customHeight="1" thickBot="1" x14ac:dyDescent="0.4">
      <c r="N35" s="381" t="s">
        <v>88</v>
      </c>
      <c r="O35" s="382"/>
      <c r="P35" s="297">
        <f>+P33+P34</f>
        <v>5197.1440056355923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524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90</v>
      </c>
      <c r="I25" s="114">
        <f t="shared" si="7"/>
        <v>5932.2750000000005</v>
      </c>
      <c r="J25" s="274">
        <f>SUM(J16:J24)</f>
        <v>1067.8094999999998</v>
      </c>
      <c r="K25" s="275">
        <f t="shared" si="7"/>
        <v>0</v>
      </c>
      <c r="L25" s="276">
        <f t="shared" si="7"/>
        <v>0</v>
      </c>
      <c r="M25" s="232">
        <f t="shared" si="7"/>
        <v>4864.4655000000002</v>
      </c>
      <c r="N25" s="233">
        <f>SUM(N16:N24)</f>
        <v>1121.1864406779659</v>
      </c>
      <c r="O25" s="101">
        <f>SUM(O16:O24)</f>
        <v>29.928259703389831</v>
      </c>
      <c r="P25" s="113">
        <f>SUM(P16:P24)</f>
        <v>6015.580200381356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5932.2750000000005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1067.8094999999998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4864.4655000000002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1121.1864406779659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5985.6519406779662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29.928259703389831</v>
      </c>
    </row>
    <row r="35" spans="2:16" ht="15.75" customHeight="1" thickBot="1" x14ac:dyDescent="0.4">
      <c r="N35" s="381" t="s">
        <v>88</v>
      </c>
      <c r="O35" s="382"/>
      <c r="P35" s="297">
        <f>+P33+P34</f>
        <v>6015.580200381356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515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10653.9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1917.7019999999995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8736.1980000000003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10749.757322033898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81" t="s">
        <v>88</v>
      </c>
      <c r="O35" s="382"/>
      <c r="P35" s="297">
        <f>+P33+P34</f>
        <v>10803.506108644067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8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516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>
        <v>10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110</v>
      </c>
      <c r="I25" s="114">
        <f t="shared" si="7"/>
        <v>6577.9750000000004</v>
      </c>
      <c r="J25" s="274">
        <f>SUM(J16:J24)</f>
        <v>1184.0354999999997</v>
      </c>
      <c r="K25" s="275">
        <f t="shared" si="7"/>
        <v>0</v>
      </c>
      <c r="L25" s="276">
        <f t="shared" si="7"/>
        <v>0</v>
      </c>
      <c r="M25" s="232">
        <f t="shared" si="7"/>
        <v>5393.9395000000004</v>
      </c>
      <c r="N25" s="233">
        <f>SUM(N16:N24)</f>
        <v>1243.2203389830504</v>
      </c>
      <c r="O25" s="101">
        <f>SUM(O16:O24)</f>
        <v>33.185799194915248</v>
      </c>
      <c r="P25" s="113">
        <f>SUM(P16:P24)</f>
        <v>6670.3456381779652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6577.9750000000004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1184.0354999999997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5393.9395000000004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1243.2203389830504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6637.1598389830506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33.185799194915255</v>
      </c>
    </row>
    <row r="35" spans="2:16" ht="15.75" customHeight="1" thickBot="1" x14ac:dyDescent="0.4">
      <c r="N35" s="381" t="s">
        <v>88</v>
      </c>
      <c r="O35" s="382"/>
      <c r="P35" s="297">
        <f>+P33+P34</f>
        <v>6670.3456381779661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525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f>40-15</f>
        <v>25</v>
      </c>
      <c r="I18" s="236">
        <f t="shared" si="0"/>
        <v>1311.5625</v>
      </c>
      <c r="J18" s="272">
        <f t="shared" si="1"/>
        <v>236.08124999999998</v>
      </c>
      <c r="K18" s="128">
        <f t="shared" si="1"/>
        <v>0</v>
      </c>
      <c r="L18" s="119">
        <f t="shared" si="1"/>
        <v>0</v>
      </c>
      <c r="M18" s="230">
        <f t="shared" si="2"/>
        <v>1075.48125</v>
      </c>
      <c r="N18" s="277">
        <f t="shared" si="3"/>
        <v>247.88135593220329</v>
      </c>
      <c r="O18" s="239">
        <f t="shared" si="4"/>
        <v>6.6168130296610164</v>
      </c>
      <c r="P18" s="310">
        <f t="shared" si="5"/>
        <v>1329.9794189618642</v>
      </c>
      <c r="Q18" s="156">
        <v>15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165</v>
      </c>
      <c r="I25" s="114">
        <f t="shared" si="7"/>
        <v>9866.9624999999996</v>
      </c>
      <c r="J25" s="274">
        <f>SUM(J16:J24)</f>
        <v>1776.0532499999997</v>
      </c>
      <c r="K25" s="275">
        <f t="shared" si="7"/>
        <v>0</v>
      </c>
      <c r="L25" s="276">
        <f t="shared" si="7"/>
        <v>0</v>
      </c>
      <c r="M25" s="232">
        <f t="shared" si="7"/>
        <v>8090.9092500000006</v>
      </c>
      <c r="N25" s="233">
        <f>SUM(N16:N24)</f>
        <v>1864.8305084745757</v>
      </c>
      <c r="O25" s="101">
        <f>SUM(O16:O24)</f>
        <v>49.778698792372879</v>
      </c>
      <c r="P25" s="113">
        <f>SUM(P16:P24)</f>
        <v>10005.518457266946</v>
      </c>
      <c r="Q25" s="128">
        <f>SUM(Q16:Q24)</f>
        <v>15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9866.9624999999996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1776.0532499999997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8090.9092499999997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1864.8305084745757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9955.7397584745759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49.778698792372879</v>
      </c>
    </row>
    <row r="35" spans="2:16" ht="15.75" customHeight="1" thickBot="1" x14ac:dyDescent="0.4">
      <c r="N35" s="381" t="s">
        <v>88</v>
      </c>
      <c r="O35" s="382"/>
      <c r="P35" s="297">
        <f>+P33+P34</f>
        <v>10005.51845726695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zoomScale="110" zoomScaleNormal="1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526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6295.5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1133.1899999999998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5162.3100000000004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6352.1405084745766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81" t="s">
        <v>88</v>
      </c>
      <c r="O35" s="382"/>
      <c r="P35" s="297">
        <f>+P33+P34</f>
        <v>6383.9012110169497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527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60</v>
      </c>
      <c r="I25" s="114">
        <f t="shared" si="7"/>
        <v>4358.3999999999996</v>
      </c>
      <c r="J25" s="274">
        <f>SUM(J16:J24)</f>
        <v>784.51199999999994</v>
      </c>
      <c r="K25" s="275">
        <f t="shared" si="7"/>
        <v>0</v>
      </c>
      <c r="L25" s="276">
        <f t="shared" si="7"/>
        <v>0</v>
      </c>
      <c r="M25" s="232">
        <f t="shared" si="7"/>
        <v>3573.8879999999999</v>
      </c>
      <c r="N25" s="233">
        <f>SUM(N16:N24)</f>
        <v>823.72881355932213</v>
      </c>
      <c r="O25" s="101">
        <f>SUM(O16:O24)</f>
        <v>21.98808406779661</v>
      </c>
      <c r="P25" s="113">
        <f>SUM(P16:P24)</f>
        <v>4419.6048976271186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4358.3999999999996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784.51199999999994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3573.8879999999999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4397.6168135593216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21.98808406779661</v>
      </c>
    </row>
    <row r="35" spans="2:16" ht="15.75" customHeight="1" thickBot="1" x14ac:dyDescent="0.4">
      <c r="N35" s="381" t="s">
        <v>88</v>
      </c>
      <c r="O35" s="382"/>
      <c r="P35" s="297">
        <f>+P33+P34</f>
        <v>4419.6048976271186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528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90</v>
      </c>
      <c r="I25" s="114">
        <f t="shared" si="7"/>
        <v>5125.1750000000002</v>
      </c>
      <c r="J25" s="274">
        <f>SUM(J16:J24)</f>
        <v>922.53149999999982</v>
      </c>
      <c r="K25" s="275">
        <f t="shared" si="7"/>
        <v>0</v>
      </c>
      <c r="L25" s="276">
        <f t="shared" si="7"/>
        <v>0</v>
      </c>
      <c r="M25" s="232">
        <f t="shared" si="7"/>
        <v>4202.6435000000001</v>
      </c>
      <c r="N25" s="233">
        <f>SUM(N16:N24)</f>
        <v>968.64406779660976</v>
      </c>
      <c r="O25" s="101">
        <f>SUM(O16:O24)</f>
        <v>25.856437838983048</v>
      </c>
      <c r="P25" s="113">
        <f>SUM(P16:P24)</f>
        <v>5197.1440056355923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5125.1750000000002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922.53149999999982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4202.6435000000001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968.64406779660976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5171.2875677966094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25.856437838983048</v>
      </c>
    </row>
    <row r="35" spans="2:16" ht="15.75" customHeight="1" thickBot="1" x14ac:dyDescent="0.4">
      <c r="N35" s="381" t="s">
        <v>88</v>
      </c>
      <c r="O35" s="382"/>
      <c r="P35" s="297">
        <f>+P33+P34</f>
        <v>5197.1440056355923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529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6456.9000000000005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1162.2419999999997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5294.6580000000013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6514.9969830508489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81" t="s">
        <v>88</v>
      </c>
      <c r="O35" s="382"/>
      <c r="P35" s="297">
        <f>+P33+P34</f>
        <v>6547.5719679661033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530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170</v>
      </c>
      <c r="I25" s="114">
        <f t="shared" si="7"/>
        <v>10129.275</v>
      </c>
      <c r="J25" s="274">
        <f>SUM(J16:J24)</f>
        <v>1823.2694999999997</v>
      </c>
      <c r="K25" s="275">
        <f t="shared" si="7"/>
        <v>0</v>
      </c>
      <c r="L25" s="276">
        <f t="shared" si="7"/>
        <v>0</v>
      </c>
      <c r="M25" s="232">
        <f t="shared" si="7"/>
        <v>8306.0055000000011</v>
      </c>
      <c r="N25" s="233">
        <f>SUM(N16:N24)</f>
        <v>1914.4067796610163</v>
      </c>
      <c r="O25" s="101">
        <f>SUM(O16:O24)</f>
        <v>51.102061398305082</v>
      </c>
      <c r="P25" s="113">
        <f>SUM(P16:P24)</f>
        <v>10271.514341059319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10129.275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1823.2694999999997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8306.0054999999993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1914.4067796610163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10220.412279661015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51.102061398305075</v>
      </c>
    </row>
    <row r="35" spans="2:16" ht="15.75" customHeight="1" thickBot="1" x14ac:dyDescent="0.4">
      <c r="N35" s="381" t="s">
        <v>88</v>
      </c>
      <c r="O35" s="382"/>
      <c r="P35" s="297">
        <f>+P33+P34</f>
        <v>10271.514341059321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531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6456.9000000000005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1162.2419999999997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5294.6580000000013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6514.9969830508489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81" t="s">
        <v>88</v>
      </c>
      <c r="O35" s="382"/>
      <c r="P35" s="297">
        <f>+P33+P34</f>
        <v>6547.5719679661033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532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160</v>
      </c>
      <c r="I25" s="114">
        <f t="shared" si="7"/>
        <v>9604.65</v>
      </c>
      <c r="J25" s="274">
        <f>SUM(J16:J24)</f>
        <v>1728.8369999999998</v>
      </c>
      <c r="K25" s="275">
        <f t="shared" si="7"/>
        <v>0</v>
      </c>
      <c r="L25" s="276">
        <f t="shared" si="7"/>
        <v>0</v>
      </c>
      <c r="M25" s="232">
        <f t="shared" si="7"/>
        <v>7875.8130000000001</v>
      </c>
      <c r="N25" s="233">
        <f>SUM(N16:N24)</f>
        <v>1815.2542372881351</v>
      </c>
      <c r="O25" s="101">
        <f>SUM(O16:O24)</f>
        <v>48.455336186440675</v>
      </c>
      <c r="P25" s="113">
        <f>SUM(P16:P24)</f>
        <v>9739.5225734745763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9604.65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1728.8369999999998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7875.8130000000001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1815.2542372881351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9691.0672372881345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48.455336186440675</v>
      </c>
    </row>
    <row r="35" spans="2:16" ht="15.75" customHeight="1" thickBot="1" x14ac:dyDescent="0.4">
      <c r="N35" s="381" t="s">
        <v>88</v>
      </c>
      <c r="O35" s="382"/>
      <c r="P35" s="297">
        <f>+P33+P34</f>
        <v>9739.5225734745745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activeCell="I17" sqref="I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533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f>40-25</f>
        <v>15</v>
      </c>
      <c r="I16" s="235">
        <f>(G16*D16)*F16+H16*F16</f>
        <v>786.9375</v>
      </c>
      <c r="J16" s="271">
        <f>$I16*S16</f>
        <v>141.64875000000001</v>
      </c>
      <c r="K16" s="127">
        <f>$I16*T16</f>
        <v>0</v>
      </c>
      <c r="L16" s="118">
        <f>$I16*U16</f>
        <v>0</v>
      </c>
      <c r="M16" s="229">
        <f>I16-SUM(J16:L16)</f>
        <v>645.28874999999994</v>
      </c>
      <c r="N16" s="248">
        <f>+(G16*D16+H16)*V16</f>
        <v>148.72881355932196</v>
      </c>
      <c r="O16" s="238">
        <f>(N16+M16)*$O$15</f>
        <v>3.9700878177966095</v>
      </c>
      <c r="P16" s="309">
        <f>M16+N16+O16</f>
        <v>797.98765137711848</v>
      </c>
      <c r="Q16" s="156">
        <v>25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f>30-15</f>
        <v>15</v>
      </c>
      <c r="I17" s="236">
        <f t="shared" ref="I17:I23" si="0">(G17*D17)*F17+H17*F17</f>
        <v>786.9375</v>
      </c>
      <c r="J17" s="272">
        <f t="shared" ref="J17:L24" si="1">$I17*S17</f>
        <v>141.64875000000001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645.28874999999994</v>
      </c>
      <c r="N17" s="277">
        <f t="shared" ref="N17:N24" si="3">+(G17*D17+H17)*V17</f>
        <v>148.72881355932196</v>
      </c>
      <c r="O17" s="239">
        <f t="shared" ref="O17:O24" si="4">(N17+M17)*$O$15</f>
        <v>3.9700878177966095</v>
      </c>
      <c r="P17" s="310">
        <f t="shared" ref="P17:P24" si="5">M17+N17+O17</f>
        <v>797.98765137711848</v>
      </c>
      <c r="Q17" s="156">
        <v>15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f>40-25</f>
        <v>15</v>
      </c>
      <c r="I18" s="236">
        <f t="shared" si="0"/>
        <v>786.9375</v>
      </c>
      <c r="J18" s="272">
        <f t="shared" si="1"/>
        <v>141.64875000000001</v>
      </c>
      <c r="K18" s="128">
        <f t="shared" si="1"/>
        <v>0</v>
      </c>
      <c r="L18" s="119">
        <f t="shared" si="1"/>
        <v>0</v>
      </c>
      <c r="M18" s="230">
        <f t="shared" si="2"/>
        <v>645.28874999999994</v>
      </c>
      <c r="N18" s="277">
        <f t="shared" si="3"/>
        <v>148.72881355932196</v>
      </c>
      <c r="O18" s="239">
        <f t="shared" si="4"/>
        <v>3.9700878177966095</v>
      </c>
      <c r="P18" s="310">
        <f t="shared" si="5"/>
        <v>797.98765137711848</v>
      </c>
      <c r="Q18" s="156">
        <v>25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f>20-5</f>
        <v>15</v>
      </c>
      <c r="I19" s="236">
        <f t="shared" si="0"/>
        <v>1089.5999999999999</v>
      </c>
      <c r="J19" s="272">
        <f t="shared" si="1"/>
        <v>196.12799999999999</v>
      </c>
      <c r="K19" s="128">
        <f t="shared" si="1"/>
        <v>0</v>
      </c>
      <c r="L19" s="119">
        <f t="shared" si="1"/>
        <v>0</v>
      </c>
      <c r="M19" s="230">
        <f t="shared" si="2"/>
        <v>893.47199999999998</v>
      </c>
      <c r="N19" s="277">
        <f t="shared" si="3"/>
        <v>205.93220338983053</v>
      </c>
      <c r="O19" s="239">
        <f t="shared" si="4"/>
        <v>5.4970210169491525</v>
      </c>
      <c r="P19" s="310">
        <f t="shared" si="5"/>
        <v>1104.9012244067796</v>
      </c>
      <c r="Q19" s="156">
        <v>5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f>20-5</f>
        <v>15</v>
      </c>
      <c r="I20" s="236">
        <f t="shared" si="0"/>
        <v>1089.5999999999999</v>
      </c>
      <c r="J20" s="272">
        <f t="shared" si="1"/>
        <v>196.12799999999999</v>
      </c>
      <c r="K20" s="128">
        <f t="shared" si="1"/>
        <v>0</v>
      </c>
      <c r="L20" s="119">
        <f t="shared" si="1"/>
        <v>0</v>
      </c>
      <c r="M20" s="230">
        <f t="shared" si="2"/>
        <v>893.47199999999998</v>
      </c>
      <c r="N20" s="277">
        <f t="shared" si="3"/>
        <v>205.93220338983053</v>
      </c>
      <c r="O20" s="239">
        <f t="shared" si="4"/>
        <v>5.4970210169491525</v>
      </c>
      <c r="P20" s="310">
        <f t="shared" si="5"/>
        <v>1104.9012244067796</v>
      </c>
      <c r="Q20" s="156">
        <v>5</v>
      </c>
      <c r="R20">
        <f>P20/21</f>
        <v>52.614344019370456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75</v>
      </c>
      <c r="I25" s="114">
        <f t="shared" si="7"/>
        <v>4540.0124999999998</v>
      </c>
      <c r="J25" s="274">
        <f>SUM(J16:J24)</f>
        <v>817.20225000000005</v>
      </c>
      <c r="K25" s="275">
        <f t="shared" si="7"/>
        <v>0</v>
      </c>
      <c r="L25" s="276">
        <f t="shared" si="7"/>
        <v>0</v>
      </c>
      <c r="M25" s="232">
        <f t="shared" si="7"/>
        <v>3722.8102499999995</v>
      </c>
      <c r="N25" s="233">
        <f>SUM(N16:N24)</f>
        <v>858.0508474576269</v>
      </c>
      <c r="O25" s="101">
        <f>SUM(O16:O24)</f>
        <v>22.904305487288131</v>
      </c>
      <c r="P25" s="113">
        <f>SUM(P16:P24)</f>
        <v>4603.765402944915</v>
      </c>
      <c r="Q25" s="128">
        <f>SUM(Q16:Q24)</f>
        <v>75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4540.0124999999998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817.20225000000005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3722.8102499999995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858.0508474576269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4580.8610974576268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22.904305487288134</v>
      </c>
    </row>
    <row r="35" spans="2:16" ht="15.75" customHeight="1" thickBot="1" x14ac:dyDescent="0.4">
      <c r="N35" s="381" t="s">
        <v>88</v>
      </c>
      <c r="O35" s="382"/>
      <c r="P35" s="297">
        <f>+P33+P34</f>
        <v>4603.765402944915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534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160</v>
      </c>
      <c r="I25" s="114">
        <f t="shared" si="7"/>
        <v>9201.1</v>
      </c>
      <c r="J25" s="274">
        <f>SUM(J16:J24)</f>
        <v>1656.1979999999996</v>
      </c>
      <c r="K25" s="275">
        <f t="shared" si="7"/>
        <v>0</v>
      </c>
      <c r="L25" s="276">
        <f t="shared" si="7"/>
        <v>0</v>
      </c>
      <c r="M25" s="232">
        <f t="shared" si="7"/>
        <v>7544.902</v>
      </c>
      <c r="N25" s="233">
        <f>SUM(N16:N24)</f>
        <v>1738.983050847457</v>
      </c>
      <c r="O25" s="101">
        <f>SUM(O16:O24)</f>
        <v>46.419425254237282</v>
      </c>
      <c r="P25" s="113">
        <f>SUM(P16:P24)</f>
        <v>9330.3044761016936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9201.1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1656.1979999999996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  <c r="S30" s="215"/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7544.902000000001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1738.983050847457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9283.885050847457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46.419425254237289</v>
      </c>
    </row>
    <row r="35" spans="2:16" ht="15.75" customHeight="1" thickBot="1" x14ac:dyDescent="0.4">
      <c r="N35" s="381" t="s">
        <v>88</v>
      </c>
      <c r="O35" s="382"/>
      <c r="P35" s="297">
        <f>+P33+P34</f>
        <v>9330.3044761016936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535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0</v>
      </c>
      <c r="L25" s="276">
        <f t="shared" si="7"/>
        <v>0</v>
      </c>
      <c r="M25" s="232">
        <f t="shared" si="7"/>
        <v>7015.4280000000008</v>
      </c>
      <c r="N25" s="233">
        <f>SUM(N16:N24)</f>
        <v>1616.9491525423725</v>
      </c>
      <c r="O25" s="101">
        <f>SUM(O16:O24)</f>
        <v>43.161885762711862</v>
      </c>
      <c r="P25" s="113">
        <f>SUM(P16:P24)</f>
        <v>8675.5390383050835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8555.4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1539.9719999999998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7015.4279999999999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8632.3771525423726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43.161885762711862</v>
      </c>
    </row>
    <row r="35" spans="2:16" ht="15.75" customHeight="1" thickBot="1" x14ac:dyDescent="0.4">
      <c r="N35" s="381" t="s">
        <v>88</v>
      </c>
      <c r="O35" s="382"/>
      <c r="P35" s="297">
        <f>+P33+P34</f>
        <v>8675.5390383050853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536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>
        <v>20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6456.9000000000005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1162.2419999999997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5294.6580000000013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6514.9969830508489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81" t="s">
        <v>88</v>
      </c>
      <c r="O35" s="382"/>
      <c r="P35" s="297">
        <f>+P33+P34</f>
        <v>6547.5719679661033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537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>
        <v>30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80</v>
      </c>
      <c r="I25" s="114">
        <f t="shared" si="7"/>
        <v>4600.55</v>
      </c>
      <c r="J25" s="274">
        <f>SUM(J16:J24)</f>
        <v>828.09899999999993</v>
      </c>
      <c r="K25" s="275">
        <f t="shared" si="7"/>
        <v>0</v>
      </c>
      <c r="L25" s="276">
        <f t="shared" si="7"/>
        <v>0</v>
      </c>
      <c r="M25" s="232">
        <f t="shared" si="7"/>
        <v>3772.451</v>
      </c>
      <c r="N25" s="233">
        <f>SUM(N16:N24)</f>
        <v>869.49152542372849</v>
      </c>
      <c r="O25" s="101">
        <f>SUM(O16:O24)</f>
        <v>23.209712627118641</v>
      </c>
      <c r="P25" s="113">
        <f>SUM(P16:P24)</f>
        <v>4665.1522380508468</v>
      </c>
      <c r="Q25" s="128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4600.55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828.09899999999993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3772.451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869.49152542372849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4641.9425254237285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23.209712627118645</v>
      </c>
    </row>
    <row r="35" spans="2:16" ht="15.75" customHeight="1" thickBot="1" x14ac:dyDescent="0.4">
      <c r="N35" s="381" t="s">
        <v>88</v>
      </c>
      <c r="O35" s="382"/>
      <c r="P35" s="297">
        <f>+P33+P34</f>
        <v>4665.1522380508468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8.75" customHeight="1" x14ac:dyDescent="0.4">
      <c r="A6" s="407" t="s">
        <v>538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100</v>
      </c>
      <c r="I25" s="114">
        <f t="shared" si="7"/>
        <v>6053.35</v>
      </c>
      <c r="J25" s="274">
        <f>SUM(J16:J24)</f>
        <v>1089.6029999999998</v>
      </c>
      <c r="K25" s="275">
        <f t="shared" si="7"/>
        <v>0</v>
      </c>
      <c r="L25" s="276">
        <f t="shared" si="7"/>
        <v>0</v>
      </c>
      <c r="M25" s="232">
        <f t="shared" si="7"/>
        <v>4963.7470000000003</v>
      </c>
      <c r="N25" s="233">
        <f>SUM(N16:N24)</f>
        <v>1144.0677966101691</v>
      </c>
      <c r="O25" s="101">
        <f>SUM(O16:O24)</f>
        <v>30.539073983050844</v>
      </c>
      <c r="P25" s="113">
        <f>SUM(P16:P24)</f>
        <v>6138.3538705932197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6053.35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1089.6029999999998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4963.7470000000003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1144.0677966101691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6107.8147966101697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30.539073983050848</v>
      </c>
    </row>
    <row r="35" spans="2:16" ht="15.75" customHeight="1" thickBot="1" x14ac:dyDescent="0.4">
      <c r="N35" s="381" t="s">
        <v>88</v>
      </c>
      <c r="O35" s="382"/>
      <c r="P35" s="297">
        <f>+P33+P34</f>
        <v>6138.3538705932206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539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25.245623559322031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5004.1000000000004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900.73799999999983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4103.362000000001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5049.1247118644078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81" t="s">
        <v>88</v>
      </c>
      <c r="O35" s="382"/>
      <c r="P35" s="297">
        <f>+P33+P34</f>
        <v>5074.3703354237296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540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0</v>
      </c>
      <c r="L25" s="276">
        <f t="shared" si="7"/>
        <v>0</v>
      </c>
      <c r="M25" s="232">
        <f t="shared" si="7"/>
        <v>7015.4280000000008</v>
      </c>
      <c r="N25" s="233">
        <f>SUM(N16:N24)</f>
        <v>1616.9491525423725</v>
      </c>
      <c r="O25" s="101">
        <f>SUM(O16:O24)</f>
        <v>43.161885762711862</v>
      </c>
      <c r="P25" s="113">
        <f>SUM(P16:P24)</f>
        <v>8675.5390383050835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8555.4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1539.9719999999998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7015.4279999999999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8632.3771525423726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43.161885762711862</v>
      </c>
    </row>
    <row r="35" spans="2:16" ht="15.75" customHeight="1" thickBot="1" x14ac:dyDescent="0.4">
      <c r="N35" s="381" t="s">
        <v>88</v>
      </c>
      <c r="O35" s="382"/>
      <c r="P35" s="297">
        <f>+P33+P34</f>
        <v>8675.5390383050853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7" workbookViewId="0">
      <selection activeCell="H21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541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20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0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0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0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0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81" t="s">
        <v>88</v>
      </c>
      <c r="O35" s="382"/>
      <c r="P35" s="297">
        <f>+P33+P34</f>
        <v>0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0" sqref="I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542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25.245623559322031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5004.1000000000004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900.73799999999983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4103.362000000001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5049.1247118644078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81" t="s">
        <v>88</v>
      </c>
      <c r="O35" s="382"/>
      <c r="P35" s="297">
        <f>+P33+P34</f>
        <v>5074.3703354237296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F13" sqref="F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543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140</v>
      </c>
      <c r="I25" s="114">
        <f t="shared" si="7"/>
        <v>7748.3</v>
      </c>
      <c r="J25" s="274">
        <f>SUM(J16:J24)</f>
        <v>1394.6939999999997</v>
      </c>
      <c r="K25" s="275">
        <f t="shared" si="7"/>
        <v>0</v>
      </c>
      <c r="L25" s="276">
        <f t="shared" si="7"/>
        <v>0</v>
      </c>
      <c r="M25" s="232">
        <f t="shared" si="7"/>
        <v>6353.6059999999998</v>
      </c>
      <c r="N25" s="233">
        <f>SUM(N16:N24)</f>
        <v>1464.4067796610163</v>
      </c>
      <c r="O25" s="101">
        <f>SUM(O16:O24)</f>
        <v>39.090063898305075</v>
      </c>
      <c r="P25" s="113">
        <f>SUM(P16:P24)</f>
        <v>7857.1028435593207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7748.3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1394.6939999999997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6353.6060000000007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1464.4067796610163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7818.0127796610168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39.090063898305083</v>
      </c>
    </row>
    <row r="35" spans="2:16" ht="15.75" customHeight="1" thickBot="1" x14ac:dyDescent="0.4">
      <c r="N35" s="381" t="s">
        <v>88</v>
      </c>
      <c r="O35" s="382"/>
      <c r="P35" s="297">
        <f>+P33+P34</f>
        <v>7857.1028435593216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7" workbookViewId="0">
      <selection activeCell="J12" sqref="J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544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130</v>
      </c>
      <c r="I25" s="114">
        <f t="shared" si="7"/>
        <v>8030.7750000000005</v>
      </c>
      <c r="J25" s="274">
        <f>SUM(J16:J24)</f>
        <v>1445.5394999999996</v>
      </c>
      <c r="K25" s="275">
        <f t="shared" si="7"/>
        <v>0</v>
      </c>
      <c r="L25" s="276">
        <f t="shared" si="7"/>
        <v>0</v>
      </c>
      <c r="M25" s="232">
        <f t="shared" si="7"/>
        <v>6585.2355000000007</v>
      </c>
      <c r="N25" s="233">
        <f>SUM(N16:N24)</f>
        <v>1517.796610169491</v>
      </c>
      <c r="O25" s="101">
        <f>SUM(O16:O24)</f>
        <v>40.515160550847455</v>
      </c>
      <c r="P25" s="113">
        <f>SUM(P16:P24)</f>
        <v>8143.547270720338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8030.7750000000005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1445.5394999999996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6585.2355000000007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1517.796610169491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8103.0321101694917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40.515160550847462</v>
      </c>
    </row>
    <row r="35" spans="2:16" ht="15.75" customHeight="1" thickBot="1" x14ac:dyDescent="0.4">
      <c r="N35" s="381" t="s">
        <v>88</v>
      </c>
      <c r="O35" s="382"/>
      <c r="P35" s="297">
        <f>+P33+P34</f>
        <v>8143.5472707203389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6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545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10653.9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1917.7019999999995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8736.1980000000003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10749.757322033898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81" t="s">
        <v>88</v>
      </c>
      <c r="O35" s="382"/>
      <c r="P35" s="297">
        <f>+P33+P34</f>
        <v>10803.506108644067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3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547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546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170</v>
      </c>
      <c r="I25" s="114">
        <f t="shared" si="7"/>
        <v>10129.275</v>
      </c>
      <c r="J25" s="274">
        <f>SUM(J16:J24)</f>
        <v>1823.2694999999997</v>
      </c>
      <c r="K25" s="275">
        <f t="shared" si="7"/>
        <v>0</v>
      </c>
      <c r="L25" s="276">
        <f t="shared" si="7"/>
        <v>0</v>
      </c>
      <c r="M25" s="232">
        <f t="shared" si="7"/>
        <v>8306.0055000000011</v>
      </c>
      <c r="N25" s="233">
        <f>SUM(N16:N24)</f>
        <v>1914.4067796610163</v>
      </c>
      <c r="O25" s="101">
        <f>SUM(O16:O24)</f>
        <v>51.102061398305082</v>
      </c>
      <c r="P25" s="113">
        <f>SUM(P16:P24)</f>
        <v>10271.514341059319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10129.275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1823.2694999999997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8306.0054999999993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1914.4067796610163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10220.412279661015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51.102061398305075</v>
      </c>
    </row>
    <row r="35" spans="2:16" ht="15.75" customHeight="1" thickBot="1" x14ac:dyDescent="0.4">
      <c r="N35" s="381" t="s">
        <v>88</v>
      </c>
      <c r="O35" s="382"/>
      <c r="P35" s="297">
        <f>+P33+P34</f>
        <v>10271.514341059321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514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517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0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0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0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0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81" t="s">
        <v>88</v>
      </c>
      <c r="O35" s="382"/>
      <c r="P35" s="297">
        <f>+P33+P34</f>
        <v>0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400" t="s">
        <v>91</v>
      </c>
      <c r="B2" s="400"/>
      <c r="C2" s="400"/>
    </row>
    <row r="3" spans="1:22 16383:16384" ht="15" customHeight="1" x14ac:dyDescent="0.35">
      <c r="A3" s="401" t="s">
        <v>92</v>
      </c>
      <c r="B3" s="401"/>
      <c r="C3" s="401"/>
      <c r="F3" s="85"/>
      <c r="G3" s="1"/>
      <c r="K3" s="402" t="s">
        <v>514</v>
      </c>
      <c r="L3" s="402"/>
      <c r="M3" s="402"/>
      <c r="N3" s="401"/>
      <c r="O3" s="401"/>
      <c r="P3" s="40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401" t="s">
        <v>499</v>
      </c>
      <c r="B4" s="401"/>
      <c r="C4" s="401"/>
      <c r="F4" s="85"/>
      <c r="G4" s="1"/>
      <c r="K4" s="402" t="s">
        <v>44</v>
      </c>
      <c r="L4" s="402"/>
      <c r="M4" s="402"/>
      <c r="N4" s="405">
        <v>46296</v>
      </c>
      <c r="O4" s="405"/>
      <c r="P4" s="40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6" t="s">
        <v>492</v>
      </c>
      <c r="B5" s="406"/>
      <c r="C5" s="406"/>
      <c r="F5" s="85"/>
      <c r="G5" s="1"/>
      <c r="K5" s="402" t="s">
        <v>45</v>
      </c>
      <c r="L5" s="402"/>
      <c r="M5" s="402"/>
      <c r="N5" s="405">
        <f>N4-1</f>
        <v>46295</v>
      </c>
      <c r="O5" s="401"/>
      <c r="P5" s="401"/>
      <c r="R5" s="85"/>
      <c r="S5" s="266"/>
    </row>
    <row r="6" spans="1:22 16383:16384" ht="15" customHeight="1" x14ac:dyDescent="0.4">
      <c r="A6" s="407" t="s">
        <v>518</v>
      </c>
      <c r="B6" s="407"/>
      <c r="C6" s="407"/>
      <c r="F6" s="85"/>
      <c r="G6" s="86"/>
      <c r="K6" s="402" t="s">
        <v>69</v>
      </c>
      <c r="L6" s="402"/>
      <c r="M6" s="402"/>
      <c r="N6" s="404" t="s">
        <v>519</v>
      </c>
      <c r="O6" s="404"/>
      <c r="P6" s="40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402" t="s">
        <v>512</v>
      </c>
      <c r="B7" s="402"/>
      <c r="C7" s="402"/>
      <c r="F7" s="85"/>
      <c r="G7" s="86"/>
      <c r="K7" s="402" t="s">
        <v>66</v>
      </c>
      <c r="L7" s="402"/>
      <c r="M7" s="402"/>
      <c r="N7" s="404" t="s">
        <v>505</v>
      </c>
      <c r="O7" s="404"/>
      <c r="P7" s="40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8" t="s">
        <v>95</v>
      </c>
      <c r="B8" s="408"/>
      <c r="C8" s="408"/>
      <c r="F8" s="85"/>
      <c r="G8" s="86"/>
      <c r="K8" s="402" t="s">
        <v>67</v>
      </c>
      <c r="L8" s="402"/>
      <c r="M8" s="402"/>
      <c r="N8" s="404" t="s">
        <v>505</v>
      </c>
      <c r="O8" s="404"/>
      <c r="P8" s="404"/>
      <c r="R8" s="85"/>
      <c r="S8" s="267"/>
    </row>
    <row r="9" spans="1:22 16383:16384" x14ac:dyDescent="0.35">
      <c r="A9" s="408" t="s">
        <v>96</v>
      </c>
      <c r="B9" s="408"/>
      <c r="C9" s="408"/>
      <c r="F9" s="85"/>
      <c r="G9" s="86"/>
      <c r="K9" s="402" t="s">
        <v>68</v>
      </c>
      <c r="L9" s="402"/>
      <c r="M9" s="402"/>
      <c r="N9" s="404" t="s">
        <v>104</v>
      </c>
      <c r="O9" s="404"/>
      <c r="P9" s="404"/>
      <c r="R9" s="85"/>
      <c r="S9" s="267"/>
      <c r="XFD9" t="s">
        <v>49</v>
      </c>
    </row>
    <row r="10" spans="1:22 16383:16384" x14ac:dyDescent="0.35">
      <c r="A10" s="408" t="s">
        <v>97</v>
      </c>
      <c r="B10" s="408"/>
      <c r="C10" s="408"/>
      <c r="F10" s="85"/>
      <c r="G10" s="1"/>
      <c r="K10" s="402" t="s">
        <v>46</v>
      </c>
      <c r="L10" s="402"/>
      <c r="M10" s="402"/>
      <c r="N10" s="401" t="s">
        <v>47</v>
      </c>
      <c r="O10" s="401"/>
      <c r="P10" s="40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402" t="s">
        <v>48</v>
      </c>
      <c r="L11" s="402"/>
      <c r="M11" s="402"/>
      <c r="N11" s="404" t="s">
        <v>49</v>
      </c>
      <c r="O11" s="404"/>
      <c r="P11" s="40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402" t="s">
        <v>50</v>
      </c>
      <c r="L12" s="402"/>
      <c r="M12" s="402"/>
      <c r="N12" s="401"/>
      <c r="O12" s="401"/>
      <c r="P12" s="40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2" t="s">
        <v>51</v>
      </c>
      <c r="B14" s="353"/>
      <c r="C14" s="356" t="s">
        <v>90</v>
      </c>
      <c r="D14" s="115" t="s">
        <v>52</v>
      </c>
      <c r="E14" s="358" t="s">
        <v>58</v>
      </c>
      <c r="F14" s="359"/>
      <c r="G14" s="360" t="s">
        <v>54</v>
      </c>
      <c r="H14" s="361"/>
      <c r="I14" s="362" t="s">
        <v>77</v>
      </c>
      <c r="J14" s="399" t="s">
        <v>55</v>
      </c>
      <c r="K14" s="360"/>
      <c r="L14" s="361"/>
      <c r="M14" s="353" t="s">
        <v>84</v>
      </c>
      <c r="N14" s="39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54"/>
      <c r="B15" s="355"/>
      <c r="C15" s="35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7">
        <v>0.18</v>
      </c>
      <c r="K15" s="144" t="s">
        <v>39</v>
      </c>
      <c r="L15" s="145" t="s">
        <v>493</v>
      </c>
      <c r="M15" s="355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7"/>
      <c r="L28" s="368"/>
      <c r="N28" s="375" t="s">
        <v>60</v>
      </c>
      <c r="O28" s="376"/>
      <c r="P28" s="139">
        <f>I25</f>
        <v>0</v>
      </c>
    </row>
    <row r="29" spans="1:22 16384:16384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0"/>
      <c r="L29" s="371"/>
      <c r="N29" s="377" t="s">
        <v>85</v>
      </c>
      <c r="O29" s="378"/>
      <c r="P29" s="140">
        <f>+J25</f>
        <v>0</v>
      </c>
    </row>
    <row r="30" spans="1:22 16384:16384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0"/>
      <c r="L30" s="371"/>
      <c r="N30" s="377" t="s">
        <v>86</v>
      </c>
      <c r="O30" s="378"/>
      <c r="P30" s="140">
        <f>+K25+L25</f>
        <v>0</v>
      </c>
    </row>
    <row r="31" spans="1:22 16384:16384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0"/>
      <c r="L31" s="371"/>
      <c r="M31" s="131"/>
      <c r="N31" s="377" t="s">
        <v>87</v>
      </c>
      <c r="O31" s="378"/>
      <c r="P31" s="140">
        <f>P28-P29-P30</f>
        <v>0</v>
      </c>
    </row>
    <row r="32" spans="1:22 16384:16384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0"/>
      <c r="L33" s="371"/>
      <c r="M33" s="131"/>
      <c r="N33" s="379" t="s">
        <v>76</v>
      </c>
      <c r="O33" s="380"/>
      <c r="P33" s="140">
        <f>P31+P32</f>
        <v>0</v>
      </c>
    </row>
    <row r="34" spans="2:16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3"/>
      <c r="L34" s="37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81" t="s">
        <v>88</v>
      </c>
      <c r="O35" s="382"/>
      <c r="P35" s="297">
        <f>+P33+P34</f>
        <v>0</v>
      </c>
    </row>
    <row r="36" spans="2:16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385"/>
      <c r="K36" s="38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400" t="s">
        <v>91</v>
      </c>
      <c r="B2" s="400"/>
      <c r="C2" s="400"/>
    </row>
    <row r="3" spans="1:18 16382:16383" ht="15" customHeight="1" x14ac:dyDescent="0.35">
      <c r="A3" s="401" t="s">
        <v>92</v>
      </c>
      <c r="B3" s="401"/>
      <c r="C3" s="401"/>
      <c r="F3" s="85"/>
      <c r="G3" s="1"/>
      <c r="J3" s="402" t="s">
        <v>43</v>
      </c>
      <c r="K3" s="402"/>
      <c r="L3" s="402"/>
      <c r="M3" s="401"/>
      <c r="N3" s="401"/>
      <c r="O3" s="40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401" t="s">
        <v>65</v>
      </c>
      <c r="B4" s="401"/>
      <c r="C4" s="401"/>
      <c r="F4" s="85"/>
      <c r="G4" s="1"/>
      <c r="J4" s="402" t="s">
        <v>44</v>
      </c>
      <c r="K4" s="402"/>
      <c r="L4" s="402"/>
      <c r="M4" s="405">
        <f ca="1">TODAY()+1</f>
        <v>46299</v>
      </c>
      <c r="N4" s="405"/>
      <c r="O4" s="40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6" t="s">
        <v>93</v>
      </c>
      <c r="B5" s="406"/>
      <c r="C5" s="406"/>
      <c r="F5" s="85"/>
      <c r="G5" s="1"/>
      <c r="J5" s="402" t="s">
        <v>45</v>
      </c>
      <c r="K5" s="402"/>
      <c r="L5" s="402"/>
      <c r="M5" s="405">
        <f ca="1">M4-1</f>
        <v>46298</v>
      </c>
      <c r="N5" s="401"/>
      <c r="O5" s="401"/>
      <c r="Q5" s="85"/>
      <c r="R5" s="1"/>
    </row>
    <row r="6" spans="1:18 16382:16383" ht="15" customHeight="1" x14ac:dyDescent="0.35">
      <c r="A6" s="402" t="s">
        <v>94</v>
      </c>
      <c r="B6" s="402"/>
      <c r="C6" s="402"/>
      <c r="F6" s="85"/>
      <c r="G6" s="86"/>
      <c r="J6" s="402" t="s">
        <v>69</v>
      </c>
      <c r="K6" s="402"/>
      <c r="L6" s="402"/>
      <c r="M6" s="404" t="s">
        <v>62</v>
      </c>
      <c r="N6" s="404"/>
      <c r="O6" s="40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402" t="s">
        <v>73</v>
      </c>
      <c r="B7" s="402"/>
      <c r="C7" s="402"/>
      <c r="F7" s="85"/>
      <c r="G7" s="86"/>
      <c r="J7" s="402" t="s">
        <v>66</v>
      </c>
      <c r="K7" s="402"/>
      <c r="L7" s="402"/>
      <c r="M7" s="404" t="s">
        <v>70</v>
      </c>
      <c r="N7" s="404"/>
      <c r="O7" s="40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8" t="s">
        <v>95</v>
      </c>
      <c r="B8" s="408"/>
      <c r="C8" s="408"/>
      <c r="F8" s="85"/>
      <c r="G8" s="86"/>
      <c r="J8" s="402" t="s">
        <v>67</v>
      </c>
      <c r="K8" s="402"/>
      <c r="L8" s="402"/>
      <c r="M8" s="404" t="s">
        <v>71</v>
      </c>
      <c r="N8" s="404"/>
      <c r="O8" s="404"/>
      <c r="Q8" s="85"/>
      <c r="R8" s="86"/>
    </row>
    <row r="9" spans="1:18 16382:16383" x14ac:dyDescent="0.35">
      <c r="A9" s="408" t="s">
        <v>96</v>
      </c>
      <c r="B9" s="408"/>
      <c r="C9" s="408"/>
      <c r="F9" s="85"/>
      <c r="G9" s="86"/>
      <c r="J9" s="402" t="s">
        <v>68</v>
      </c>
      <c r="K9" s="402"/>
      <c r="L9" s="402"/>
      <c r="M9" s="404" t="s">
        <v>104</v>
      </c>
      <c r="N9" s="404"/>
      <c r="O9" s="404"/>
      <c r="Q9" s="85"/>
      <c r="R9" s="86"/>
      <c r="XFC9" t="s">
        <v>49</v>
      </c>
    </row>
    <row r="10" spans="1:18 16382:16383" x14ac:dyDescent="0.35">
      <c r="A10" s="408" t="s">
        <v>97</v>
      </c>
      <c r="B10" s="408"/>
      <c r="C10" s="408"/>
      <c r="F10" s="85"/>
      <c r="G10" s="1"/>
      <c r="J10" s="402" t="s">
        <v>46</v>
      </c>
      <c r="K10" s="402"/>
      <c r="L10" s="402"/>
      <c r="M10" s="401" t="s">
        <v>47</v>
      </c>
      <c r="N10" s="401"/>
      <c r="O10" s="40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402" t="s">
        <v>48</v>
      </c>
      <c r="K11" s="402"/>
      <c r="L11" s="402"/>
      <c r="M11" s="401" t="s">
        <v>49</v>
      </c>
      <c r="N11" s="401"/>
      <c r="O11" s="40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402" t="s">
        <v>50</v>
      </c>
      <c r="K12" s="402"/>
      <c r="L12" s="402"/>
      <c r="M12" s="401"/>
      <c r="N12" s="401"/>
      <c r="O12" s="40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52" t="s">
        <v>51</v>
      </c>
      <c r="B14" s="353"/>
      <c r="C14" s="356" t="s">
        <v>90</v>
      </c>
      <c r="D14" s="88" t="s">
        <v>52</v>
      </c>
      <c r="E14" s="95" t="s">
        <v>74</v>
      </c>
      <c r="F14" s="115" t="s">
        <v>53</v>
      </c>
      <c r="G14" s="399" t="s">
        <v>54</v>
      </c>
      <c r="H14" s="361"/>
      <c r="I14" s="362" t="s">
        <v>77</v>
      </c>
      <c r="J14" s="360" t="s">
        <v>55</v>
      </c>
      <c r="K14" s="361"/>
      <c r="L14" s="36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54"/>
      <c r="B15" s="355"/>
      <c r="C15" s="35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403">
        <f>COUNT(A16:A24)</f>
        <v>0</v>
      </c>
      <c r="B25" s="364"/>
      <c r="C25" s="364" t="s">
        <v>40</v>
      </c>
      <c r="D25" s="364"/>
      <c r="E25" s="364"/>
      <c r="F25" s="36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6" t="s">
        <v>64</v>
      </c>
      <c r="C28" s="367"/>
      <c r="D28" s="367"/>
      <c r="E28" s="367"/>
      <c r="F28" s="367"/>
      <c r="G28" s="367"/>
      <c r="H28" s="367"/>
      <c r="I28" s="367"/>
      <c r="J28" s="367"/>
      <c r="K28" s="368"/>
      <c r="M28" s="375" t="s">
        <v>60</v>
      </c>
      <c r="N28" s="376"/>
      <c r="O28" s="139">
        <f>I25</f>
        <v>1452.8</v>
      </c>
    </row>
    <row r="29" spans="1:18 16383:16383" ht="15" customHeight="1" x14ac:dyDescent="0.35">
      <c r="B29" s="369"/>
      <c r="C29" s="370"/>
      <c r="D29" s="370"/>
      <c r="E29" s="370"/>
      <c r="F29" s="370"/>
      <c r="G29" s="370"/>
      <c r="H29" s="370"/>
      <c r="I29" s="370"/>
      <c r="J29" s="370"/>
      <c r="K29" s="371"/>
      <c r="M29" s="377" t="s">
        <v>85</v>
      </c>
      <c r="N29" s="378"/>
      <c r="O29" s="140">
        <f>K25</f>
        <v>0</v>
      </c>
    </row>
    <row r="30" spans="1:18 16383:16383" ht="15" customHeight="1" x14ac:dyDescent="0.35">
      <c r="B30" s="369"/>
      <c r="C30" s="370"/>
      <c r="D30" s="370"/>
      <c r="E30" s="370"/>
      <c r="F30" s="370"/>
      <c r="G30" s="370"/>
      <c r="H30" s="370"/>
      <c r="I30" s="370"/>
      <c r="J30" s="370"/>
      <c r="K30" s="371"/>
      <c r="M30" s="377" t="s">
        <v>86</v>
      </c>
      <c r="N30" s="378"/>
      <c r="O30" s="140">
        <f>J25</f>
        <v>50.848000000000006</v>
      </c>
    </row>
    <row r="31" spans="1:18 16383:16383" ht="15" customHeight="1" x14ac:dyDescent="0.35">
      <c r="B31" s="369"/>
      <c r="C31" s="370"/>
      <c r="D31" s="370"/>
      <c r="E31" s="370"/>
      <c r="F31" s="370"/>
      <c r="G31" s="370"/>
      <c r="H31" s="370"/>
      <c r="I31" s="370"/>
      <c r="J31" s="370"/>
      <c r="K31" s="371"/>
      <c r="L31" s="131"/>
      <c r="M31" s="377" t="s">
        <v>87</v>
      </c>
      <c r="N31" s="378"/>
      <c r="O31" s="140">
        <f>O28-O29-O30</f>
        <v>1401.952</v>
      </c>
    </row>
    <row r="32" spans="1:18 16383:16383" ht="15" customHeight="1" x14ac:dyDescent="0.35">
      <c r="B32" s="369"/>
      <c r="C32" s="370"/>
      <c r="D32" s="370"/>
      <c r="E32" s="370"/>
      <c r="F32" s="370"/>
      <c r="G32" s="370"/>
      <c r="H32" s="370"/>
      <c r="I32" s="370"/>
      <c r="J32" s="370"/>
      <c r="K32" s="37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9"/>
      <c r="C33" s="370"/>
      <c r="D33" s="370"/>
      <c r="E33" s="370"/>
      <c r="F33" s="370"/>
      <c r="G33" s="370"/>
      <c r="H33" s="370"/>
      <c r="I33" s="370"/>
      <c r="J33" s="370"/>
      <c r="K33" s="371"/>
      <c r="L33" s="131"/>
      <c r="M33" s="379" t="s">
        <v>76</v>
      </c>
      <c r="N33" s="380"/>
      <c r="O33" s="140">
        <f>O31+O32</f>
        <v>1710.3814400000001</v>
      </c>
    </row>
    <row r="34" spans="2:15" ht="15" customHeight="1" thickBot="1" x14ac:dyDescent="0.4">
      <c r="B34" s="372"/>
      <c r="C34" s="373"/>
      <c r="D34" s="373"/>
      <c r="E34" s="373"/>
      <c r="F34" s="373"/>
      <c r="G34" s="373"/>
      <c r="H34" s="373"/>
      <c r="I34" s="373"/>
      <c r="J34" s="373"/>
      <c r="K34" s="37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81" t="s">
        <v>88</v>
      </c>
      <c r="N35" s="382"/>
      <c r="O35" s="141">
        <f>O28-O29+O31+O34</f>
        <v>2897.511536</v>
      </c>
    </row>
    <row r="36" spans="2:15" ht="15" thickBot="1" x14ac:dyDescent="0.4">
      <c r="B36" s="121" t="s">
        <v>63</v>
      </c>
      <c r="C36" s="383"/>
      <c r="D36" s="383"/>
      <c r="E36" s="383"/>
      <c r="F36" s="383"/>
      <c r="G36" s="383"/>
      <c r="H36" s="383"/>
      <c r="I36" s="38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44" t="s">
        <v>438</v>
      </c>
      <c r="D1" s="412" t="s">
        <v>439</v>
      </c>
      <c r="E1" s="344" t="s">
        <v>58</v>
      </c>
      <c r="F1" s="344"/>
      <c r="G1" s="345" t="s">
        <v>440</v>
      </c>
      <c r="H1" s="345"/>
      <c r="I1" s="413" t="s">
        <v>441</v>
      </c>
      <c r="J1" s="413"/>
      <c r="K1" s="413" t="s">
        <v>442</v>
      </c>
      <c r="L1" s="413"/>
      <c r="M1" s="409" t="s">
        <v>484</v>
      </c>
      <c r="N1" s="410"/>
      <c r="O1" s="411"/>
    </row>
    <row r="2" spans="3:24" ht="29" x14ac:dyDescent="0.35">
      <c r="C2" s="344"/>
      <c r="D2" s="41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4" t="s">
        <v>476</v>
      </c>
      <c r="D6" s="414"/>
      <c r="E6" s="414"/>
      <c r="F6" s="414"/>
      <c r="G6" s="414"/>
      <c r="T6" s="257" t="s">
        <v>487</v>
      </c>
      <c r="U6" s="257" t="s">
        <v>488</v>
      </c>
    </row>
    <row r="7" spans="3:24" ht="14.5" customHeight="1" x14ac:dyDescent="0.35">
      <c r="C7" s="339" t="s">
        <v>438</v>
      </c>
      <c r="D7" s="343" t="s">
        <v>439</v>
      </c>
      <c r="E7" s="416" t="s">
        <v>58</v>
      </c>
      <c r="F7" s="416"/>
      <c r="G7" s="417" t="s">
        <v>440</v>
      </c>
      <c r="H7" s="345"/>
      <c r="I7" s="346" t="s">
        <v>441</v>
      </c>
      <c r="J7" s="347"/>
      <c r="K7" s="346" t="s">
        <v>442</v>
      </c>
      <c r="L7" s="347"/>
      <c r="M7" s="409" t="s">
        <v>484</v>
      </c>
      <c r="N7" s="410"/>
      <c r="O7" s="411"/>
      <c r="P7" s="256" t="s">
        <v>475</v>
      </c>
      <c r="Q7" s="242" t="s">
        <v>473</v>
      </c>
      <c r="R7" s="412" t="s">
        <v>475</v>
      </c>
      <c r="S7" s="412" t="s">
        <v>485</v>
      </c>
      <c r="T7" s="418" t="s">
        <v>486</v>
      </c>
      <c r="U7" s="418" t="s">
        <v>486</v>
      </c>
    </row>
    <row r="8" spans="3:24" ht="15" customHeight="1" thickBot="1" x14ac:dyDescent="0.4">
      <c r="C8" s="341"/>
      <c r="D8" s="34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12"/>
      <c r="S8" s="412"/>
      <c r="T8" s="417"/>
      <c r="U8" s="41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5" t="s">
        <v>477</v>
      </c>
      <c r="D12" s="415"/>
      <c r="E12" s="415"/>
      <c r="F12" s="415"/>
      <c r="G12" s="415"/>
    </row>
    <row r="13" spans="3:24" x14ac:dyDescent="0.35">
      <c r="C13" s="340" t="s">
        <v>438</v>
      </c>
      <c r="D13" s="342" t="s">
        <v>439</v>
      </c>
      <c r="E13" s="344" t="s">
        <v>58</v>
      </c>
      <c r="F13" s="344"/>
      <c r="G13" s="345" t="s">
        <v>440</v>
      </c>
      <c r="H13" s="345"/>
      <c r="I13" s="346" t="s">
        <v>441</v>
      </c>
      <c r="J13" s="347"/>
      <c r="K13" s="346" t="s">
        <v>442</v>
      </c>
      <c r="L13" s="347"/>
      <c r="M13" s="409" t="s">
        <v>484</v>
      </c>
      <c r="N13" s="410"/>
      <c r="O13" s="411"/>
      <c r="P13" s="256" t="s">
        <v>475</v>
      </c>
      <c r="Q13" s="242" t="s">
        <v>473</v>
      </c>
      <c r="R13" s="412" t="s">
        <v>475</v>
      </c>
      <c r="S13" s="412" t="s">
        <v>485</v>
      </c>
      <c r="T13" s="418" t="s">
        <v>486</v>
      </c>
      <c r="U13" s="418" t="s">
        <v>486</v>
      </c>
    </row>
    <row r="14" spans="3:24" ht="29.5" thickBot="1" x14ac:dyDescent="0.4">
      <c r="C14" s="341"/>
      <c r="D14" s="34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12"/>
      <c r="S14" s="412"/>
      <c r="T14" s="417"/>
      <c r="U14" s="41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4" t="s">
        <v>478</v>
      </c>
      <c r="D19" s="414"/>
      <c r="E19" s="414"/>
      <c r="F19" s="414"/>
      <c r="G19" s="414"/>
    </row>
    <row r="20" spans="3:21" x14ac:dyDescent="0.35">
      <c r="C20" s="340" t="s">
        <v>438</v>
      </c>
      <c r="D20" s="342" t="s">
        <v>439</v>
      </c>
      <c r="E20" s="344" t="s">
        <v>58</v>
      </c>
      <c r="F20" s="344"/>
      <c r="G20" s="345" t="s">
        <v>440</v>
      </c>
      <c r="H20" s="345"/>
      <c r="I20" s="346" t="s">
        <v>441</v>
      </c>
      <c r="J20" s="347"/>
      <c r="K20" s="346" t="s">
        <v>442</v>
      </c>
      <c r="L20" s="347"/>
      <c r="M20" s="409" t="s">
        <v>484</v>
      </c>
      <c r="N20" s="410"/>
      <c r="O20" s="411"/>
      <c r="P20" s="256" t="s">
        <v>475</v>
      </c>
      <c r="Q20" s="242" t="s">
        <v>473</v>
      </c>
      <c r="R20" s="412" t="s">
        <v>475</v>
      </c>
      <c r="S20" s="412" t="s">
        <v>485</v>
      </c>
      <c r="T20" s="418" t="s">
        <v>486</v>
      </c>
      <c r="U20" s="418" t="s">
        <v>486</v>
      </c>
    </row>
    <row r="21" spans="3:21" ht="29.5" thickBot="1" x14ac:dyDescent="0.4">
      <c r="C21" s="341"/>
      <c r="D21" s="34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12"/>
      <c r="S21" s="412"/>
      <c r="T21" s="417"/>
      <c r="U21" s="41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4" t="s">
        <v>479</v>
      </c>
      <c r="D26" s="414"/>
      <c r="E26" s="414"/>
      <c r="F26" s="414"/>
      <c r="G26" s="414"/>
    </row>
    <row r="27" spans="3:21" x14ac:dyDescent="0.35">
      <c r="C27" s="340" t="s">
        <v>438</v>
      </c>
      <c r="D27" s="342" t="s">
        <v>439</v>
      </c>
      <c r="E27" s="344" t="s">
        <v>58</v>
      </c>
      <c r="F27" s="344"/>
      <c r="G27" s="345" t="s">
        <v>440</v>
      </c>
      <c r="H27" s="345"/>
      <c r="I27" s="346" t="s">
        <v>441</v>
      </c>
      <c r="J27" s="347"/>
      <c r="K27" s="346" t="s">
        <v>442</v>
      </c>
      <c r="L27" s="347"/>
      <c r="M27" s="409" t="s">
        <v>484</v>
      </c>
      <c r="N27" s="410"/>
      <c r="O27" s="411"/>
      <c r="P27" s="256" t="s">
        <v>475</v>
      </c>
      <c r="Q27" s="242" t="s">
        <v>473</v>
      </c>
      <c r="R27" s="412" t="s">
        <v>475</v>
      </c>
      <c r="S27" s="412" t="s">
        <v>485</v>
      </c>
      <c r="T27" s="418" t="s">
        <v>486</v>
      </c>
      <c r="U27" s="418" t="s">
        <v>486</v>
      </c>
    </row>
    <row r="28" spans="3:21" ht="29.5" thickBot="1" x14ac:dyDescent="0.4">
      <c r="C28" s="341"/>
      <c r="D28" s="34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12"/>
      <c r="S28" s="412"/>
      <c r="T28" s="417"/>
      <c r="U28" s="41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44" t="s">
        <v>438</v>
      </c>
      <c r="C1" s="412" t="s">
        <v>439</v>
      </c>
      <c r="D1" s="344" t="s">
        <v>58</v>
      </c>
      <c r="E1" s="344"/>
      <c r="F1" s="345" t="s">
        <v>440</v>
      </c>
      <c r="G1" s="345"/>
      <c r="H1" s="413" t="s">
        <v>441</v>
      </c>
      <c r="I1" s="413"/>
      <c r="J1" s="413" t="s">
        <v>442</v>
      </c>
      <c r="K1" s="413"/>
      <c r="L1" s="409" t="s">
        <v>484</v>
      </c>
      <c r="M1" s="410"/>
      <c r="N1" s="411"/>
    </row>
    <row r="2" spans="2:17" ht="29" x14ac:dyDescent="0.35">
      <c r="B2" s="344"/>
      <c r="C2" s="41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2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9"/>
      <c r="G14" s="154" t="s">
        <v>135</v>
      </c>
      <c r="H14" s="152" t="s">
        <v>101</v>
      </c>
    </row>
    <row r="15" spans="1:8" x14ac:dyDescent="0.35">
      <c r="E15" s="153" t="s">
        <v>130</v>
      </c>
      <c r="F15" s="419"/>
      <c r="G15" s="154" t="s">
        <v>136</v>
      </c>
      <c r="H15" s="152" t="s">
        <v>102</v>
      </c>
    </row>
    <row r="16" spans="1:8" x14ac:dyDescent="0.35">
      <c r="E16" s="153" t="s">
        <v>130</v>
      </c>
      <c r="F16" s="419"/>
      <c r="G16" s="151" t="s">
        <v>137</v>
      </c>
      <c r="H16" s="152" t="s">
        <v>103</v>
      </c>
    </row>
    <row r="17" spans="5:8" x14ac:dyDescent="0.35">
      <c r="E17" s="153" t="s">
        <v>138</v>
      </c>
      <c r="F17" s="41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9"/>
      <c r="G18" s="156" t="s">
        <v>141</v>
      </c>
      <c r="H18" s="152" t="s">
        <v>100</v>
      </c>
    </row>
    <row r="19" spans="5:8" x14ac:dyDescent="0.35">
      <c r="E19" s="153" t="s">
        <v>138</v>
      </c>
      <c r="F19" s="419"/>
      <c r="G19" s="156" t="s">
        <v>142</v>
      </c>
      <c r="H19" s="152" t="s">
        <v>98</v>
      </c>
    </row>
    <row r="20" spans="5:8" x14ac:dyDescent="0.35">
      <c r="E20" s="153" t="s">
        <v>138</v>
      </c>
      <c r="F20" s="419"/>
      <c r="G20" s="155" t="s">
        <v>143</v>
      </c>
      <c r="H20" s="152" t="s">
        <v>101</v>
      </c>
    </row>
    <row r="21" spans="5:8" x14ac:dyDescent="0.35">
      <c r="E21" s="153" t="s">
        <v>138</v>
      </c>
      <c r="F21" s="419"/>
      <c r="G21" s="155" t="s">
        <v>144</v>
      </c>
      <c r="H21" s="152" t="s">
        <v>102</v>
      </c>
    </row>
    <row r="22" spans="5:8" x14ac:dyDescent="0.35">
      <c r="E22" s="153" t="s">
        <v>138</v>
      </c>
      <c r="F22" s="419"/>
      <c r="G22" s="155" t="s">
        <v>145</v>
      </c>
      <c r="H22" s="152" t="s">
        <v>103</v>
      </c>
    </row>
    <row r="23" spans="5:8" x14ac:dyDescent="0.35">
      <c r="E23" s="153" t="s">
        <v>146</v>
      </c>
      <c r="F23" s="41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9"/>
      <c r="G24" s="155" t="s">
        <v>147</v>
      </c>
      <c r="H24" s="152" t="s">
        <v>100</v>
      </c>
    </row>
    <row r="25" spans="5:8" x14ac:dyDescent="0.35">
      <c r="E25" s="153" t="s">
        <v>146</v>
      </c>
      <c r="F25" s="419"/>
      <c r="G25" s="155" t="s">
        <v>149</v>
      </c>
      <c r="H25" s="152" t="s">
        <v>98</v>
      </c>
    </row>
    <row r="26" spans="5:8" x14ac:dyDescent="0.35">
      <c r="E26" s="153" t="s">
        <v>146</v>
      </c>
      <c r="F26" s="419"/>
      <c r="G26" s="155" t="s">
        <v>150</v>
      </c>
      <c r="H26" s="152" t="s">
        <v>101</v>
      </c>
    </row>
    <row r="27" spans="5:8" x14ac:dyDescent="0.35">
      <c r="E27" s="153" t="s">
        <v>146</v>
      </c>
      <c r="F27" s="419"/>
      <c r="G27" s="155" t="s">
        <v>151</v>
      </c>
      <c r="H27" s="152" t="s">
        <v>102</v>
      </c>
    </row>
    <row r="28" spans="5:8" x14ac:dyDescent="0.35">
      <c r="E28" s="153" t="s">
        <v>146</v>
      </c>
      <c r="F28" s="419"/>
      <c r="G28" s="155" t="s">
        <v>152</v>
      </c>
      <c r="H28" s="152" t="s">
        <v>103</v>
      </c>
    </row>
    <row r="29" spans="5:8" x14ac:dyDescent="0.35">
      <c r="E29" s="153" t="s">
        <v>153</v>
      </c>
      <c r="F29" s="41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9"/>
      <c r="G30" s="155" t="s">
        <v>156</v>
      </c>
      <c r="H30" s="152" t="s">
        <v>100</v>
      </c>
    </row>
    <row r="31" spans="5:8" x14ac:dyDescent="0.35">
      <c r="E31" s="153" t="s">
        <v>153</v>
      </c>
      <c r="F31" s="419"/>
      <c r="G31" s="155" t="s">
        <v>157</v>
      </c>
      <c r="H31" s="152" t="s">
        <v>98</v>
      </c>
    </row>
    <row r="32" spans="5:8" x14ac:dyDescent="0.35">
      <c r="E32" s="153" t="s">
        <v>153</v>
      </c>
      <c r="F32" s="419"/>
      <c r="G32" s="155" t="s">
        <v>158</v>
      </c>
      <c r="H32" s="152" t="s">
        <v>101</v>
      </c>
    </row>
    <row r="33" spans="5:8" x14ac:dyDescent="0.35">
      <c r="E33" s="153" t="s">
        <v>153</v>
      </c>
      <c r="F33" s="419"/>
      <c r="G33" s="155" t="s">
        <v>159</v>
      </c>
      <c r="H33" s="152" t="s">
        <v>102</v>
      </c>
    </row>
    <row r="34" spans="5:8" x14ac:dyDescent="0.35">
      <c r="E34" s="153" t="s">
        <v>153</v>
      </c>
      <c r="F34" s="419"/>
      <c r="G34" s="155" t="s">
        <v>160</v>
      </c>
      <c r="H34" s="152" t="s">
        <v>103</v>
      </c>
    </row>
    <row r="35" spans="5:8" x14ac:dyDescent="0.35">
      <c r="E35" s="153" t="s">
        <v>161</v>
      </c>
      <c r="F35" s="41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9"/>
      <c r="G36" s="154" t="s">
        <v>163</v>
      </c>
      <c r="H36" s="152" t="s">
        <v>100</v>
      </c>
    </row>
    <row r="37" spans="5:8" x14ac:dyDescent="0.35">
      <c r="E37" s="153" t="s">
        <v>161</v>
      </c>
      <c r="F37" s="419"/>
      <c r="G37" s="154" t="s">
        <v>164</v>
      </c>
      <c r="H37" s="152" t="s">
        <v>98</v>
      </c>
    </row>
    <row r="38" spans="5:8" x14ac:dyDescent="0.35">
      <c r="E38" s="153" t="s">
        <v>161</v>
      </c>
      <c r="F38" s="419"/>
      <c r="G38" s="154" t="s">
        <v>165</v>
      </c>
      <c r="H38" s="152" t="s">
        <v>101</v>
      </c>
    </row>
    <row r="39" spans="5:8" x14ac:dyDescent="0.35">
      <c r="E39" s="153" t="s">
        <v>161</v>
      </c>
      <c r="F39" s="419"/>
      <c r="G39" s="158" t="s">
        <v>166</v>
      </c>
      <c r="H39" s="152" t="s">
        <v>102</v>
      </c>
    </row>
    <row r="40" spans="5:8" x14ac:dyDescent="0.35">
      <c r="E40" s="153" t="s">
        <v>161</v>
      </c>
      <c r="F40" s="419"/>
      <c r="G40" s="154" t="s">
        <v>167</v>
      </c>
      <c r="H40" s="152" t="s">
        <v>103</v>
      </c>
    </row>
    <row r="41" spans="5:8" x14ac:dyDescent="0.35">
      <c r="E41" s="153" t="s">
        <v>168</v>
      </c>
      <c r="F41" s="41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9"/>
      <c r="G42" s="154" t="s">
        <v>171</v>
      </c>
      <c r="H42" s="152" t="s">
        <v>100</v>
      </c>
    </row>
    <row r="43" spans="5:8" x14ac:dyDescent="0.35">
      <c r="E43" s="153" t="s">
        <v>168</v>
      </c>
      <c r="F43" s="419"/>
      <c r="G43" s="154" t="s">
        <v>172</v>
      </c>
      <c r="H43" s="152" t="s">
        <v>98</v>
      </c>
    </row>
    <row r="44" spans="5:8" x14ac:dyDescent="0.35">
      <c r="E44" s="153" t="s">
        <v>168</v>
      </c>
      <c r="F44" s="419"/>
      <c r="G44" s="154" t="s">
        <v>173</v>
      </c>
      <c r="H44" s="152" t="s">
        <v>101</v>
      </c>
    </row>
    <row r="45" spans="5:8" x14ac:dyDescent="0.35">
      <c r="E45" s="153" t="s">
        <v>168</v>
      </c>
      <c r="F45" s="419"/>
      <c r="G45" s="154" t="s">
        <v>174</v>
      </c>
      <c r="H45" s="152" t="s">
        <v>102</v>
      </c>
    </row>
    <row r="46" spans="5:8" x14ac:dyDescent="0.35">
      <c r="E46" s="153" t="s">
        <v>168</v>
      </c>
      <c r="F46" s="419"/>
      <c r="G46" s="154" t="s">
        <v>175</v>
      </c>
      <c r="H46" s="152" t="s">
        <v>103</v>
      </c>
    </row>
    <row r="47" spans="5:8" x14ac:dyDescent="0.35">
      <c r="E47" s="153" t="s">
        <v>176</v>
      </c>
      <c r="F47" s="41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9"/>
      <c r="G48" s="154" t="s">
        <v>179</v>
      </c>
      <c r="H48" s="152" t="s">
        <v>100</v>
      </c>
    </row>
    <row r="49" spans="5:8" x14ac:dyDescent="0.35">
      <c r="E49" s="153" t="s">
        <v>176</v>
      </c>
      <c r="F49" s="419"/>
      <c r="G49" s="154" t="s">
        <v>180</v>
      </c>
      <c r="H49" s="152" t="s">
        <v>98</v>
      </c>
    </row>
    <row r="50" spans="5:8" x14ac:dyDescent="0.35">
      <c r="E50" s="153" t="s">
        <v>176</v>
      </c>
      <c r="F50" s="419"/>
      <c r="G50" s="154" t="s">
        <v>181</v>
      </c>
      <c r="H50" s="152" t="s">
        <v>101</v>
      </c>
    </row>
    <row r="51" spans="5:8" x14ac:dyDescent="0.35">
      <c r="E51" s="153" t="s">
        <v>176</v>
      </c>
      <c r="F51" s="419"/>
      <c r="G51" s="154" t="s">
        <v>182</v>
      </c>
      <c r="H51" s="152" t="s">
        <v>102</v>
      </c>
    </row>
    <row r="52" spans="5:8" x14ac:dyDescent="0.35">
      <c r="E52" s="153" t="s">
        <v>176</v>
      </c>
      <c r="F52" s="419"/>
      <c r="G52" s="158" t="s">
        <v>183</v>
      </c>
      <c r="H52" s="152" t="s">
        <v>103</v>
      </c>
    </row>
    <row r="53" spans="5:8" x14ac:dyDescent="0.35">
      <c r="E53" s="153" t="s">
        <v>184</v>
      </c>
      <c r="F53" s="41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9"/>
      <c r="G54" s="154" t="s">
        <v>187</v>
      </c>
      <c r="H54" s="152" t="s">
        <v>100</v>
      </c>
    </row>
    <row r="55" spans="5:8" x14ac:dyDescent="0.35">
      <c r="E55" s="153" t="s">
        <v>184</v>
      </c>
      <c r="F55" s="419"/>
      <c r="G55" s="154" t="s">
        <v>188</v>
      </c>
      <c r="H55" s="152" t="s">
        <v>98</v>
      </c>
    </row>
    <row r="56" spans="5:8" x14ac:dyDescent="0.35">
      <c r="E56" s="153" t="s">
        <v>184</v>
      </c>
      <c r="F56" s="419"/>
      <c r="G56" s="154" t="s">
        <v>189</v>
      </c>
      <c r="H56" s="152" t="s">
        <v>101</v>
      </c>
    </row>
    <row r="57" spans="5:8" x14ac:dyDescent="0.35">
      <c r="E57" s="153" t="s">
        <v>184</v>
      </c>
      <c r="F57" s="419"/>
      <c r="G57" s="154" t="s">
        <v>190</v>
      </c>
      <c r="H57" s="152" t="s">
        <v>102</v>
      </c>
    </row>
    <row r="58" spans="5:8" x14ac:dyDescent="0.35">
      <c r="E58" s="153" t="s">
        <v>184</v>
      </c>
      <c r="F58" s="419"/>
      <c r="G58" s="158" t="s">
        <v>191</v>
      </c>
      <c r="H58" s="152" t="s">
        <v>103</v>
      </c>
    </row>
    <row r="59" spans="5:8" x14ac:dyDescent="0.35">
      <c r="E59" s="159" t="s">
        <v>192</v>
      </c>
      <c r="F59" s="42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21"/>
      <c r="G60" s="160" t="s">
        <v>195</v>
      </c>
      <c r="H60" s="161" t="s">
        <v>100</v>
      </c>
    </row>
    <row r="61" spans="5:8" x14ac:dyDescent="0.35">
      <c r="E61" s="159" t="s">
        <v>192</v>
      </c>
      <c r="F61" s="421"/>
      <c r="G61" s="160" t="s">
        <v>196</v>
      </c>
      <c r="H61" s="161" t="s">
        <v>98</v>
      </c>
    </row>
    <row r="62" spans="5:8" x14ac:dyDescent="0.35">
      <c r="E62" s="159" t="s">
        <v>192</v>
      </c>
      <c r="F62" s="421"/>
      <c r="G62" s="160" t="s">
        <v>197</v>
      </c>
      <c r="H62" s="161" t="s">
        <v>101</v>
      </c>
    </row>
    <row r="63" spans="5:8" x14ac:dyDescent="0.35">
      <c r="E63" s="159" t="s">
        <v>192</v>
      </c>
      <c r="F63" s="421"/>
      <c r="G63" s="160" t="s">
        <v>198</v>
      </c>
      <c r="H63" s="161" t="s">
        <v>102</v>
      </c>
    </row>
    <row r="64" spans="5:8" x14ac:dyDescent="0.35">
      <c r="E64" s="159" t="s">
        <v>192</v>
      </c>
      <c r="F64" s="421"/>
      <c r="G64" s="162" t="s">
        <v>199</v>
      </c>
      <c r="H64" s="161" t="s">
        <v>103</v>
      </c>
    </row>
    <row r="65" spans="5:8" x14ac:dyDescent="0.35">
      <c r="E65" s="148" t="s">
        <v>200</v>
      </c>
      <c r="F65" s="41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9"/>
      <c r="G66" s="151" t="s">
        <v>203</v>
      </c>
      <c r="H66" s="152" t="s">
        <v>100</v>
      </c>
    </row>
    <row r="67" spans="5:8" x14ac:dyDescent="0.35">
      <c r="E67" s="148" t="s">
        <v>200</v>
      </c>
      <c r="F67" s="419"/>
      <c r="G67" s="151" t="s">
        <v>204</v>
      </c>
      <c r="H67" s="152" t="s">
        <v>98</v>
      </c>
    </row>
    <row r="68" spans="5:8" x14ac:dyDescent="0.35">
      <c r="E68" s="148" t="s">
        <v>200</v>
      </c>
      <c r="F68" s="419"/>
      <c r="G68" s="151" t="s">
        <v>201</v>
      </c>
      <c r="H68" s="152" t="s">
        <v>101</v>
      </c>
    </row>
    <row r="69" spans="5:8" x14ac:dyDescent="0.35">
      <c r="E69" s="148" t="s">
        <v>200</v>
      </c>
      <c r="F69" s="419"/>
      <c r="G69" s="151" t="s">
        <v>205</v>
      </c>
      <c r="H69" s="152" t="s">
        <v>102</v>
      </c>
    </row>
    <row r="70" spans="5:8" x14ac:dyDescent="0.35">
      <c r="E70" s="148" t="s">
        <v>200</v>
      </c>
      <c r="F70" s="419"/>
      <c r="G70" s="151" t="s">
        <v>206</v>
      </c>
      <c r="H70" s="152" t="s">
        <v>103</v>
      </c>
    </row>
    <row r="71" spans="5:8" x14ac:dyDescent="0.35">
      <c r="E71" s="153" t="s">
        <v>207</v>
      </c>
      <c r="F71" s="41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9"/>
      <c r="G72" s="154" t="s">
        <v>210</v>
      </c>
      <c r="H72" s="152" t="s">
        <v>100</v>
      </c>
    </row>
    <row r="73" spans="5:8" x14ac:dyDescent="0.35">
      <c r="E73" s="153" t="s">
        <v>207</v>
      </c>
      <c r="F73" s="419"/>
      <c r="G73" s="154" t="s">
        <v>211</v>
      </c>
      <c r="H73" s="152" t="s">
        <v>98</v>
      </c>
    </row>
    <row r="74" spans="5:8" x14ac:dyDescent="0.35">
      <c r="E74" s="153" t="s">
        <v>207</v>
      </c>
      <c r="F74" s="419"/>
      <c r="G74" s="154" t="s">
        <v>212</v>
      </c>
      <c r="H74" s="152" t="s">
        <v>101</v>
      </c>
    </row>
    <row r="75" spans="5:8" x14ac:dyDescent="0.35">
      <c r="E75" s="153" t="s">
        <v>207</v>
      </c>
      <c r="F75" s="419"/>
      <c r="G75" s="154" t="s">
        <v>213</v>
      </c>
      <c r="H75" s="152" t="s">
        <v>102</v>
      </c>
    </row>
    <row r="76" spans="5:8" x14ac:dyDescent="0.35">
      <c r="E76" s="153" t="s">
        <v>207</v>
      </c>
      <c r="F76" s="419"/>
      <c r="G76" s="151" t="s">
        <v>214</v>
      </c>
      <c r="H76" s="152" t="s">
        <v>103</v>
      </c>
    </row>
    <row r="77" spans="5:8" x14ac:dyDescent="0.35">
      <c r="E77" s="153" t="s">
        <v>215</v>
      </c>
      <c r="F77" s="41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9"/>
      <c r="G78" s="154" t="s">
        <v>218</v>
      </c>
      <c r="H78" s="152" t="s">
        <v>100</v>
      </c>
    </row>
    <row r="79" spans="5:8" x14ac:dyDescent="0.35">
      <c r="E79" s="153" t="s">
        <v>215</v>
      </c>
      <c r="F79" s="419"/>
      <c r="G79" s="154" t="s">
        <v>219</v>
      </c>
      <c r="H79" s="152" t="s">
        <v>98</v>
      </c>
    </row>
    <row r="80" spans="5:8" x14ac:dyDescent="0.35">
      <c r="E80" s="153" t="s">
        <v>215</v>
      </c>
      <c r="F80" s="419"/>
      <c r="G80" s="154" t="s">
        <v>220</v>
      </c>
      <c r="H80" s="152" t="s">
        <v>101</v>
      </c>
    </row>
    <row r="81" spans="5:8" x14ac:dyDescent="0.35">
      <c r="E81" s="153" t="s">
        <v>215</v>
      </c>
      <c r="F81" s="419"/>
      <c r="G81" s="154" t="s">
        <v>221</v>
      </c>
      <c r="H81" s="152" t="s">
        <v>102</v>
      </c>
    </row>
    <row r="82" spans="5:8" x14ac:dyDescent="0.35">
      <c r="E82" s="153" t="s">
        <v>215</v>
      </c>
      <c r="F82" s="419"/>
      <c r="G82" s="151" t="s">
        <v>222</v>
      </c>
      <c r="H82" s="152" t="s">
        <v>103</v>
      </c>
    </row>
    <row r="83" spans="5:8" x14ac:dyDescent="0.35">
      <c r="E83" s="153" t="s">
        <v>223</v>
      </c>
      <c r="F83" s="41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9"/>
      <c r="G84" s="154" t="s">
        <v>226</v>
      </c>
      <c r="H84" s="152" t="s">
        <v>100</v>
      </c>
    </row>
    <row r="85" spans="5:8" x14ac:dyDescent="0.35">
      <c r="E85" s="153" t="s">
        <v>223</v>
      </c>
      <c r="F85" s="419"/>
      <c r="G85" s="154" t="s">
        <v>227</v>
      </c>
      <c r="H85" s="152" t="s">
        <v>98</v>
      </c>
    </row>
    <row r="86" spans="5:8" x14ac:dyDescent="0.35">
      <c r="E86" s="153" t="s">
        <v>223</v>
      </c>
      <c r="F86" s="419"/>
      <c r="G86" s="154" t="s">
        <v>228</v>
      </c>
      <c r="H86" s="152" t="s">
        <v>101</v>
      </c>
    </row>
    <row r="87" spans="5:8" x14ac:dyDescent="0.35">
      <c r="E87" s="153" t="s">
        <v>223</v>
      </c>
      <c r="F87" s="419"/>
      <c r="G87" s="154" t="s">
        <v>229</v>
      </c>
      <c r="H87" s="152" t="s">
        <v>102</v>
      </c>
    </row>
    <row r="88" spans="5:8" x14ac:dyDescent="0.35">
      <c r="E88" s="153" t="s">
        <v>223</v>
      </c>
      <c r="F88" s="419"/>
      <c r="G88" s="151" t="s">
        <v>230</v>
      </c>
      <c r="H88" s="152" t="s">
        <v>103</v>
      </c>
    </row>
    <row r="89" spans="5:8" x14ac:dyDescent="0.35">
      <c r="E89" s="153" t="s">
        <v>231</v>
      </c>
      <c r="F89" s="41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9"/>
      <c r="G90" s="154" t="s">
        <v>234</v>
      </c>
      <c r="H90" s="152" t="s">
        <v>100</v>
      </c>
    </row>
    <row r="91" spans="5:8" x14ac:dyDescent="0.35">
      <c r="E91" s="153" t="s">
        <v>231</v>
      </c>
      <c r="F91" s="419"/>
      <c r="G91" s="154" t="s">
        <v>235</v>
      </c>
      <c r="H91" s="152" t="s">
        <v>98</v>
      </c>
    </row>
    <row r="92" spans="5:8" x14ac:dyDescent="0.35">
      <c r="E92" s="153" t="s">
        <v>231</v>
      </c>
      <c r="F92" s="419"/>
      <c r="G92" s="154" t="s">
        <v>236</v>
      </c>
      <c r="H92" s="152" t="s">
        <v>101</v>
      </c>
    </row>
    <row r="93" spans="5:8" x14ac:dyDescent="0.35">
      <c r="E93" s="153" t="s">
        <v>231</v>
      </c>
      <c r="F93" s="419"/>
      <c r="G93" s="154" t="s">
        <v>232</v>
      </c>
      <c r="H93" s="152" t="s">
        <v>102</v>
      </c>
    </row>
    <row r="94" spans="5:8" x14ac:dyDescent="0.35">
      <c r="E94" s="153" t="s">
        <v>231</v>
      </c>
      <c r="F94" s="419"/>
      <c r="G94" s="158" t="s">
        <v>237</v>
      </c>
      <c r="H94" s="152" t="s">
        <v>103</v>
      </c>
    </row>
    <row r="95" spans="5:8" x14ac:dyDescent="0.35">
      <c r="E95" s="153" t="s">
        <v>238</v>
      </c>
      <c r="F95" s="41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9"/>
      <c r="G96" s="154" t="s">
        <v>241</v>
      </c>
      <c r="H96" s="152" t="s">
        <v>100</v>
      </c>
    </row>
    <row r="97" spans="5:8" x14ac:dyDescent="0.35">
      <c r="E97" s="153" t="s">
        <v>238</v>
      </c>
      <c r="F97" s="419"/>
      <c r="G97" s="154" t="s">
        <v>242</v>
      </c>
      <c r="H97" s="152" t="s">
        <v>98</v>
      </c>
    </row>
    <row r="98" spans="5:8" x14ac:dyDescent="0.35">
      <c r="E98" s="153" t="s">
        <v>238</v>
      </c>
      <c r="F98" s="419"/>
      <c r="G98" s="154" t="s">
        <v>243</v>
      </c>
      <c r="H98" s="152" t="s">
        <v>101</v>
      </c>
    </row>
    <row r="99" spans="5:8" x14ac:dyDescent="0.35">
      <c r="E99" s="153" t="s">
        <v>238</v>
      </c>
      <c r="F99" s="419"/>
      <c r="G99" s="158" t="s">
        <v>244</v>
      </c>
      <c r="H99" s="152" t="s">
        <v>102</v>
      </c>
    </row>
    <row r="100" spans="5:8" x14ac:dyDescent="0.35">
      <c r="E100" s="153" t="s">
        <v>238</v>
      </c>
      <c r="F100" s="41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9"/>
      <c r="G103" s="154" t="s">
        <v>249</v>
      </c>
      <c r="H103" s="152" t="s">
        <v>98</v>
      </c>
    </row>
    <row r="104" spans="5:8" x14ac:dyDescent="0.35">
      <c r="E104" s="153" t="s">
        <v>246</v>
      </c>
      <c r="F104" s="41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9"/>
      <c r="G109" s="154" t="s">
        <v>257</v>
      </c>
      <c r="H109" s="152" t="s">
        <v>98</v>
      </c>
    </row>
    <row r="110" spans="5:8" x14ac:dyDescent="0.35">
      <c r="E110" s="153" t="s">
        <v>253</v>
      </c>
      <c r="F110" s="41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9"/>
      <c r="G115" s="154" t="s">
        <v>265</v>
      </c>
      <c r="H115" s="152" t="s">
        <v>98</v>
      </c>
    </row>
    <row r="116" spans="5:8" x14ac:dyDescent="0.35">
      <c r="E116" s="153" t="s">
        <v>261</v>
      </c>
      <c r="F116" s="41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2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2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21"/>
      <c r="G121" s="160" t="s">
        <v>273</v>
      </c>
      <c r="H121" s="161" t="s">
        <v>98</v>
      </c>
    </row>
    <row r="122" spans="5:8" x14ac:dyDescent="0.35">
      <c r="E122" s="159" t="s">
        <v>269</v>
      </c>
      <c r="F122" s="42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2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2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9"/>
      <c r="G127" s="151" t="s">
        <v>282</v>
      </c>
      <c r="H127" s="152" t="s">
        <v>98</v>
      </c>
    </row>
    <row r="128" spans="5:8" x14ac:dyDescent="0.35">
      <c r="E128" s="148" t="s">
        <v>277</v>
      </c>
      <c r="F128" s="41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9"/>
      <c r="G133" s="154" t="s">
        <v>290</v>
      </c>
      <c r="H133" s="152" t="s">
        <v>98</v>
      </c>
    </row>
    <row r="134" spans="5:8" x14ac:dyDescent="0.35">
      <c r="E134" s="153" t="s">
        <v>289</v>
      </c>
      <c r="F134" s="41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9"/>
      <c r="G139" s="154" t="s">
        <v>299</v>
      </c>
      <c r="H139" s="152" t="s">
        <v>98</v>
      </c>
    </row>
    <row r="140" spans="5:8" x14ac:dyDescent="0.35">
      <c r="E140" s="153" t="s">
        <v>297</v>
      </c>
      <c r="F140" s="41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9"/>
      <c r="G145" s="154" t="s">
        <v>307</v>
      </c>
      <c r="H145" s="152" t="s">
        <v>98</v>
      </c>
    </row>
    <row r="146" spans="5:8" x14ac:dyDescent="0.35">
      <c r="E146" s="153" t="s">
        <v>303</v>
      </c>
      <c r="F146" s="41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9"/>
      <c r="G151" s="154" t="s">
        <v>316</v>
      </c>
      <c r="H151" s="152" t="s">
        <v>98</v>
      </c>
    </row>
    <row r="152" spans="5:8" x14ac:dyDescent="0.35">
      <c r="E152" s="153" t="s">
        <v>315</v>
      </c>
      <c r="F152" s="41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9"/>
      <c r="G157" s="154" t="s">
        <v>325</v>
      </c>
      <c r="H157" s="152" t="s">
        <v>98</v>
      </c>
    </row>
    <row r="158" spans="5:8" x14ac:dyDescent="0.35">
      <c r="E158" s="153" t="s">
        <v>320</v>
      </c>
      <c r="F158" s="41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9"/>
      <c r="G163" s="154" t="s">
        <v>333</v>
      </c>
      <c r="H163" s="152" t="s">
        <v>98</v>
      </c>
    </row>
    <row r="164" spans="5:8" x14ac:dyDescent="0.35">
      <c r="E164" s="153" t="s">
        <v>328</v>
      </c>
      <c r="F164" s="41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9"/>
      <c r="G169" s="154" t="s">
        <v>340</v>
      </c>
      <c r="H169" s="152" t="s">
        <v>98</v>
      </c>
    </row>
    <row r="170" spans="5:8" x14ac:dyDescent="0.35">
      <c r="E170" s="153" t="s">
        <v>338</v>
      </c>
      <c r="F170" s="41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9"/>
      <c r="G175" s="154" t="s">
        <v>348</v>
      </c>
      <c r="H175" s="152" t="s">
        <v>98</v>
      </c>
    </row>
    <row r="176" spans="5:8" x14ac:dyDescent="0.35">
      <c r="E176" s="153" t="s">
        <v>344</v>
      </c>
      <c r="F176" s="41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9"/>
      <c r="G181" s="154" t="s">
        <v>356</v>
      </c>
      <c r="H181" s="152" t="s">
        <v>98</v>
      </c>
    </row>
    <row r="182" spans="5:8" x14ac:dyDescent="0.35">
      <c r="E182" s="156" t="s">
        <v>352</v>
      </c>
      <c r="F182" s="41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9"/>
      <c r="G187" s="151" t="s">
        <v>364</v>
      </c>
      <c r="H187" s="152" t="s">
        <v>98</v>
      </c>
    </row>
    <row r="188" spans="5:8" x14ac:dyDescent="0.35">
      <c r="E188" s="148" t="s">
        <v>360</v>
      </c>
      <c r="F188" s="41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9"/>
      <c r="G193" s="154" t="s">
        <v>371</v>
      </c>
      <c r="H193" s="152" t="s">
        <v>98</v>
      </c>
    </row>
    <row r="194" spans="5:8" x14ac:dyDescent="0.35">
      <c r="E194" s="153" t="s">
        <v>368</v>
      </c>
      <c r="F194" s="41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9"/>
      <c r="G199" s="154" t="s">
        <v>379</v>
      </c>
      <c r="H199" s="152" t="s">
        <v>98</v>
      </c>
    </row>
    <row r="200" spans="5:8" x14ac:dyDescent="0.35">
      <c r="E200" s="153" t="s">
        <v>375</v>
      </c>
      <c r="F200" s="41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9"/>
      <c r="G205" s="154" t="s">
        <v>384</v>
      </c>
      <c r="H205" s="152" t="s">
        <v>98</v>
      </c>
    </row>
    <row r="206" spans="5:8" x14ac:dyDescent="0.35">
      <c r="E206" s="153" t="s">
        <v>383</v>
      </c>
      <c r="F206" s="41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9"/>
      <c r="G211" s="154" t="s">
        <v>394</v>
      </c>
      <c r="H211" s="152" t="s">
        <v>98</v>
      </c>
    </row>
    <row r="212" spans="5:8" x14ac:dyDescent="0.35">
      <c r="E212" s="153" t="s">
        <v>390</v>
      </c>
      <c r="F212" s="41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9"/>
      <c r="G217" s="154" t="s">
        <v>399</v>
      </c>
      <c r="H217" s="152" t="s">
        <v>98</v>
      </c>
    </row>
    <row r="218" spans="5:8" x14ac:dyDescent="0.35">
      <c r="E218" s="153" t="s">
        <v>398</v>
      </c>
      <c r="F218" s="41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9"/>
      <c r="G223" s="154" t="s">
        <v>409</v>
      </c>
      <c r="H223" s="152" t="s">
        <v>98</v>
      </c>
    </row>
    <row r="224" spans="5:8" x14ac:dyDescent="0.35">
      <c r="E224" s="153" t="s">
        <v>405</v>
      </c>
      <c r="F224" s="41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9"/>
      <c r="G229" s="154" t="s">
        <v>416</v>
      </c>
      <c r="H229" s="152" t="s">
        <v>98</v>
      </c>
    </row>
    <row r="230" spans="5:8" x14ac:dyDescent="0.35">
      <c r="E230" s="153" t="s">
        <v>412</v>
      </c>
      <c r="F230" s="41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9"/>
      <c r="G235" s="154" t="s">
        <v>424</v>
      </c>
      <c r="H235" s="152" t="s">
        <v>98</v>
      </c>
    </row>
    <row r="236" spans="5:8" x14ac:dyDescent="0.35">
      <c r="E236" s="153" t="s">
        <v>420</v>
      </c>
      <c r="F236" s="41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2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2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21"/>
      <c r="G241" s="160" t="s">
        <v>432</v>
      </c>
      <c r="H241" s="161" t="s">
        <v>98</v>
      </c>
    </row>
    <row r="242" spans="5:8" x14ac:dyDescent="0.35">
      <c r="E242" s="159" t="s">
        <v>428</v>
      </c>
      <c r="F242" s="42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2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2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2026-10-03T07:36:40Z</dcterms:modified>
</cp:coreProperties>
</file>