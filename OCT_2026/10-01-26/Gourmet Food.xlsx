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90900B4-77D5-4651-A73F-418BF874C102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18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56" l="1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<sst xmlns="http://schemas.openxmlformats.org/spreadsheetml/2006/main" count="3949" uniqueCount="548">
  <si>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</si>
  <si>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</si>
  <si>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</si>
  <si>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</si>
  <si>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</si>
  <si>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</si>
  <si>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</si>
  <si>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</si>
  <si>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</si>
  <si>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</si>
  <si>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</si>
  <si>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</si>
  <si>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</si>
  <si>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</si>
  <si>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</si>
  <si>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</si>
  <si>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</si>
  <si>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</si>
  <si>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</si>
  <si>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</si>
  <si>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</si>
  <si>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</si>
  <si>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</si>
  <si>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</si>
  <si>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</si>
  <si>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</si>
  <si>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</si>
  <si>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</si>
  <si>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</si>
  <si>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</si>
  <si>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</si>
  <si>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</si>
  <si>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</si>
  <si>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</si>
  <si>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</si>
  <si>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</si>
  <si>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</si>
  <si>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</si>
  <si>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</si>
  <si>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</si>
  <si>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</si>
  <si>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</si>
  <si>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</si>
  <si>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</si>
  <si>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</si>
  <si>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</si>
  <si>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</si>
  <si>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</si>
  <si>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</si>
  <si>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</si>
  <si>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</si>
  <si>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</si>
  <si>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</si>
  <si>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</si>
  <si>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</si>
  <si>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</si>
  <si>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</si>
  <si>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</si>
  <si>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</si>
  <si>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</si>
  <si>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</si>
  <si>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</si>
  <si>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</si>
  <si>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</si>
  <si>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</si>
  <si>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</si>
  <si>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</si>
  <si>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</si>
  <si>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</si>
  <si>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</si>
  <si>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</si>
  <si>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</si>
  <si>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</si>
  <si>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</si>
  <si>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</si>
  <si>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</si>
  <si>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</si>
  <si>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</si>
  <si>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</si>
  <si>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</si>
  <si>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</si>
  <si>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</si>
  <si>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</si>
  <si>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</si>
  <si>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</si>
  <si>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</si>
  <si>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</si>
  <si>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</si>
  <si>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</si>
  <si>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</si>
  <si>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</si>
  <si>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</si>
  <si>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</si>
  <si>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</si>
  <si>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</si>
  <si>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</si>
  <si>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</si>
  <si>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</si>
  <si>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</si>
  <si>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</si>
  <si>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</si>
  <si>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</si>
  <si>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</si>
  <si>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</si>
  <si>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</si>
  <si>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</si>
  <si>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</si>
  <si>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</si>
  <si>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</si>
  <si>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</si>
  <si>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</si>
  <si>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</si>
  <si>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</si>
  <si>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</si>
  <si>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</si>
  <si>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</si>
  <si>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</si>
  <si>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</si>
  <si>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</si>
  <si>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</si>
  <si>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</si>
  <si>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</si>
  <si>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</si>
  <si>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</si>
  <si>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</si>
  <si>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</si>
  <si>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</si>
  <si>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</si>
  <si>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</si>
  <si>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</si>
  <si>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</si>
  <si>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</si>
  <si>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</si>
  <si>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</si>
  <si>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</si>
  <si>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</si>
  <si>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</si>
  <si>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</si>
  <si>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</si>
  <si>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</si>
  <si>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</si>
  <si>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</si>
  <si>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</si>
  <si>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</si>
  <si>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</si>
  <si>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</si>
  <si>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</si>
  <si>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</si>
  <si>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</si>
  <si>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</si>
  <si>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</si>
  <si>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</si>
  <si>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</si>
  <si>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</si>
  <si>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</si>
  <si>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</si>
  <si>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</si>
  <si>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</si>
  <si>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</si>
  <si>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</si>
  <si>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</si>
  <si>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</si>
  <si>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</si>
  <si>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</si>
  <si>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</si>
  <si>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</si>
  <si>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</si>
  <si>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</si>
  <si>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</si>
  <si>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</si>
  <si>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</si>
  <si>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</si>
  <si>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</si>
  <si>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</si>
  <si>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</si>
  <si>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</si>
  <si>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</si>
  <si>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</si>
  <si>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</si>
  <si>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</si>
  <si>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</si>
  <si>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</si>
  <si>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</si>
  <si>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</si>
  <si>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</si>
  <si>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</si>
  <si>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</si>
  <si>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</si>
  <si>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</si>
  <si>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</si>
  <si>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</si>
  <si>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</si>
  <si>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</si>
  <si>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</si>
  <si>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</si>
  <si>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</si>
  <si>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</si>
  <si>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</si>
  <si>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</si>
  <si>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</si>
  <si>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</si>
  <si>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</si>
  <si>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</si>
  <si>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</si>
  <si>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</si>
  <si>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</si>
  <si>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</si>
  <si>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</si>
  <si>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</si>
  <si>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</si>
  <si>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</si>
  <si>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</si>
  <si>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</si>
  <si>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</si>
  <si>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</si>
  <si>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</si>
  <si>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</si>
  <si>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</si>
  <si>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</si>
  <si>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</si>
  <si>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</si>
  <si>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</si>
  <si>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</si>
  <si>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</si>
  <si>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</si>
  <si>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</si>
  <si>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</si>
  <si>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</si>
  <si>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</si>
  <si>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</si>
  <si>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</si>
  <si>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</si>
  <si>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</si>
  <si>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</si>
  <si>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</si>
  <si>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</si>
  <si>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</si>
  <si>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</si>
  <si>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</si>
  <si>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</si>
  <si>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</si>
  <si>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</si>
  <si>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</si>
  <si>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</si>
  <si>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</si>
  <si>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</si>
  <si>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</si>
  <si>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</si>
  <si>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</si>
  <si>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</si>
  <si>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</si>
  <si>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</si>
  <si>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</si>
  <si>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</si>
  <si>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</si>
  <si>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</si>
  <si>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</si>
  <si>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</si>
  <si>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</si>
  <si>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</si>
  <si>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</si>
  <si>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</si>
  <si>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</si>
  <si>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</si>
  <si>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</si>
  <si>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</si>
  <si>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</si>
  <si>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</si>
  <si>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</si>
  <si>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</si>
  <si>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</si>
  <si>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</si>
  <si>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</si>
  <si>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</si>
  <si>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</si>
  <si>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</si>
  <si>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</si>
  <si>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</si>
  <si>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</si>
  <si>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</si>
  <si>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</si>
  <si>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</si>
  <si>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</si>
  <si>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</si>
  <si>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</si>
  <si>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</si>
  <si>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</si>
  <si>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</si>
  <si>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</si>
  <si>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</si>
  <si>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</si>
  <si>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</si>
  <si>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</si>
  <si>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</si>
  <si>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</si>
  <si>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</si>
  <si>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</si>
  <si>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</si>
  <si>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</si>
  <si>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</si>
  <si>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</si>
  <si>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</si>
  <si>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</si>
  <si>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</si>
  <si>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</si>
  <si>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</si>
  <si>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</si>
  <si>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</si>
  <si>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</si>
  <si>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</si>
  <si>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</si>
  <si>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</si>
  <si>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</si>
  <si>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</si>
  <si>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</si>
  <si>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</si>
  <si>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</si>
  <si>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</si>
  <si>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</si>
  <si>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</si>
  <si>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</si>
  <si>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</si>
  <si>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</si>
  <si>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</si>
  <si>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</si>
  <si>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</si>
  <si>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</si>
  <si>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</si>
  <si>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</si>
  <si>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</si>
  <si>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</si>
  <si>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</si>
  <si>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</si>
  <si>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</si>
  <si>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</si>
  <si>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</si>
  <si>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</si>
  <si>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</si>
  <si>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</si>
  <si>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</si>
  <si>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</si>
  <si>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</si>
  <si>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</si>
  <si>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</si>
  <si>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</si>
  <si>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</si>
  <si>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</si>
  <si>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</si>
  <si>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</si>
  <si>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</si>
  <si>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</si>
  <si>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</si>
  <si>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</si>
  <si>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</si>
  <si>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</si>
  <si>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</si>
  <si>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</si>
  <si>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</si>
  <si>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</si>
  <si>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</si>
  <si>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</si>
  <si>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</si>
  <si>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</si>
  <si>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</si>
  <si>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</si>
  <si>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</si>
  <si>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</si>
  <si>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</si>
  <si>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</si>
  <si>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</si>
  <si>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</si>
  <si>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</si>
  <si>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</si>
  <si>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</si>
  <si>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</si>
  <si>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</si>
  <si>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</si>
  <si>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</si>
  <si>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</si>
  <si>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</si>
  <si>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</si>
  <si>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</si>
  <si>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</si>
  <si>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</si>
  <si>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</si>
  <si>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</si>
  <si>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</si>
  <si>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</si>
  <si>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</si>
  <si>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</si>
  <si>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</si>
  <si>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</si>
  <si>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</si>
  <si>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</si>
  <si>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</si>
  <si>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</si>
  <si>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</si>
  <si>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</si>
  <si>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</si>
  <si>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</si>
  <si>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</si>
  <si>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</si>
  <si>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</si>
  <si>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</si>
  <si>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</si>
  <si>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</si>
  <si>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</si>
  <si>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</si>
  <si>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</si>
  <si>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</si>
  <si>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</si>
  <si>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</si>
  <si>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</si>
  <si>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</si>
  <si>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</si>
  <si>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</si>
  <si>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</si>
  <si>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</si>
  <si>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</si>
  <si>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</si>
  <si>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</si>
  <si>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</si>
  <si>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</si>
  <si>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</si>
  <si>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</si>
  <si>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</si>
  <si>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</si>
  <si>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</si>
  <si>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</si>
  <si>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</si>
  <si>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</si>
  <si>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</si>
  <si>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</si>
  <si>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</si>
  <si>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</si>
  <si>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</si>
  <si>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</si>
  <si>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</si>
  <si>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</si>
  <si>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</si>
  <si>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</si>
  <si>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</si>
  <si>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</si>
  <si>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</si>
  <si>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</si>
  <si>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</si>
  <si>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</si>
  <si>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</si>
  <si>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</si>
  <si>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</si>
  <si>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</si>
  <si>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</si>
  <si>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</si>
  <si>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</si>
  <si>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</si>
  <si>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</si>
  <si>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</si>
  <si>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</si>
  <si>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</si>
  <si>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</si>
  <si>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</si>
  <si>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</si>
  <si>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</si>
  <si>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</si>
  <si>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</si>
  <si>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</si>
  <si>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</si>
  <si>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</si>
  <si>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</si>
  <si>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</si>
  <si>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</si>
  <si>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</si>
  <si>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</si>
  <si>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</si>
  <si>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</si>
  <si>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</si>
  <si>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</si>
  <si>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</si>
  <si>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</si>
  <si>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</si>
  <si>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</si>
  <si>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</si>
  <si>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</si>
  <si>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</si>
  <si>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</si>
  <si>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</si>
  <si>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</si>
  <si>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</si>
  <si>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</si>
  <si>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</si>
  <si>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</si>
  <si>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</si>
  <si>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</si>
  <si>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</si>
  <si>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</si>
  <si>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</si>
  <si>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</si>
  <si>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</si>
  <si>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</si>
  <si>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</si>
  <si>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</si>
  <si>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</si>
  <si>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</si>
  <si>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</si>
  <si>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</si>
  <si>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</si>
  <si>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</si>
  <si>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</si>
  <si>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</si>
  <si>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</si>
  <si>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</si>
  <si>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</si>
  <si>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</si>
  <si>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</si>
  <si>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</si>
  <si>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Nisbat Road</t>
  </si>
  <si>
    <t>Gourmet Food Islam Pura</t>
  </si>
  <si>
    <t xml:space="preserve">Gourmet Food  DHA XX- Block </t>
  </si>
  <si>
    <t>Gourmet Food Riwind Road Thokar</t>
  </si>
  <si>
    <t xml:space="preserve">Shakoor Husain </t>
  </si>
  <si>
    <t xml:space="preserve"> </t>
  </si>
  <si>
    <t>Gourmet Food Davis Road</t>
  </si>
  <si>
    <t xml:space="preserve">Gourmet Food Shadman </t>
  </si>
  <si>
    <t>Gourmet Food Rehmanpura</t>
  </si>
  <si>
    <t xml:space="preserve">Gourmet Food 18-Gulshan </t>
  </si>
  <si>
    <t xml:space="preserve">Gourmet Food Jinah Hospital </t>
  </si>
  <si>
    <t xml:space="preserve">Gourmet Food Shama </t>
  </si>
  <si>
    <t xml:space="preserve">Gourmet Food Walton </t>
  </si>
  <si>
    <t xml:space="preserve">Gourmet Food C Block </t>
  </si>
  <si>
    <t>Gourmet Food Krishan Nager</t>
  </si>
  <si>
    <t>Gourmet Food Nadeem Shaheed Road</t>
  </si>
  <si>
    <t>Gourmet Food Firdos Market</t>
  </si>
  <si>
    <t xml:space="preserve">Gourmet Food Umer Chowk </t>
  </si>
  <si>
    <t>Gourmet Food Link Road</t>
  </si>
  <si>
    <t xml:space="preserve">Gourmet Food Neelam Cenema </t>
  </si>
  <si>
    <t>Gourmet Food K Block DHA</t>
  </si>
  <si>
    <t xml:space="preserve">Gourmet Food Shadbagh </t>
  </si>
  <si>
    <t xml:space="preserve">Gourmet Food Railway Plaza </t>
  </si>
  <si>
    <t xml:space="preserve">Gourmet Food Rustam Park </t>
  </si>
  <si>
    <t xml:space="preserve">Gourmet Food kot abdul malik </t>
  </si>
  <si>
    <t xml:space="preserve">Gourmet Food Shadra Town </t>
  </si>
  <si>
    <t xml:space="preserve">Gourmet Food Bilal Ganj </t>
  </si>
  <si>
    <t xml:space="preserve">Gourmet Food Kareem Park </t>
  </si>
  <si>
    <t>Gourmet Food Imamia Colony</t>
  </si>
  <si>
    <t>Gourmet Food Dharampura</t>
  </si>
  <si>
    <t>Gourmet Food Sultanpura</t>
  </si>
  <si>
    <t xml:space="preserve">Gourmet Food Awan Town </t>
  </si>
  <si>
    <t>Invoice No # :0001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</si>
</sst>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C1" sqref="C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7.089843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7" t="s">
        <v>91</v>
      </c>
      <c r="B2" s="367"/>
      <c r="C2" s="367"/>
      <c r="E2" s="354" t="s">
        <v>498</v>
      </c>
      <c r="F2" s="355"/>
      <c r="G2" s="355"/>
      <c r="H2" s="352" t="s">
        <v>513</v>
      </c>
      <c r="I2" s="352"/>
      <c r="J2" s="353"/>
      <c r="R2" s="349" t="s">
        <v>497</v>
      </c>
      <c r="S2" s="350"/>
      <c r="T2" s="351"/>
    </row>
    <row r="3" spans="1:20 16377:16378" ht="21.75" customHeight="1" thickBot="1" x14ac:dyDescent="0.4">
      <c r="A3" s="368" t="s">
        <v>92</v>
      </c>
      <c r="B3" s="368"/>
      <c r="C3" s="368"/>
      <c r="E3" s="358" t="s">
        <v>508</v>
      </c>
      <c r="F3" s="359"/>
      <c r="G3" s="359"/>
      <c r="H3" s="356">
        <v>46296</v>
      </c>
      <c r="I3" s="356"/>
      <c r="J3" s="357"/>
      <c r="K3" s="369" t="s">
        <v>43</v>
      </c>
      <c r="L3" s="369"/>
      <c r="M3" s="369"/>
      <c r="N3" s="368"/>
      <c r="O3" s="368"/>
      <c r="P3" s="368"/>
      <c r="R3" s="299">
        <v>1</v>
      </c>
      <c r="S3" s="318" t="str">
        <f>+'1'!A6:A6</f>
        <v>Gourmet Food Davis Road</v>
      </c>
      <c r="T3" s="300">
        <f>+'1'!P35</f>
        <v>6670.3456381779661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8" t="str">
        <f>+'2'!A6:A6</f>
        <v xml:space="preserve">Gourmet Food Shadman </v>
      </c>
      <c r="T4" s="300">
        <f>+'2'!P35</f>
        <v>5197.1440056355923</v>
      </c>
      <c r="XEX4" t="s">
        <v>105</v>
      </c>
    </row>
    <row r="5" spans="1:20 16377:16378" ht="21.75" customHeight="1" thickBot="1" x14ac:dyDescent="0.4">
      <c r="A5" s="388" t="s">
        <v>51</v>
      </c>
      <c r="B5" s="360"/>
      <c r="C5" s="390" t="s">
        <v>90</v>
      </c>
      <c r="D5" s="115" t="s">
        <v>52</v>
      </c>
      <c r="E5" s="392" t="s">
        <v>58</v>
      </c>
      <c r="F5" s="393"/>
      <c r="G5" s="365" t="s">
        <v>54</v>
      </c>
      <c r="H5" s="366"/>
      <c r="I5" s="394" t="s">
        <v>77</v>
      </c>
      <c r="J5" s="364" t="s">
        <v>55</v>
      </c>
      <c r="K5" s="365"/>
      <c r="L5" s="366"/>
      <c r="M5" s="360" t="s">
        <v>84</v>
      </c>
      <c r="N5" s="362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18" t="str">
        <f>+'3'!A6:A6</f>
        <v>Gourmet Food Rehmanpura</v>
      </c>
      <c r="T5" s="300">
        <f>+'3'!P35</f>
        <v>5197.1440056355923</v>
      </c>
      <c r="XEX5" t="s">
        <v>106</v>
      </c>
    </row>
    <row r="6" spans="1:20 16377:16378" ht="21.75" customHeight="1" thickBot="1" x14ac:dyDescent="0.4">
      <c r="A6" s="389"/>
      <c r="B6" s="361"/>
      <c r="C6" s="39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3"/>
      <c r="J6" s="143" t="s">
        <v>59</v>
      </c>
      <c r="K6" s="144" t="s">
        <v>39</v>
      </c>
      <c r="L6" s="145" t="s">
        <v>493</v>
      </c>
      <c r="M6" s="361"/>
      <c r="N6" s="363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18" t="str">
        <f>+'4'!A6:A6</f>
        <v xml:space="preserve">Gourmet Food 18-Gulshan </v>
      </c>
      <c r="T6" s="300">
        <f>+'4'!P35</f>
        <v>6015.580200381356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730</v>
      </c>
      <c r="I7" s="235">
        <f>(G7*D7)*F7+H7*F7</f>
        <v>38297.625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6893.5724999999975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31404.052500000002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7238.1355932203351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193.21094046610168</v>
      </c>
      <c r="P7" s="309">
        <f>M7+N7+O7</f>
        <v>38835.399033686437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18" t="str">
        <f>+'5'!A6:A6</f>
        <v>Gourmet Food Nisbat Road</v>
      </c>
      <c r="T7" s="300">
        <f>+'5'!P35</f>
        <v>10803.506108644067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640</v>
      </c>
      <c r="I8" s="236">
        <f t="shared" ref="I8:I14" si="0">(G8*D8)*F8+H8*F8</f>
        <v>33576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6043.6799999999976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27532.320000000003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6345.7627118644041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169.39041355932201</v>
      </c>
      <c r="P8" s="310">
        <f t="shared" ref="P8:P15" si="2">M8+N8+O8</f>
        <v>34047.473125423727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18" t="str">
        <f>+'6'!A6:A6</f>
        <v>Gourmet Food Islam Pura</v>
      </c>
      <c r="T8" s="300">
        <f>+'6'!P35</f>
        <v>7406.9464544491511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800</v>
      </c>
      <c r="I9" s="236">
        <f t="shared" si="0"/>
        <v>41970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7554.5999999999958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34415.4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7932.2033898305035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211.73801694915252</v>
      </c>
      <c r="P9" s="310">
        <f t="shared" si="2"/>
        <v>42559.341406779655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18" t="str">
        <f>+'7'!A6:A6</f>
        <v xml:space="preserve">Gourmet Food Jinah Hospital </v>
      </c>
      <c r="T9" s="300">
        <f>+'7'!P35</f>
        <v>10803.506108644067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510</v>
      </c>
      <c r="I10" s="236">
        <f t="shared" si="0"/>
        <v>37046.400000000001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6668.351999999998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30378.048000000003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7001.6949152542402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186.89871457627123</v>
      </c>
      <c r="P10" s="310">
        <f t="shared" si="2"/>
        <v>37566.641629830519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18" t="str">
        <f>+'8'!A6:A6</f>
        <v xml:space="preserve">Gourmet Food Shama </v>
      </c>
      <c r="T10" s="300">
        <f>+'8'!P35</f>
        <v>6383.9012110169497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380</v>
      </c>
      <c r="I11" s="236">
        <f t="shared" si="0"/>
        <v>27603.200000000001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4968.5759999999991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22634.624000000003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5216.9491525423746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139.2578657627119</v>
      </c>
      <c r="P11" s="310">
        <f t="shared" si="2"/>
        <v>27990.831018305089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18" t="str">
        <f>+'9'!A6:A6</f>
        <v xml:space="preserve">Gourmet Food Walton </v>
      </c>
      <c r="T11" s="300">
        <f>+'9'!P35</f>
        <v>4419.6048976271186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400</v>
      </c>
      <c r="I12" s="236">
        <f t="shared" si="0"/>
        <v>29056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5230.079999999999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23825.920000000002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5491.5254237288154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146.58722711864411</v>
      </c>
      <c r="P12" s="310">
        <f t="shared" si="2"/>
        <v>29464.032650847461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18" t="str">
        <f>+'10'!A6:A6</f>
        <v xml:space="preserve">Gourmet Food C Block </v>
      </c>
      <c r="T12" s="300">
        <f>+'10'!P35</f>
        <v>5197.1440056355923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18" t="str">
        <f>+'11'!A6:A6</f>
        <v>Gourmet Food Krishan Nager</v>
      </c>
      <c r="T13" s="300">
        <f>+'11'!P35</f>
        <v>6547.5719679661033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18" t="str">
        <f>+'12'!A6:A6</f>
        <v>Gourmet Food Nadeem Shaheed Road</v>
      </c>
      <c r="T14" s="300">
        <f>+'12'!P35</f>
        <v>10271.514341059321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18" t="str">
        <f>+'13'!A6:A6</f>
        <v>Gourmet Food Firdos Market</v>
      </c>
      <c r="T15" s="300">
        <f>+'13'!P35</f>
        <v>6547.5719679661033</v>
      </c>
    </row>
    <row r="16" spans="1:20 16377:16378" ht="21.75" customHeight="1" thickBot="1" x14ac:dyDescent="0.4">
      <c r="A16" s="370">
        <f>COUNT(A7:A15)</f>
        <v>0</v>
      </c>
      <c r="B16" s="371"/>
      <c r="C16" s="371" t="s">
        <v>40</v>
      </c>
      <c r="D16" s="371"/>
      <c r="E16" s="371"/>
      <c r="F16" s="372"/>
      <c r="G16" s="274">
        <f>H16/40</f>
        <v>86.5</v>
      </c>
      <c r="H16" s="113">
        <f t="shared" ref="H16:M16" si="3">SUM(H7:H15)</f>
        <v>3460</v>
      </c>
      <c r="I16" s="114">
        <f t="shared" si="3"/>
        <v>207549.22500000001</v>
      </c>
      <c r="J16" s="274">
        <f>SUM(J7:J15)</f>
        <v>37358.860499999988</v>
      </c>
      <c r="K16" s="275">
        <f t="shared" si="3"/>
        <v>0</v>
      </c>
      <c r="L16" s="276">
        <f t="shared" si="3"/>
        <v>0</v>
      </c>
      <c r="M16" s="232">
        <f t="shared" si="3"/>
        <v>170190.36450000003</v>
      </c>
      <c r="N16" s="233">
        <f>SUM(N7:N15)</f>
        <v>39226.271186440674</v>
      </c>
      <c r="O16" s="101">
        <f>SUM(O7:O15)</f>
        <v>1047.0831784322033</v>
      </c>
      <c r="P16" s="113">
        <f>SUM(P7:P15)</f>
        <v>210463.71886487288</v>
      </c>
      <c r="Q16" s="128">
        <f>SUM(Q7:Q15)</f>
        <v>0</v>
      </c>
      <c r="R16" s="313">
        <v>14</v>
      </c>
      <c r="S16" s="318" t="str">
        <f>+'14'!A6:A6</f>
        <v xml:space="preserve">Gourmet Food Umer Chowk </v>
      </c>
      <c r="T16" s="300">
        <f>+'14'!P35</f>
        <v>9739.5225734745745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8" t="str">
        <f>+'15'!A6:A6</f>
        <v>Gourmet Food Link Road</v>
      </c>
      <c r="T17" s="300">
        <f>+'15'!P35</f>
        <v>8798.312708516949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8" t="str">
        <f>+'16'!A6:A6</f>
        <v xml:space="preserve">Gourmet Food Neelam Cenema </v>
      </c>
      <c r="T18" s="300">
        <f>+'16'!P35</f>
        <v>9330.3044761016936</v>
      </c>
    </row>
    <row r="19" spans="1:20" ht="21.75" customHeight="1" x14ac:dyDescent="0.35">
      <c r="B19" s="373" t="s">
        <v>64</v>
      </c>
      <c r="C19" s="374"/>
      <c r="D19" s="374"/>
      <c r="E19" s="374"/>
      <c r="F19" s="374"/>
      <c r="G19" s="374"/>
      <c r="H19" s="374"/>
      <c r="I19" s="374"/>
      <c r="J19" s="374"/>
      <c r="K19" s="374"/>
      <c r="L19" s="375"/>
      <c r="N19" s="382" t="s">
        <v>60</v>
      </c>
      <c r="O19" s="383"/>
      <c r="P19" s="139">
        <f>I16</f>
        <v>207549.22500000001</v>
      </c>
      <c r="R19" s="299">
        <v>17</v>
      </c>
      <c r="S19" s="318" t="str">
        <f>+'17'!A6:A6</f>
        <v>Gourmet Food K Block DHA</v>
      </c>
      <c r="T19" s="300">
        <f>+'17'!P35</f>
        <v>8675.5390383050853</v>
      </c>
    </row>
    <row r="20" spans="1:20" ht="21.75" customHeight="1" x14ac:dyDescent="0.35">
      <c r="B20" s="376"/>
      <c r="C20" s="377"/>
      <c r="D20" s="377"/>
      <c r="E20" s="377"/>
      <c r="F20" s="377"/>
      <c r="G20" s="377"/>
      <c r="H20" s="377"/>
      <c r="I20" s="377"/>
      <c r="J20" s="377"/>
      <c r="K20" s="377"/>
      <c r="L20" s="378"/>
      <c r="N20" s="384" t="s">
        <v>85</v>
      </c>
      <c r="O20" s="385"/>
      <c r="P20" s="140">
        <f>+J16</f>
        <v>37358.860499999988</v>
      </c>
      <c r="R20" s="299">
        <v>18</v>
      </c>
      <c r="S20" s="318" t="str">
        <f>+'18'!A6:A6</f>
        <v xml:space="preserve">Gourmet Food Shadbagh </v>
      </c>
      <c r="T20" s="300">
        <f>+'18'!P35</f>
        <v>7611.5555031355934</v>
      </c>
    </row>
    <row r="21" spans="1:20" ht="21.75" customHeight="1" x14ac:dyDescent="0.35">
      <c r="B21" s="376"/>
      <c r="C21" s="377"/>
      <c r="D21" s="377"/>
      <c r="E21" s="377"/>
      <c r="F21" s="377"/>
      <c r="G21" s="377"/>
      <c r="H21" s="377"/>
      <c r="I21" s="377"/>
      <c r="J21" s="377"/>
      <c r="K21" s="377"/>
      <c r="L21" s="378"/>
      <c r="N21" s="384" t="s">
        <v>86</v>
      </c>
      <c r="O21" s="385"/>
      <c r="P21" s="140">
        <f>+K16+L16</f>
        <v>0</v>
      </c>
      <c r="R21" s="299">
        <v>19</v>
      </c>
      <c r="S21" s="318" t="str">
        <f>+'19'!A6:A6</f>
        <v xml:space="preserve">Gourmet Food Railway Plaza </v>
      </c>
      <c r="T21" s="300">
        <f>+'19'!P35</f>
        <v>6261.1275408050851</v>
      </c>
    </row>
    <row r="22" spans="1:20" ht="21.75" customHeight="1" x14ac:dyDescent="0.35">
      <c r="B22" s="376"/>
      <c r="C22" s="377"/>
      <c r="D22" s="377"/>
      <c r="E22" s="377"/>
      <c r="F22" s="377"/>
      <c r="G22" s="377"/>
      <c r="H22" s="377"/>
      <c r="I22" s="377"/>
      <c r="J22" s="377"/>
      <c r="K22" s="377"/>
      <c r="L22" s="378"/>
      <c r="M22" s="131"/>
      <c r="N22" s="384" t="s">
        <v>87</v>
      </c>
      <c r="O22" s="385"/>
      <c r="P22" s="140">
        <f>P19-P20-P21</f>
        <v>170190.36450000003</v>
      </c>
      <c r="R22" s="299">
        <v>20</v>
      </c>
      <c r="S22" s="318" t="str">
        <f>+'20'!A6:A6</f>
        <v xml:space="preserve">Gourmet Food Rustam Park </v>
      </c>
      <c r="T22" s="300">
        <f>+'20'!P35</f>
        <v>6138.3538705932206</v>
      </c>
    </row>
    <row r="23" spans="1:20" ht="21.75" customHeight="1" x14ac:dyDescent="0.35">
      <c r="B23" s="376"/>
      <c r="C23" s="377"/>
      <c r="D23" s="377"/>
      <c r="E23" s="377"/>
      <c r="F23" s="377"/>
      <c r="G23" s="377"/>
      <c r="H23" s="377"/>
      <c r="I23" s="377"/>
      <c r="J23" s="377"/>
      <c r="K23" s="377"/>
      <c r="L23" s="378"/>
      <c r="M23" s="131"/>
      <c r="N23" s="136" t="s">
        <v>61</v>
      </c>
      <c r="O23" s="133">
        <v>0.18</v>
      </c>
      <c r="P23" s="140">
        <f>+N16</f>
        <v>39226.271186440674</v>
      </c>
      <c r="R23" s="299">
        <v>21</v>
      </c>
      <c r="S23" s="318" t="str">
        <f>+'21'!A6:A6</f>
        <v xml:space="preserve">Gourmet Food kot abdul malik </v>
      </c>
      <c r="T23" s="300">
        <f>+'21'!P35</f>
        <v>5074.3703354237296</v>
      </c>
    </row>
    <row r="24" spans="1:20" ht="21.75" customHeight="1" x14ac:dyDescent="0.35">
      <c r="B24" s="376"/>
      <c r="C24" s="377"/>
      <c r="D24" s="377"/>
      <c r="E24" s="377"/>
      <c r="F24" s="377"/>
      <c r="G24" s="377"/>
      <c r="H24" s="377"/>
      <c r="I24" s="377"/>
      <c r="J24" s="377"/>
      <c r="K24" s="377"/>
      <c r="L24" s="378"/>
      <c r="M24" s="131"/>
      <c r="N24" s="386" t="s">
        <v>76</v>
      </c>
      <c r="O24" s="387"/>
      <c r="P24" s="140">
        <f>P22+P23</f>
        <v>209416.63568644068</v>
      </c>
      <c r="R24" s="299">
        <v>22</v>
      </c>
      <c r="S24" s="318" t="str">
        <f>+'22'!A6:A6</f>
        <v xml:space="preserve">Gourmet Food Shadra Town </v>
      </c>
      <c r="T24" s="300">
        <f>+'22'!P35</f>
        <v>8675.5390383050853</v>
      </c>
    </row>
    <row r="25" spans="1:20" ht="21.75" customHeight="1" thickBot="1" x14ac:dyDescent="0.4">
      <c r="B25" s="379"/>
      <c r="C25" s="380"/>
      <c r="D25" s="380"/>
      <c r="E25" s="380"/>
      <c r="F25" s="380"/>
      <c r="G25" s="380"/>
      <c r="H25" s="380"/>
      <c r="I25" s="380"/>
      <c r="J25" s="380"/>
      <c r="K25" s="380"/>
      <c r="L25" s="381"/>
      <c r="M25" s="99"/>
      <c r="N25" s="138" t="s">
        <v>83</v>
      </c>
      <c r="O25" s="137" t="e">
        <f>IF(#REF!="Filer",0.5%,2.5%)</f>
        <v>#REF!</v>
      </c>
      <c r="P25" s="140">
        <f>+O16</f>
        <v>1047.0831784322033</v>
      </c>
      <c r="R25" s="299">
        <v>23</v>
      </c>
      <c r="S25" s="318" t="str">
        <f>+'23'!A6:A6</f>
        <v xml:space="preserve">Gourmet Food Bilal Ganj </v>
      </c>
      <c r="T25" s="300">
        <f>+'23'!P35</f>
        <v>6547.5719679661033</v>
      </c>
    </row>
    <row r="26" spans="1:20" ht="21.75" customHeight="1" thickBot="1" x14ac:dyDescent="0.4">
      <c r="N26" s="343" t="s">
        <v>88</v>
      </c>
      <c r="O26" s="344"/>
      <c r="P26" s="297">
        <f>+P24+P25</f>
        <v>210463.71886487288</v>
      </c>
      <c r="R26" s="299">
        <v>24</v>
      </c>
      <c r="S26" s="318" t="str">
        <f>+'24'!A6:A6</f>
        <v xml:space="preserve">Gourmet Food Kareem Park </v>
      </c>
      <c r="T26" s="300">
        <f>+'24'!P35</f>
        <v>5074.3703354237296</v>
      </c>
    </row>
    <row r="27" spans="1:20" ht="21.75" customHeight="1" thickBot="1" x14ac:dyDescent="0.4">
      <c r="B27" s="121" t="s">
        <v>63</v>
      </c>
      <c r="C27" s="345"/>
      <c r="D27" s="345"/>
      <c r="E27" s="345"/>
      <c r="F27" s="345"/>
      <c r="G27" s="345"/>
      <c r="H27" s="345"/>
      <c r="I27" s="346"/>
      <c r="J27" s="347"/>
      <c r="K27" s="348"/>
      <c r="R27" s="299">
        <v>25</v>
      </c>
      <c r="S27" s="318" t="str">
        <f>+'25'!A6:A6</f>
        <v>Gourmet Food Imamia Colony</v>
      </c>
      <c r="T27" s="300">
        <f>+'25'!P35</f>
        <v>7857.1028435593216</v>
      </c>
    </row>
    <row r="28" spans="1:20" ht="21.75" customHeight="1" x14ac:dyDescent="0.35">
      <c r="R28" s="299">
        <v>26</v>
      </c>
      <c r="S28" s="318" t="str">
        <f>+'26'!A6:A6</f>
        <v>Gourmet Food Dharampura</v>
      </c>
      <c r="T28" s="300">
        <f>+'26'!P35</f>
        <v>8143.5472707203389</v>
      </c>
    </row>
    <row r="29" spans="1:20" ht="21.75" customHeight="1" x14ac:dyDescent="0.35">
      <c r="L29">
        <v>0</v>
      </c>
      <c r="R29" s="299">
        <v>27</v>
      </c>
      <c r="S29" s="318" t="str">
        <f>+'27'!A6:A6</f>
        <v>Gourmet Food Sultanpura</v>
      </c>
      <c r="T29" s="300">
        <f>+'27'!P35</f>
        <v>10803.506108644067</v>
      </c>
    </row>
    <row r="30" spans="1:20" ht="21.75" customHeight="1" x14ac:dyDescent="0.35">
      <c r="R30" s="299">
        <v>28</v>
      </c>
      <c r="S30" s="318" t="str">
        <f>+'28'!A6:A6</f>
        <v xml:space="preserve">Gourmet Food Awan Town </v>
      </c>
      <c r="T30" s="300">
        <f>+'28'!P35</f>
        <v>10271.514341059321</v>
      </c>
    </row>
    <row r="31" spans="1:20" ht="21.75" customHeight="1" x14ac:dyDescent="0.35">
      <c r="R31" s="299">
        <v>29</v>
      </c>
      <c r="S31" s="318" t="str">
        <f>+'29'!A6:A6</f>
        <v xml:space="preserve">Gourmet Food  DHA XX- Block </v>
      </c>
      <c r="T31" s="300">
        <f>+'29'!P35</f>
        <v>0</v>
      </c>
    </row>
    <row r="32" spans="1:20" ht="21.75" customHeight="1" x14ac:dyDescent="0.35">
      <c r="R32" s="299">
        <v>30</v>
      </c>
      <c r="S32" s="318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210463.71886487285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zoomScaleNormal="10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7.25" customHeight="1" x14ac:dyDescent="0.4">
      <c r="A6" s="397" t="s">
        <v>521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" si="8">SUM(G16:G24)</f>
        <v>0</v>
      </c>
      <c r="H25" s="113">
        <f t="shared" ref="H25" si="9">SUM(H16:H24)</f>
        <v>110</v>
      </c>
      <c r="I25" s="114">
        <f t="shared" ref="I25:M25" si="10">SUM(I16:I24)</f>
        <v>6577.9750000000004</v>
      </c>
      <c r="J25" s="274">
        <f>SUM(J16:J24)</f>
        <v>1184.0354999999997</v>
      </c>
      <c r="K25" s="275">
        <f t="shared" si="10"/>
        <v>0</v>
      </c>
      <c r="L25" s="276">
        <f t="shared" si="10"/>
        <v>0</v>
      </c>
      <c r="M25" s="232">
        <f t="shared" si="10"/>
        <v>5393.9395000000004</v>
      </c>
      <c r="N25" s="233">
        <f>SUM(N16:N24)</f>
        <v>1243.2203389830504</v>
      </c>
      <c r="O25" s="101">
        <f>SUM(O16:O24)</f>
        <v>33.185799194915248</v>
      </c>
      <c r="P25" s="113">
        <f>SUM(P16:P24)</f>
        <v>6670.3456381779652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6577.9750000000004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1184.0354999999997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5393.9395000000004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1243.2203389830504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6637.1598389830506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33.185799194915255</v>
      </c>
    </row>
    <row r="35" spans="2:16" ht="15.75" customHeight="1" thickBot="1" x14ac:dyDescent="0.4">
      <c r="N35" s="343" t="s">
        <v>88</v>
      </c>
      <c r="O35" s="344"/>
      <c r="P35" s="297">
        <f>+P33+P34</f>
        <v>6670.3456381779661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  <c r="F2" t="s">
        <v>520</v>
      </c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522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90</v>
      </c>
      <c r="I25" s="114">
        <f t="shared" si="7"/>
        <v>5125.1750000000002</v>
      </c>
      <c r="J25" s="274">
        <f>SUM(J16:J24)</f>
        <v>922.53149999999982</v>
      </c>
      <c r="K25" s="275">
        <f t="shared" si="7"/>
        <v>0</v>
      </c>
      <c r="L25" s="276">
        <f t="shared" si="7"/>
        <v>0</v>
      </c>
      <c r="M25" s="232">
        <f t="shared" si="7"/>
        <v>4202.6435000000001</v>
      </c>
      <c r="N25" s="233">
        <f>SUM(N16:N24)</f>
        <v>968.64406779660976</v>
      </c>
      <c r="O25" s="101">
        <f>SUM(O16:O24)</f>
        <v>25.856437838983048</v>
      </c>
      <c r="P25" s="113">
        <f>SUM(P16:P24)</f>
        <v>5197.1440056355923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5125.1750000000002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922.53149999999982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4202.6435000000001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968.64406779660976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5171.2875677966094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25.856437838983048</v>
      </c>
    </row>
    <row r="35" spans="2:16" ht="15.75" customHeight="1" thickBot="1" x14ac:dyDescent="0.4">
      <c r="N35" s="343" t="s">
        <v>88</v>
      </c>
      <c r="O35" s="344"/>
      <c r="P35" s="297">
        <f>+P33+P34</f>
        <v>5197.1440056355923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8.75" customHeight="1" x14ac:dyDescent="0.4">
      <c r="A6" s="397" t="s">
        <v>523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90</v>
      </c>
      <c r="I25" s="114">
        <f t="shared" si="7"/>
        <v>5125.1750000000002</v>
      </c>
      <c r="J25" s="274">
        <f>SUM(J16:J24)</f>
        <v>922.53149999999982</v>
      </c>
      <c r="K25" s="275">
        <f t="shared" si="7"/>
        <v>0</v>
      </c>
      <c r="L25" s="276">
        <f t="shared" si="7"/>
        <v>0</v>
      </c>
      <c r="M25" s="232">
        <f t="shared" si="7"/>
        <v>4202.6435000000001</v>
      </c>
      <c r="N25" s="233">
        <f>SUM(N16:N24)</f>
        <v>968.64406779660976</v>
      </c>
      <c r="O25" s="101">
        <f>SUM(O16:O24)</f>
        <v>25.856437838983048</v>
      </c>
      <c r="P25" s="113">
        <f>SUM(P16:P24)</f>
        <v>5197.1440056355923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5125.1750000000002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922.53149999999982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4202.6435000000001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968.64406779660976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5171.2875677966094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25.856437838983048</v>
      </c>
    </row>
    <row r="35" spans="2:16" ht="15.75" customHeight="1" thickBot="1" x14ac:dyDescent="0.4">
      <c r="N35" s="343" t="s">
        <v>88</v>
      </c>
      <c r="O35" s="344"/>
      <c r="P35" s="297">
        <f>+P33+P34</f>
        <v>5197.1440056355923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524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90</v>
      </c>
      <c r="I25" s="114">
        <f t="shared" si="7"/>
        <v>5932.2750000000005</v>
      </c>
      <c r="J25" s="274">
        <f>SUM(J16:J24)</f>
        <v>1067.8094999999998</v>
      </c>
      <c r="K25" s="275">
        <f t="shared" si="7"/>
        <v>0</v>
      </c>
      <c r="L25" s="276">
        <f t="shared" si="7"/>
        <v>0</v>
      </c>
      <c r="M25" s="232">
        <f t="shared" si="7"/>
        <v>4864.4655000000002</v>
      </c>
      <c r="N25" s="233">
        <f>SUM(N16:N24)</f>
        <v>1121.1864406779659</v>
      </c>
      <c r="O25" s="101">
        <f>SUM(O16:O24)</f>
        <v>29.928259703389831</v>
      </c>
      <c r="P25" s="113">
        <f>SUM(P16:P24)</f>
        <v>6015.580200381356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5932.2750000000005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1067.8094999999998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4864.4655000000002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1121.1864406779659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5985.6519406779662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29.928259703389831</v>
      </c>
    </row>
    <row r="35" spans="2:16" ht="15.75" customHeight="1" thickBot="1" x14ac:dyDescent="0.4">
      <c r="N35" s="343" t="s">
        <v>88</v>
      </c>
      <c r="O35" s="344"/>
      <c r="P35" s="297">
        <f>+P33+P34</f>
        <v>6015.580200381356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zoomScaleNormal="10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10653.9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1917.7019999999995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8736.1980000000003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10749.757322033898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43" t="s">
        <v>88</v>
      </c>
      <c r="O35" s="344"/>
      <c r="P35" s="297">
        <f>+P33+P34</f>
        <v>10803.506108644067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516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30</v>
      </c>
      <c r="I19" s="236">
        <f t="shared" si="0"/>
        <v>2179.1999999999998</v>
      </c>
      <c r="J19" s="272">
        <f t="shared" si="1"/>
        <v>392.25599999999997</v>
      </c>
      <c r="K19" s="128">
        <f t="shared" si="1"/>
        <v>0</v>
      </c>
      <c r="L19" s="119">
        <f t="shared" si="1"/>
        <v>0</v>
      </c>
      <c r="M19" s="230">
        <f t="shared" si="2"/>
        <v>1786.944</v>
      </c>
      <c r="N19" s="277">
        <f t="shared" si="3"/>
        <v>411.86440677966107</v>
      </c>
      <c r="O19" s="239">
        <f t="shared" si="4"/>
        <v>10.994042033898305</v>
      </c>
      <c r="P19" s="310">
        <f t="shared" si="5"/>
        <v>2209.8024488135593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7304.375</v>
      </c>
      <c r="J25" s="274">
        <f>SUM(J16:J24)</f>
        <v>1314.7874999999999</v>
      </c>
      <c r="K25" s="275">
        <f t="shared" si="7"/>
        <v>0</v>
      </c>
      <c r="L25" s="276">
        <f t="shared" si="7"/>
        <v>0</v>
      </c>
      <c r="M25" s="232">
        <f t="shared" si="7"/>
        <v>5989.5874999999996</v>
      </c>
      <c r="N25" s="233">
        <f>SUM(N16:N24)</f>
        <v>1380.5084745762708</v>
      </c>
      <c r="O25" s="101">
        <f>SUM(O16:O24)</f>
        <v>36.850479872881351</v>
      </c>
      <c r="P25" s="113">
        <f>SUM(P16:P24)</f>
        <v>7406.946454449152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7304.375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1314.7874999999999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5989.5874999999996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1380.5084745762708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7370.0959745762702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36.850479872881351</v>
      </c>
    </row>
    <row r="35" spans="2:16" ht="15.75" customHeight="1" thickBot="1" x14ac:dyDescent="0.4">
      <c r="N35" s="343" t="s">
        <v>88</v>
      </c>
      <c r="O35" s="344"/>
      <c r="P35" s="297">
        <f>+P33+P34</f>
        <v>7406.9464544491511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525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10653.9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1917.7019999999995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8736.1980000000003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10749.757322033898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43" t="s">
        <v>88</v>
      </c>
      <c r="O35" s="344"/>
      <c r="P35" s="297">
        <f>+P33+P34</f>
        <v>10803.506108644067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zoomScale="110" zoomScaleNormal="11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526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6295.5</v>
      </c>
      <c r="J25" s="274">
        <f>SUM(J16:J24)</f>
        <v>1133.1899999999998</v>
      </c>
      <c r="K25" s="275">
        <f t="shared" si="7"/>
        <v>0</v>
      </c>
      <c r="L25" s="276">
        <f t="shared" si="7"/>
        <v>0</v>
      </c>
      <c r="M25" s="232">
        <f t="shared" si="7"/>
        <v>5162.3099999999995</v>
      </c>
      <c r="N25" s="233">
        <f>SUM(N16:N24)</f>
        <v>1189.8305084745757</v>
      </c>
      <c r="O25" s="101">
        <f>SUM(O16:O24)</f>
        <v>31.760702542372876</v>
      </c>
      <c r="P25" s="113">
        <f>SUM(P16:P24)</f>
        <v>6383.9012110169479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6295.5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1133.1899999999998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5162.3100000000004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6352.1405084745766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31.760702542372883</v>
      </c>
    </row>
    <row r="35" spans="2:16" ht="15.75" customHeight="1" thickBot="1" x14ac:dyDescent="0.4">
      <c r="N35" s="343" t="s">
        <v>88</v>
      </c>
      <c r="O35" s="344"/>
      <c r="P35" s="297">
        <f>+P33+P34</f>
        <v>6383.9012110169497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527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60</v>
      </c>
      <c r="I25" s="114">
        <f t="shared" si="7"/>
        <v>4358.3999999999996</v>
      </c>
      <c r="J25" s="274">
        <f>SUM(J16:J24)</f>
        <v>784.51199999999994</v>
      </c>
      <c r="K25" s="275">
        <f t="shared" si="7"/>
        <v>0</v>
      </c>
      <c r="L25" s="276">
        <f t="shared" si="7"/>
        <v>0</v>
      </c>
      <c r="M25" s="232">
        <f t="shared" si="7"/>
        <v>3573.8879999999999</v>
      </c>
      <c r="N25" s="233">
        <f>SUM(N16:N24)</f>
        <v>823.72881355932213</v>
      </c>
      <c r="O25" s="101">
        <f>SUM(O16:O24)</f>
        <v>21.98808406779661</v>
      </c>
      <c r="P25" s="113">
        <f>SUM(P16:P24)</f>
        <v>4419.6048976271186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4358.3999999999996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784.51199999999994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3573.8879999999999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823.72881355932213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4397.6168135593216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21.98808406779661</v>
      </c>
    </row>
    <row r="35" spans="2:16" ht="15.75" customHeight="1" thickBot="1" x14ac:dyDescent="0.4">
      <c r="N35" s="343" t="s">
        <v>88</v>
      </c>
      <c r="O35" s="344"/>
      <c r="P35" s="297">
        <f>+P33+P34</f>
        <v>4419.6048976271186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528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90</v>
      </c>
      <c r="I25" s="114">
        <f t="shared" si="7"/>
        <v>5125.1750000000002</v>
      </c>
      <c r="J25" s="274">
        <f>SUM(J16:J24)</f>
        <v>922.53149999999982</v>
      </c>
      <c r="K25" s="275">
        <f t="shared" si="7"/>
        <v>0</v>
      </c>
      <c r="L25" s="276">
        <f t="shared" si="7"/>
        <v>0</v>
      </c>
      <c r="M25" s="232">
        <f t="shared" si="7"/>
        <v>4202.6435000000001</v>
      </c>
      <c r="N25" s="233">
        <f>SUM(N16:N24)</f>
        <v>968.64406779660976</v>
      </c>
      <c r="O25" s="101">
        <f>SUM(O16:O24)</f>
        <v>25.856437838983048</v>
      </c>
      <c r="P25" s="113">
        <f>SUM(P16:P24)</f>
        <v>5197.1440056355923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5125.1750000000002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922.53149999999982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4202.6435000000001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968.64406779660976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5171.2875677966094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25.856437838983048</v>
      </c>
    </row>
    <row r="35" spans="2:16" ht="15.75" customHeight="1" thickBot="1" x14ac:dyDescent="0.4">
      <c r="N35" s="343" t="s">
        <v>88</v>
      </c>
      <c r="O35" s="344"/>
      <c r="P35" s="297">
        <f>+P33+P34</f>
        <v>5197.1440056355923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529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0</v>
      </c>
      <c r="L25" s="276">
        <f t="shared" si="7"/>
        <v>0</v>
      </c>
      <c r="M25" s="232">
        <f t="shared" si="7"/>
        <v>5294.6580000000004</v>
      </c>
      <c r="N25" s="233">
        <f>SUM(N16:N24)</f>
        <v>1220.3389830508472</v>
      </c>
      <c r="O25" s="101">
        <f>SUM(O16:O24)</f>
        <v>32.574984915254234</v>
      </c>
      <c r="P25" s="113">
        <f>SUM(P16:P24)</f>
        <v>6547.5719679661006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6456.9000000000005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1162.2419999999997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5294.6580000000013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6514.9969830508489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32.574984915254248</v>
      </c>
    </row>
    <row r="35" spans="2:16" ht="15.75" customHeight="1" thickBot="1" x14ac:dyDescent="0.4">
      <c r="N35" s="343" t="s">
        <v>88</v>
      </c>
      <c r="O35" s="344"/>
      <c r="P35" s="297">
        <f>+P33+P34</f>
        <v>6547.5719679661033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530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170</v>
      </c>
      <c r="I25" s="114">
        <f t="shared" si="7"/>
        <v>10129.275</v>
      </c>
      <c r="J25" s="274">
        <f>SUM(J16:J24)</f>
        <v>1823.2694999999997</v>
      </c>
      <c r="K25" s="275">
        <f t="shared" si="7"/>
        <v>0</v>
      </c>
      <c r="L25" s="276">
        <f t="shared" si="7"/>
        <v>0</v>
      </c>
      <c r="M25" s="232">
        <f t="shared" si="7"/>
        <v>8306.0055000000011</v>
      </c>
      <c r="N25" s="233">
        <f>SUM(N16:N24)</f>
        <v>1914.4067796610163</v>
      </c>
      <c r="O25" s="101">
        <f>SUM(O16:O24)</f>
        <v>51.102061398305082</v>
      </c>
      <c r="P25" s="113">
        <f>SUM(P16:P24)</f>
        <v>10271.514341059319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10129.275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1823.2694999999997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8306.0054999999993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1914.4067796610163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10220.412279661015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51.102061398305075</v>
      </c>
    </row>
    <row r="35" spans="2:16" ht="15.75" customHeight="1" thickBot="1" x14ac:dyDescent="0.4">
      <c r="N35" s="343" t="s">
        <v>88</v>
      </c>
      <c r="O35" s="344"/>
      <c r="P35" s="297">
        <f>+P33+P34</f>
        <v>10271.514341059321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3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531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0</v>
      </c>
      <c r="L25" s="276">
        <f t="shared" si="7"/>
        <v>0</v>
      </c>
      <c r="M25" s="232">
        <f t="shared" si="7"/>
        <v>5294.6580000000004</v>
      </c>
      <c r="N25" s="233">
        <f>SUM(N16:N24)</f>
        <v>1220.3389830508472</v>
      </c>
      <c r="O25" s="101">
        <f>SUM(O16:O24)</f>
        <v>32.574984915254234</v>
      </c>
      <c r="P25" s="113">
        <f>SUM(P16:P24)</f>
        <v>6547.5719679661006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6456.9000000000005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1162.2419999999997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5294.6580000000013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6514.9969830508489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32.574984915254248</v>
      </c>
    </row>
    <row r="35" spans="2:16" ht="15.75" customHeight="1" thickBot="1" x14ac:dyDescent="0.4">
      <c r="N35" s="343" t="s">
        <v>88</v>
      </c>
      <c r="O35" s="344"/>
      <c r="P35" s="297">
        <f>+P33+P34</f>
        <v>6547.5719679661033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4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532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9604.65</v>
      </c>
      <c r="J25" s="274">
        <f>SUM(J16:J24)</f>
        <v>1728.8369999999998</v>
      </c>
      <c r="K25" s="275">
        <f t="shared" si="7"/>
        <v>0</v>
      </c>
      <c r="L25" s="276">
        <f t="shared" si="7"/>
        <v>0</v>
      </c>
      <c r="M25" s="232">
        <f t="shared" si="7"/>
        <v>7875.8130000000001</v>
      </c>
      <c r="N25" s="233">
        <f>SUM(N16:N24)</f>
        <v>1815.2542372881351</v>
      </c>
      <c r="O25" s="101">
        <f>SUM(O16:O24)</f>
        <v>48.455336186440675</v>
      </c>
      <c r="P25" s="113">
        <f>SUM(P16:P24)</f>
        <v>9739.5225734745763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9604.65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1728.8369999999998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7875.8130000000001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1815.2542372881351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9691.0672372881345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48.455336186440675</v>
      </c>
    </row>
    <row r="35" spans="2:16" ht="15.75" customHeight="1" thickBot="1" x14ac:dyDescent="0.4">
      <c r="N35" s="343" t="s">
        <v>88</v>
      </c>
      <c r="O35" s="344"/>
      <c r="P35" s="297">
        <f>+P33+P34</f>
        <v>9739.5225734745745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4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533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150</v>
      </c>
      <c r="I25" s="114">
        <f t="shared" si="7"/>
        <v>8676.4750000000004</v>
      </c>
      <c r="J25" s="274">
        <f>SUM(J16:J24)</f>
        <v>1561.7654999999997</v>
      </c>
      <c r="K25" s="275">
        <f t="shared" si="7"/>
        <v>0</v>
      </c>
      <c r="L25" s="276">
        <f t="shared" si="7"/>
        <v>0</v>
      </c>
      <c r="M25" s="232">
        <f t="shared" si="7"/>
        <v>7114.7095000000008</v>
      </c>
      <c r="N25" s="233">
        <f>SUM(N16:N24)</f>
        <v>1639.8305084745757</v>
      </c>
      <c r="O25" s="101">
        <f>SUM(O16:O24)</f>
        <v>43.772700042372875</v>
      </c>
      <c r="P25" s="113">
        <f>SUM(P16:P24)</f>
        <v>8798.3127085169472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8676.4750000000004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1561.7654999999997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7114.7095000000008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1639.8305084745757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8754.5400084745761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43.772700042372882</v>
      </c>
    </row>
    <row r="35" spans="2:16" ht="15.75" customHeight="1" thickBot="1" x14ac:dyDescent="0.4">
      <c r="N35" s="343" t="s">
        <v>88</v>
      </c>
      <c r="O35" s="344"/>
      <c r="P35" s="297">
        <f>+P33+P34</f>
        <v>8798.312708516949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3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534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9201.1</v>
      </c>
      <c r="J25" s="274">
        <f>SUM(J16:J24)</f>
        <v>1656.1979999999996</v>
      </c>
      <c r="K25" s="275">
        <f t="shared" si="7"/>
        <v>0</v>
      </c>
      <c r="L25" s="276">
        <f t="shared" si="7"/>
        <v>0</v>
      </c>
      <c r="M25" s="232">
        <f t="shared" si="7"/>
        <v>7544.902</v>
      </c>
      <c r="N25" s="233">
        <f>SUM(N16:N24)</f>
        <v>1738.983050847457</v>
      </c>
      <c r="O25" s="101">
        <f>SUM(O16:O24)</f>
        <v>46.419425254237282</v>
      </c>
      <c r="P25" s="113">
        <f>SUM(P16:P24)</f>
        <v>9330.3044761016936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9201.1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1656.1979999999996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  <c r="S30" s="215"/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7544.902000000001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1738.983050847457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9283.885050847457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46.419425254237289</v>
      </c>
    </row>
    <row r="35" spans="2:16" ht="15.75" customHeight="1" thickBot="1" x14ac:dyDescent="0.4">
      <c r="N35" s="343" t="s">
        <v>88</v>
      </c>
      <c r="O35" s="344"/>
      <c r="P35" s="297">
        <f>+P33+P34</f>
        <v>9330.3044761016936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4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535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0</v>
      </c>
      <c r="L25" s="276">
        <f t="shared" si="7"/>
        <v>0</v>
      </c>
      <c r="M25" s="232">
        <f t="shared" si="7"/>
        <v>7015.4280000000008</v>
      </c>
      <c r="N25" s="233">
        <f>SUM(N16:N24)</f>
        <v>1616.9491525423725</v>
      </c>
      <c r="O25" s="101">
        <f>SUM(O16:O24)</f>
        <v>43.161885762711862</v>
      </c>
      <c r="P25" s="113">
        <f>SUM(P16:P24)</f>
        <v>8675.5390383050835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8555.4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1539.9719999999998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7015.4279999999999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8632.3771525423726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43.161885762711862</v>
      </c>
    </row>
    <row r="35" spans="2:16" ht="15.75" customHeight="1" thickBot="1" x14ac:dyDescent="0.4">
      <c r="N35" s="343" t="s">
        <v>88</v>
      </c>
      <c r="O35" s="344"/>
      <c r="P35" s="297">
        <f>+P33+P34</f>
        <v>8675.5390383050853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536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188.86499999999998</v>
      </c>
      <c r="K17" s="128">
        <f>$I17*T17</f>
        <v>0</v>
      </c>
      <c r="L17" s="119">
        <f>$I17*U17</f>
        <v>0</v>
      </c>
      <c r="M17" s="230">
        <f t="shared" ref="M17:M24" si="2">I17-SUM(J17:L17)</f>
        <v>860.38499999999999</v>
      </c>
      <c r="N17" s="277">
        <f t="shared" ref="N17:N24" si="3">+(G17*D17+H17)*V17</f>
        <v>198.30508474576263</v>
      </c>
      <c r="O17" s="239">
        <f t="shared" ref="O17:O24" si="4">(N17+M17)*$O$15</f>
        <v>5.2934504237288129</v>
      </c>
      <c r="P17" s="310">
        <f t="shared" ref="P17:P24" si="5">M17+N17+O17</f>
        <v>1063.9835351694912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7506.1500000000005</v>
      </c>
      <c r="J25" s="274">
        <f>SUM(J16:J24)</f>
        <v>1351.1069999999997</v>
      </c>
      <c r="K25" s="275">
        <f t="shared" si="7"/>
        <v>0</v>
      </c>
      <c r="L25" s="276">
        <f t="shared" si="7"/>
        <v>0</v>
      </c>
      <c r="M25" s="232">
        <f t="shared" si="7"/>
        <v>6155.0430000000006</v>
      </c>
      <c r="N25" s="233">
        <f>SUM(N16:N24)</f>
        <v>1418.6440677966098</v>
      </c>
      <c r="O25" s="101">
        <f>SUM(O16:O24)</f>
        <v>37.868435338983048</v>
      </c>
      <c r="P25" s="113">
        <f>SUM(P16:P24)</f>
        <v>7611.5555031355925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7506.1500000000005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1351.1069999999997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6155.0430000000006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1418.6440677966098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7573.6870677966108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37.868435338983055</v>
      </c>
    </row>
    <row r="35" spans="2:16" ht="15.75" customHeight="1" thickBot="1" x14ac:dyDescent="0.4">
      <c r="N35" s="343" t="s">
        <v>88</v>
      </c>
      <c r="O35" s="344"/>
      <c r="P35" s="297">
        <f>+P33+P34</f>
        <v>7611.5555031355934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537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110</v>
      </c>
      <c r="I25" s="114">
        <f t="shared" si="7"/>
        <v>6174.4250000000002</v>
      </c>
      <c r="J25" s="274">
        <f>SUM(J16:J24)</f>
        <v>1111.3965000000001</v>
      </c>
      <c r="K25" s="275">
        <f t="shared" si="7"/>
        <v>0</v>
      </c>
      <c r="L25" s="276">
        <f t="shared" si="7"/>
        <v>0</v>
      </c>
      <c r="M25" s="232">
        <f t="shared" si="7"/>
        <v>5063.0284999999994</v>
      </c>
      <c r="N25" s="233">
        <f>SUM(N16:N24)</f>
        <v>1166.9491525423725</v>
      </c>
      <c r="O25" s="101">
        <f>SUM(O16:O24)</f>
        <v>31.149888262711858</v>
      </c>
      <c r="P25" s="113">
        <f>SUM(P16:P24)</f>
        <v>6261.1275408050833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6174.4250000000002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1111.3965000000001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5063.0285000000003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1166.9491525423725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6229.9776525423731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31.149888262711865</v>
      </c>
    </row>
    <row r="35" spans="2:16" ht="15.75" customHeight="1" thickBot="1" x14ac:dyDescent="0.4">
      <c r="N35" s="343" t="s">
        <v>88</v>
      </c>
      <c r="O35" s="344"/>
      <c r="P35" s="297">
        <f>+P33+P34</f>
        <v>6261.1275408050851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6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8.75" customHeight="1" x14ac:dyDescent="0.4">
      <c r="A6" s="397" t="s">
        <v>538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100</v>
      </c>
      <c r="I25" s="114">
        <f t="shared" si="7"/>
        <v>6053.35</v>
      </c>
      <c r="J25" s="274">
        <f>SUM(J16:J24)</f>
        <v>1089.6029999999998</v>
      </c>
      <c r="K25" s="275">
        <f t="shared" si="7"/>
        <v>0</v>
      </c>
      <c r="L25" s="276">
        <f t="shared" si="7"/>
        <v>0</v>
      </c>
      <c r="M25" s="232">
        <f t="shared" si="7"/>
        <v>4963.7470000000003</v>
      </c>
      <c r="N25" s="233">
        <f>SUM(N16:N24)</f>
        <v>1144.0677966101691</v>
      </c>
      <c r="O25" s="101">
        <f>SUM(O16:O24)</f>
        <v>30.539073983050844</v>
      </c>
      <c r="P25" s="113">
        <f>SUM(P16:P24)</f>
        <v>6138.3538705932197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6053.35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1089.6029999999998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4963.7470000000003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1144.0677966101691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6107.8147966101697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30.539073983050848</v>
      </c>
    </row>
    <row r="35" spans="2:16" ht="15.75" customHeight="1" thickBot="1" x14ac:dyDescent="0.4">
      <c r="N35" s="343" t="s">
        <v>88</v>
      </c>
      <c r="O35" s="344"/>
      <c r="P35" s="297">
        <f>+P33+P34</f>
        <v>6138.3538705932206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20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539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25.245623559322031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5004.1000000000004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900.73799999999983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4103.362000000001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5049.1247118644078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3" t="s">
        <v>88</v>
      </c>
      <c r="O35" s="344"/>
      <c r="P35" s="297">
        <f>+P33+P34</f>
        <v>5074.3703354237296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540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0</v>
      </c>
      <c r="L25" s="276">
        <f t="shared" si="7"/>
        <v>0</v>
      </c>
      <c r="M25" s="232">
        <f t="shared" si="7"/>
        <v>7015.4280000000008</v>
      </c>
      <c r="N25" s="233">
        <f>SUM(N16:N24)</f>
        <v>1616.9491525423725</v>
      </c>
      <c r="O25" s="101">
        <f>SUM(O16:O24)</f>
        <v>43.161885762711862</v>
      </c>
      <c r="P25" s="113">
        <f>SUM(P16:P24)</f>
        <v>8675.5390383050835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8555.4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1539.9719999999998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7015.4279999999999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8632.3771525423726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43.161885762711862</v>
      </c>
    </row>
    <row r="35" spans="2:16" ht="15.75" customHeight="1" thickBot="1" x14ac:dyDescent="0.4">
      <c r="N35" s="343" t="s">
        <v>88</v>
      </c>
      <c r="O35" s="344"/>
      <c r="P35" s="297">
        <f>+P33+P34</f>
        <v>8675.5390383050853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4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541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0</v>
      </c>
      <c r="L25" s="276">
        <f t="shared" si="7"/>
        <v>0</v>
      </c>
      <c r="M25" s="232">
        <f t="shared" si="7"/>
        <v>5294.6580000000004</v>
      </c>
      <c r="N25" s="233">
        <f>SUM(N16:N24)</f>
        <v>1220.3389830508472</v>
      </c>
      <c r="O25" s="101">
        <f>SUM(O16:O24)</f>
        <v>32.574984915254234</v>
      </c>
      <c r="P25" s="113">
        <f>SUM(P16:P24)</f>
        <v>6547.5719679661006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6456.9000000000005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1162.2419999999997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5294.6580000000013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6514.9969830508489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32.574984915254248</v>
      </c>
    </row>
    <row r="35" spans="2:16" ht="15.75" customHeight="1" thickBot="1" x14ac:dyDescent="0.4">
      <c r="N35" s="343" t="s">
        <v>88</v>
      </c>
      <c r="O35" s="344"/>
      <c r="P35" s="297">
        <f>+P33+P34</f>
        <v>6547.5719679661033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3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542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25.245623559322031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5004.1000000000004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900.73799999999983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4103.362000000001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5049.1247118644078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3" t="s">
        <v>88</v>
      </c>
      <c r="O35" s="344"/>
      <c r="P35" s="297">
        <f>+P33+P34</f>
        <v>5074.3703354237296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543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140</v>
      </c>
      <c r="I25" s="114">
        <f t="shared" si="7"/>
        <v>7748.3</v>
      </c>
      <c r="J25" s="274">
        <f>SUM(J16:J24)</f>
        <v>1394.6939999999997</v>
      </c>
      <c r="K25" s="275">
        <f t="shared" si="7"/>
        <v>0</v>
      </c>
      <c r="L25" s="276">
        <f t="shared" si="7"/>
        <v>0</v>
      </c>
      <c r="M25" s="232">
        <f t="shared" si="7"/>
        <v>6353.6059999999998</v>
      </c>
      <c r="N25" s="233">
        <f>SUM(N16:N24)</f>
        <v>1464.4067796610163</v>
      </c>
      <c r="O25" s="101">
        <f>SUM(O16:O24)</f>
        <v>39.090063898305075</v>
      </c>
      <c r="P25" s="113">
        <f>SUM(P16:P24)</f>
        <v>7857.1028435593207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7748.3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1394.6939999999997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6353.6060000000007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1464.4067796610163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7818.0127796610168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39.090063898305083</v>
      </c>
    </row>
    <row r="35" spans="2:16" ht="15.75" customHeight="1" thickBot="1" x14ac:dyDescent="0.4">
      <c r="N35" s="343" t="s">
        <v>88</v>
      </c>
      <c r="O35" s="344"/>
      <c r="P35" s="297">
        <f>+P33+P34</f>
        <v>7857.1028435593216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4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544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130</v>
      </c>
      <c r="I25" s="114">
        <f t="shared" si="7"/>
        <v>8030.7750000000005</v>
      </c>
      <c r="J25" s="274">
        <f>SUM(J16:J24)</f>
        <v>1445.5394999999996</v>
      </c>
      <c r="K25" s="275">
        <f t="shared" si="7"/>
        <v>0</v>
      </c>
      <c r="L25" s="276">
        <f t="shared" si="7"/>
        <v>0</v>
      </c>
      <c r="M25" s="232">
        <f t="shared" si="7"/>
        <v>6585.2355000000007</v>
      </c>
      <c r="N25" s="233">
        <f>SUM(N16:N24)</f>
        <v>1517.796610169491</v>
      </c>
      <c r="O25" s="101">
        <f>SUM(O16:O24)</f>
        <v>40.515160550847455</v>
      </c>
      <c r="P25" s="113">
        <f>SUM(P16:P24)</f>
        <v>8143.547270720338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8030.7750000000005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1445.5394999999996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6585.2355000000007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1517.796610169491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8103.0321101694917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40.515160550847462</v>
      </c>
    </row>
    <row r="35" spans="2:16" ht="15.75" customHeight="1" thickBot="1" x14ac:dyDescent="0.4">
      <c r="N35" s="343" t="s">
        <v>88</v>
      </c>
      <c r="O35" s="344"/>
      <c r="P35" s="297">
        <f>+P33+P34</f>
        <v>8143.5472707203389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3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545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10653.9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1917.7019999999995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8736.1980000000003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10749.757322033898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43" t="s">
        <v>88</v>
      </c>
      <c r="O35" s="344"/>
      <c r="P35" s="297">
        <f>+P33+P34</f>
        <v>10803.506108644067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3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547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546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170</v>
      </c>
      <c r="I25" s="114">
        <f t="shared" si="7"/>
        <v>10129.275</v>
      </c>
      <c r="J25" s="274">
        <f>SUM(J16:J24)</f>
        <v>1823.2694999999997</v>
      </c>
      <c r="K25" s="275">
        <f t="shared" si="7"/>
        <v>0</v>
      </c>
      <c r="L25" s="276">
        <f t="shared" si="7"/>
        <v>0</v>
      </c>
      <c r="M25" s="232">
        <f t="shared" si="7"/>
        <v>8306.0055000000011</v>
      </c>
      <c r="N25" s="233">
        <f>SUM(N16:N24)</f>
        <v>1914.4067796610163</v>
      </c>
      <c r="O25" s="101">
        <f>SUM(O16:O24)</f>
        <v>51.102061398305082</v>
      </c>
      <c r="P25" s="113">
        <f>SUM(P16:P24)</f>
        <v>10271.514341059319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10129.275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1823.2694999999997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8306.0054999999993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1914.4067796610163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10220.412279661015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51.102061398305075</v>
      </c>
    </row>
    <row r="35" spans="2:16" ht="15.75" customHeight="1" thickBot="1" x14ac:dyDescent="0.4">
      <c r="N35" s="343" t="s">
        <v>88</v>
      </c>
      <c r="O35" s="344"/>
      <c r="P35" s="297">
        <f>+P33+P34</f>
        <v>10271.514341059321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E10" sqref="E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517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E10" sqref="E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518</v>
      </c>
      <c r="B6" s="397"/>
      <c r="C6" s="397"/>
      <c r="F6" s="85"/>
      <c r="G6" s="86"/>
      <c r="K6" s="369" t="s">
        <v>69</v>
      </c>
      <c r="L6" s="369"/>
      <c r="M6" s="369"/>
      <c r="N6" s="398" t="s">
        <v>519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7" t="s">
        <v>91</v>
      </c>
      <c r="B2" s="367"/>
      <c r="C2" s="367"/>
    </row>
    <row r="3" spans="1:18 16382:16383" ht="15" customHeight="1" x14ac:dyDescent="0.35">
      <c r="A3" s="368" t="s">
        <v>92</v>
      </c>
      <c r="B3" s="368"/>
      <c r="C3" s="368"/>
      <c r="F3" s="85"/>
      <c r="G3" s="1"/>
      <c r="J3" s="369" t="s">
        <v>43</v>
      </c>
      <c r="K3" s="369"/>
      <c r="L3" s="369"/>
      <c r="M3" s="368"/>
      <c r="N3" s="368"/>
      <c r="O3" s="368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8" t="s">
        <v>65</v>
      </c>
      <c r="B4" s="368"/>
      <c r="C4" s="368"/>
      <c r="F4" s="85"/>
      <c r="G4" s="1"/>
      <c r="J4" s="369" t="s">
        <v>44</v>
      </c>
      <c r="K4" s="369"/>
      <c r="L4" s="369"/>
      <c r="M4" s="399">
        <f ca="1">TODAY()+1</f>
        <v>46297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69" t="s">
        <v>45</v>
      </c>
      <c r="K5" s="369"/>
      <c r="L5" s="369"/>
      <c r="M5" s="399">
        <f ca="1">M4-1</f>
        <v>46296</v>
      </c>
      <c r="N5" s="368"/>
      <c r="O5" s="368"/>
      <c r="Q5" s="85"/>
      <c r="R5" s="1"/>
    </row>
    <row r="6" spans="1:18 16382:16383" ht="15" customHeight="1" x14ac:dyDescent="0.35">
      <c r="A6" s="369" t="s">
        <v>94</v>
      </c>
      <c r="B6" s="369"/>
      <c r="C6" s="369"/>
      <c r="F6" s="85"/>
      <c r="G6" s="86"/>
      <c r="J6" s="369" t="s">
        <v>69</v>
      </c>
      <c r="K6" s="369"/>
      <c r="L6" s="369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9" t="s">
        <v>73</v>
      </c>
      <c r="B7" s="369"/>
      <c r="C7" s="369"/>
      <c r="F7" s="85"/>
      <c r="G7" s="86"/>
      <c r="J7" s="369" t="s">
        <v>66</v>
      </c>
      <c r="K7" s="369"/>
      <c r="L7" s="369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5" t="s">
        <v>95</v>
      </c>
      <c r="B8" s="395"/>
      <c r="C8" s="395"/>
      <c r="F8" s="85"/>
      <c r="G8" s="86"/>
      <c r="J8" s="369" t="s">
        <v>67</v>
      </c>
      <c r="K8" s="369"/>
      <c r="L8" s="369"/>
      <c r="M8" s="398" t="s">
        <v>71</v>
      </c>
      <c r="N8" s="398"/>
      <c r="O8" s="398"/>
      <c r="Q8" s="85"/>
      <c r="R8" s="86"/>
    </row>
    <row r="9" spans="1:18 16382:16383" x14ac:dyDescent="0.35">
      <c r="A9" s="395" t="s">
        <v>96</v>
      </c>
      <c r="B9" s="395"/>
      <c r="C9" s="395"/>
      <c r="F9" s="85"/>
      <c r="G9" s="86"/>
      <c r="J9" s="369" t="s">
        <v>68</v>
      </c>
      <c r="K9" s="369"/>
      <c r="L9" s="369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395" t="s">
        <v>97</v>
      </c>
      <c r="B10" s="395"/>
      <c r="C10" s="395"/>
      <c r="F10" s="85"/>
      <c r="G10" s="1"/>
      <c r="J10" s="369" t="s">
        <v>46</v>
      </c>
      <c r="K10" s="369"/>
      <c r="L10" s="369"/>
      <c r="M10" s="368" t="s">
        <v>47</v>
      </c>
      <c r="N10" s="368"/>
      <c r="O10" s="368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9" t="s">
        <v>48</v>
      </c>
      <c r="K11" s="369"/>
      <c r="L11" s="369"/>
      <c r="M11" s="368" t="s">
        <v>49</v>
      </c>
      <c r="N11" s="368"/>
      <c r="O11" s="368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9" t="s">
        <v>50</v>
      </c>
      <c r="K12" s="369"/>
      <c r="L12" s="369"/>
      <c r="M12" s="368"/>
      <c r="N12" s="368"/>
      <c r="O12" s="368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8" t="s">
        <v>51</v>
      </c>
      <c r="B14" s="360"/>
      <c r="C14" s="390" t="s">
        <v>90</v>
      </c>
      <c r="D14" s="88" t="s">
        <v>52</v>
      </c>
      <c r="E14" s="95" t="s">
        <v>74</v>
      </c>
      <c r="F14" s="115" t="s">
        <v>53</v>
      </c>
      <c r="G14" s="364" t="s">
        <v>54</v>
      </c>
      <c r="H14" s="366"/>
      <c r="I14" s="394" t="s">
        <v>77</v>
      </c>
      <c r="J14" s="365" t="s">
        <v>55</v>
      </c>
      <c r="K14" s="366"/>
      <c r="L14" s="39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9"/>
      <c r="B15" s="361"/>
      <c r="C15" s="39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3"/>
      <c r="J15" s="144" t="s">
        <v>39</v>
      </c>
      <c r="K15" s="145" t="s">
        <v>59</v>
      </c>
      <c r="L15" s="36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5"/>
      <c r="M28" s="382" t="s">
        <v>60</v>
      </c>
      <c r="N28" s="383"/>
      <c r="O28" s="139">
        <f>I25</f>
        <v>1452.8</v>
      </c>
    </row>
    <row r="29" spans="1:18 16383:16383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8"/>
      <c r="M29" s="384" t="s">
        <v>85</v>
      </c>
      <c r="N29" s="385"/>
      <c r="O29" s="140">
        <f>K25</f>
        <v>0</v>
      </c>
    </row>
    <row r="30" spans="1:18 16383:16383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8"/>
      <c r="M30" s="384" t="s">
        <v>86</v>
      </c>
      <c r="N30" s="385"/>
      <c r="O30" s="140">
        <f>J25</f>
        <v>50.848000000000006</v>
      </c>
    </row>
    <row r="31" spans="1:18 16383:16383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8"/>
      <c r="L31" s="131"/>
      <c r="M31" s="384" t="s">
        <v>87</v>
      </c>
      <c r="N31" s="385"/>
      <c r="O31" s="140">
        <f>O28-O29-O30</f>
        <v>1401.952</v>
      </c>
    </row>
    <row r="32" spans="1:18 16383:16383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8"/>
      <c r="L33" s="131"/>
      <c r="M33" s="386" t="s">
        <v>76</v>
      </c>
      <c r="N33" s="387"/>
      <c r="O33" s="140">
        <f>O31+O32</f>
        <v>1710.3814400000001</v>
      </c>
    </row>
    <row r="34" spans="2:15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3" t="s">
        <v>88</v>
      </c>
      <c r="N35" s="344"/>
      <c r="O35" s="141">
        <f>O28-O29+O31+O34</f>
        <v>2897.511536</v>
      </c>
    </row>
    <row r="36" spans="2:15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2" t="s">
        <v>439</v>
      </c>
      <c r="E1" s="335" t="s">
        <v>58</v>
      </c>
      <c r="F1" s="335"/>
      <c r="G1" s="336" t="s">
        <v>440</v>
      </c>
      <c r="H1" s="336"/>
      <c r="I1" s="409" t="s">
        <v>441</v>
      </c>
      <c r="J1" s="409"/>
      <c r="K1" s="409" t="s">
        <v>442</v>
      </c>
      <c r="L1" s="409"/>
      <c r="M1" s="404" t="s">
        <v>484</v>
      </c>
      <c r="N1" s="405"/>
      <c r="O1" s="406"/>
    </row>
    <row r="2" spans="3:24" ht="29" x14ac:dyDescent="0.35">
      <c r="C2" s="335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3" t="s">
        <v>58</v>
      </c>
      <c r="F7" s="403"/>
      <c r="G7" s="401" t="s">
        <v>440</v>
      </c>
      <c r="H7" s="336"/>
      <c r="I7" s="337" t="s">
        <v>441</v>
      </c>
      <c r="J7" s="338"/>
      <c r="K7" s="337" t="s">
        <v>442</v>
      </c>
      <c r="L7" s="338"/>
      <c r="M7" s="404" t="s">
        <v>484</v>
      </c>
      <c r="N7" s="405"/>
      <c r="O7" s="406"/>
      <c r="P7" s="256" t="s">
        <v>475</v>
      </c>
      <c r="Q7" s="242" t="s">
        <v>473</v>
      </c>
      <c r="R7" s="402" t="s">
        <v>475</v>
      </c>
      <c r="S7" s="402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1"/>
      <c r="U8" s="40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4" t="s">
        <v>484</v>
      </c>
      <c r="N13" s="405"/>
      <c r="O13" s="406"/>
      <c r="P13" s="256" t="s">
        <v>475</v>
      </c>
      <c r="Q13" s="242" t="s">
        <v>473</v>
      </c>
      <c r="R13" s="402" t="s">
        <v>475</v>
      </c>
      <c r="S13" s="402" t="s">
        <v>485</v>
      </c>
      <c r="T13" s="400" t="s">
        <v>486</v>
      </c>
      <c r="U13" s="400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1"/>
      <c r="U14" s="40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4" t="s">
        <v>484</v>
      </c>
      <c r="N20" s="405"/>
      <c r="O20" s="406"/>
      <c r="P20" s="256" t="s">
        <v>475</v>
      </c>
      <c r="Q20" s="242" t="s">
        <v>473</v>
      </c>
      <c r="R20" s="402" t="s">
        <v>475</v>
      </c>
      <c r="S20" s="402" t="s">
        <v>485</v>
      </c>
      <c r="T20" s="400" t="s">
        <v>486</v>
      </c>
      <c r="U20" s="400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1"/>
      <c r="U21" s="40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4" t="s">
        <v>484</v>
      </c>
      <c r="N27" s="405"/>
      <c r="O27" s="406"/>
      <c r="P27" s="256" t="s">
        <v>475</v>
      </c>
      <c r="Q27" s="242" t="s">
        <v>473</v>
      </c>
      <c r="R27" s="402" t="s">
        <v>475</v>
      </c>
      <c r="S27" s="402" t="s">
        <v>485</v>
      </c>
      <c r="T27" s="400" t="s">
        <v>486</v>
      </c>
      <c r="U27" s="400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1"/>
      <c r="U28" s="40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2" t="s">
        <v>439</v>
      </c>
      <c r="D1" s="335" t="s">
        <v>58</v>
      </c>
      <c r="E1" s="335"/>
      <c r="F1" s="336" t="s">
        <v>440</v>
      </c>
      <c r="G1" s="336"/>
      <c r="H1" s="409" t="s">
        <v>441</v>
      </c>
      <c r="I1" s="409"/>
      <c r="J1" s="409" t="s">
        <v>442</v>
      </c>
      <c r="K1" s="409"/>
      <c r="L1" s="404" t="s">
        <v>484</v>
      </c>
      <c r="M1" s="405"/>
      <c r="N1" s="406"/>
    </row>
    <row r="2" spans="2:17" ht="29" x14ac:dyDescent="0.35">
      <c r="B2" s="335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2026-10-01T04:08:02Z</dcterms:modified>
</cp:coreProperties>
</file>