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3ABCCD8-4C2C-4490-8E2B-8BE8D821B81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48"/>
  <c r="O20" i="48" s="1"/>
  <c r="P20" i="48" s="1"/>
  <c r="M21" i="51"/>
  <c r="M21" i="47"/>
  <c r="O21" i="47" s="1"/>
  <c r="P21" i="47" s="1"/>
  <c r="M20" i="47"/>
  <c r="O20" i="47" s="1"/>
  <c r="P20" i="47" s="1"/>
  <c r="M21" i="44"/>
  <c r="O21" i="44" s="1"/>
  <c r="P21" i="44" s="1"/>
  <c r="K12" i="62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2" i="6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<sst xmlns="http://schemas.openxmlformats.org/spreadsheetml/2006/main" count="3948" uniqueCount="528">
  <si>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</si>
  <si>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</si>
  <si>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</si>
  <si>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</si>
  <si>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</si>
  <si>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</si>
  <si>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</si>
  <si>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</si>
  <si>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</si>
  <si>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</si>
  <si>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</si>
  <si>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</si>
  <si>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</si>
  <si>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</si>
  <si>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</si>
  <si>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</si>
  <si>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</si>
  <si>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</si>
  <si>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</si>
  <si>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</si>
  <si>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</si>
  <si>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</si>
  <si>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</si>
  <si>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</si>
  <si>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</si>
  <si>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</si>
  <si>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</si>
  <si>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</si>
  <si>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</si>
  <si>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</si>
  <si>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</si>
  <si>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</si>
  <si>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</si>
  <si>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</si>
  <si>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</si>
  <si>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</si>
  <si>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</si>
  <si>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</si>
  <si>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</si>
  <si>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</si>
  <si>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</si>
  <si>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</si>
  <si>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</si>
  <si>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</si>
  <si>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</si>
  <si>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</si>
  <si>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</si>
  <si>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</si>
  <si>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</si>
  <si>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</si>
  <si>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</si>
  <si>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</si>
  <si>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</si>
  <si>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</si>
  <si>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</si>
  <si>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</si>
  <si>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</si>
  <si>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</si>
  <si>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</si>
  <si>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</si>
  <si>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</si>
  <si>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</si>
  <si>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</si>
  <si>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</si>
  <si>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</si>
  <si>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</si>
  <si>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</si>
  <si>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</si>
  <si>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</si>
  <si>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</si>
  <si>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</si>
  <si>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</si>
  <si>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</si>
  <si>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</si>
  <si>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</si>
  <si>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</si>
  <si>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</si>
  <si>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</si>
  <si>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</si>
  <si>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</si>
  <si>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</si>
  <si>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</si>
  <si>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</si>
  <si>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</si>
  <si>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</si>
  <si>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</si>
  <si>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</si>
  <si>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</si>
  <si>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</si>
  <si>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</si>
  <si>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</si>
  <si>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</si>
  <si>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</si>
  <si>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</si>
  <si>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</si>
  <si>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</si>
  <si>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</si>
  <si>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</si>
  <si>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</si>
  <si>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</si>
  <si>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</si>
  <si>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</si>
  <si>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</si>
  <si>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</si>
  <si>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</si>
  <si>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</si>
  <si>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</si>
  <si>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</si>
  <si>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</si>
  <si>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</si>
  <si>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</si>
  <si>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</si>
  <si>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</si>
  <si>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</si>
  <si>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</si>
  <si>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</si>
  <si>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</si>
  <si>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</si>
  <si>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</si>
  <si>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</si>
  <si>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</si>
  <si>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</si>
  <si>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</si>
  <si>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</si>
  <si>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</si>
  <si>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</si>
  <si>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</si>
  <si>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</si>
  <si>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</si>
  <si>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</si>
  <si>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</si>
  <si>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</si>
  <si>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</si>
  <si>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</si>
  <si>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</si>
  <si>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</si>
  <si>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</si>
  <si>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</si>
  <si>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</si>
  <si>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</si>
  <si>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</si>
  <si>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</si>
  <si>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</si>
  <si>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</si>
  <si>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</si>
  <si>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</si>
  <si>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</si>
  <si>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</si>
  <si>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</si>
  <si>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</si>
  <si>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</si>
  <si>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</si>
  <si>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</si>
  <si>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</si>
  <si>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</si>
  <si>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</si>
  <si>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</si>
  <si>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</si>
  <si>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</si>
  <si>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</si>
  <si>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</si>
  <si>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</si>
  <si>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</si>
  <si>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</si>
  <si>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</si>
  <si>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</si>
  <si>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</si>
  <si>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</si>
  <si>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</si>
  <si>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</si>
  <si>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</si>
  <si>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</si>
  <si>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</si>
  <si>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</si>
  <si>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</si>
  <si>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</si>
  <si>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</si>
  <si>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</si>
  <si>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</si>
  <si>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</si>
  <si>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</si>
  <si>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</si>
  <si>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</si>
  <si>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</si>
  <si>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</si>
  <si>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</si>
  <si>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</si>
  <si>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</si>
  <si>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</si>
  <si>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</si>
  <si>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</si>
  <si>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</si>
  <si>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</si>
  <si>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</si>
  <si>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</si>
  <si>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</si>
  <si>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</si>
  <si>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</si>
  <si>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</si>
  <si>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</si>
  <si>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</si>
  <si>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</si>
  <si>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</si>
  <si>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</si>
  <si>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</si>
  <si>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</si>
  <si>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</si>
  <si>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</si>
  <si>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</si>
  <si>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</si>
  <si>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</si>
  <si>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</si>
  <si>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</si>
  <si>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</si>
  <si>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</si>
  <si>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</si>
  <si>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</si>
  <si>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</si>
  <si>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</si>
  <si>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</si>
  <si>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</si>
  <si>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</si>
  <si>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</si>
  <si>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</si>
  <si>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</si>
  <si>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</si>
  <si>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</si>
  <si>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</si>
  <si>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</si>
  <si>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</si>
  <si>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</si>
  <si>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</si>
  <si>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</si>
  <si>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</si>
  <si>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</si>
  <si>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</si>
  <si>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</si>
  <si>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</si>
  <si>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</si>
  <si>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</si>
  <si>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</si>
  <si>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</si>
  <si>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</si>
  <si>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</si>
  <si>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</si>
  <si>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</si>
  <si>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</si>
  <si>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</si>
  <si>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</si>
  <si>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</si>
  <si>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</si>
  <si>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</si>
  <si>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</si>
  <si>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</si>
  <si>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</si>
  <si>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</si>
  <si>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</si>
  <si>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</si>
  <si>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</si>
  <si>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</si>
  <si>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</si>
  <si>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</si>
  <si>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</si>
  <si>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</si>
  <si>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</si>
  <si>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</si>
  <si>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</si>
  <si>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</si>
  <si>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</si>
  <si>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</si>
  <si>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</si>
  <si>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</si>
  <si>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</si>
  <si>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</si>
  <si>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</si>
  <si>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</si>
  <si>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</si>
  <si>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</si>
  <si>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</si>
  <si>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</si>
  <si>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</si>
  <si>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</si>
  <si>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</si>
  <si>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</si>
  <si>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</si>
  <si>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</si>
  <si>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</si>
  <si>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</si>
  <si>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</si>
  <si>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</si>
  <si>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</si>
  <si>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</si>
  <si>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</si>
  <si>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</si>
  <si>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</si>
  <si>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</si>
  <si>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</si>
  <si>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</si>
  <si>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</si>
  <si>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</si>
  <si>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</si>
  <si>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</si>
  <si>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</si>
  <si>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</si>
  <si>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</si>
  <si>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</si>
  <si>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</si>
  <si>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</si>
  <si>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</si>
  <si>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</si>
  <si>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</si>
  <si>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</si>
  <si>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</si>
  <si>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</si>
  <si>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</si>
  <si>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</si>
  <si>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</si>
  <si>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</si>
  <si>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</si>
  <si>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</si>
  <si>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</si>
  <si>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</si>
  <si>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</si>
  <si>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</si>
  <si>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</si>
  <si>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</si>
  <si>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</si>
  <si>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</si>
  <si>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</si>
  <si>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</si>
  <si>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</si>
  <si>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</si>
  <si>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</si>
  <si>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</si>
  <si>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</si>
  <si>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</si>
  <si>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</si>
  <si>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</si>
  <si>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</si>
  <si>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</si>
  <si>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</si>
  <si>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</si>
  <si>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</si>
  <si>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</si>
  <si>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</si>
  <si>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</si>
  <si>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</si>
  <si>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</si>
  <si>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</si>
  <si>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</si>
  <si>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</si>
  <si>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</si>
  <si>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</si>
  <si>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</si>
  <si>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</si>
  <si>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</si>
  <si>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</si>
  <si>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</si>
  <si>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</si>
  <si>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</si>
  <si>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</si>
  <si>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</si>
  <si>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</si>
  <si>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</si>
  <si>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</si>
  <si>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</si>
  <si>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</si>
  <si>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</si>
  <si>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</si>
  <si>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</si>
  <si>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</si>
  <si>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</si>
  <si>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</si>
  <si>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</si>
  <si>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</si>
  <si>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</si>
  <si>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</si>
  <si>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</si>
  <si>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</si>
  <si>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</si>
  <si>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</si>
  <si>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</si>
  <si>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</si>
  <si>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</si>
  <si>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</si>
  <si>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</si>
  <si>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</si>
  <si>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</si>
  <si>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</si>
  <si>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</si>
  <si>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</si>
  <si>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</si>
  <si>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</si>
  <si>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</si>
  <si>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</si>
  <si>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</si>
  <si>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</si>
  <si>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</si>
  <si>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</si>
  <si>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</si>
  <si>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</si>
  <si>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</si>
  <si>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</si>
  <si>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</si>
  <si>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</si>
  <si>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</si>
  <si>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</si>
  <si>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</si>
  <si>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</si>
  <si>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</si>
  <si>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</si>
  <si>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</si>
  <si>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</si>
  <si>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</si>
  <si>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</si>
  <si>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</si>
  <si>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</si>
  <si>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</si>
  <si>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</si>
  <si>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</si>
  <si>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</si>
  <si>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</si>
  <si>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</si>
  <si>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</si>
  <si>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</si>
  <si>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</si>
  <si>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</si>
  <si>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</si>
  <si>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</si>
  <si>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</si>
  <si>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</si>
  <si>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</si>
  <si>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</si>
  <si>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</si>
  <si>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</si>
  <si>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</si>
  <si>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</si>
  <si>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</si>
  <si>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</si>
  <si>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</si>
  <si>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</si>
  <si>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</si>
  <si>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</si>
  <si>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</si>
  <si>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</si>
  <si>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</si>
  <si>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</si>
  <si>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</si>
  <si>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</si>
  <si>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</si>
  <si>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</si>
  <si>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</si>
  <si>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</si>
  <si>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</si>
  <si>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</si>
  <si>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</si>
  <si>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</si>
  <si>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</si>
  <si>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</si>
  <si>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</si>
  <si>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</si>
  <si>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</si>
  <si>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</si>
  <si>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</si>
  <si>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</si>
  <si>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</si>
  <si>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</si>
  <si>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</si>
  <si>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</si>
  <si>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</si>
  <si>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</si>
  <si>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</si>
  <si>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</si>
  <si>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</si>
  <si>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</si>
  <si>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</si>
  <si>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</si>
  <si>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</si>
  <si>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</si>
  <si>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</si>
  <si>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</si>
  <si>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</si>
  <si>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</si>
  <si>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</si>
  <si>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</si>
  <si>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</si>
  <si>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</si>
  <si>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</si>
  <si>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</si>
  <si>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</si>
  <si>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</si>
  <si>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</si>
  <si>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</si>
  <si>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</si>
  <si>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</si>
  <si>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</si>
  <si>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</si>
  <si>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</si>
  <si>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</si>
  <si>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</si>
  <si>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</si>
  <si>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</si>
  <si>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</si>
  <si>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</si>
  <si>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</si>
  <si>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</si>
  <si>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</si>
  <si>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</si>
  <si>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</si>
  <si>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</si>
  <si>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</si>
  <si>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</si>
  <si>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</si>
  <si>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</si>
  <si>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</si>
  <si>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Ahmad Umer </t>
  </si>
  <si>
    <t xml:space="preserve">Address: Mozang </t>
  </si>
  <si>
    <t xml:space="preserve">Super Fine Bakery </t>
  </si>
  <si>
    <t>Ahmad Store</t>
  </si>
  <si>
    <t>Address: Ahata</t>
  </si>
  <si>
    <t>Al Madina Store</t>
  </si>
  <si>
    <t>Arshad Kareyana Store</t>
  </si>
  <si>
    <t xml:space="preserve">Helt Mart Pharmacy </t>
  </si>
  <si>
    <t>Address: Mozang</t>
  </si>
  <si>
    <t>Medicine Mart</t>
  </si>
  <si>
    <t>Al Rehman Store</t>
  </si>
  <si>
    <t>Chatral GS</t>
  </si>
  <si>
    <t>Bilal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</si>
</sst>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Ahmad Umer 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Super Fine Bakery 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Ahmad Store</v>
      </c>
      <c r="T5" s="301">
        <f>+'3'!P35</f>
        <v>2025.473687971398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Madina Store</v>
      </c>
      <c r="T6" s="301">
        <f>+'4'!P35</f>
        <v>2918.4215845233057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17</v>
      </c>
      <c r="I7" s="235">
        <f>(G7*D7)*F7+H7*F7</f>
        <v>891.86249999999995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71.34899999999999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31.215187499999999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789.29831249999995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168.55932203389824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4.7892881726694911</v>
      </c>
      <c r="P7" s="310">
        <f>M7+N7+O7</f>
        <v>962.64692270656758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3">
        <v>5</v>
      </c>
      <c r="S7" s="300" t="str">
        <f>+'5'!A6:A6</f>
        <v>Arshad Kareyana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15</v>
      </c>
      <c r="I8" s="236">
        <f t="shared" ref="I8:I14" si="0">(G8*D8)*F8+H8*F8</f>
        <v>786.9375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62.954999999999998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27.542812500000004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696.43968749999999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148.72881355932196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4.22584250529661</v>
      </c>
      <c r="P8" s="311">
        <f t="shared" ref="P8:P15" si="2">M8+N8+O8</f>
        <v>849.39434356461845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3">
        <v>6</v>
      </c>
      <c r="S8" s="300" t="str">
        <f>+'6'!A6:A6</f>
        <v xml:space="preserve">Helt Mart Pharmacy </v>
      </c>
      <c r="T8" s="301">
        <f>+'6'!P35</f>
        <v>470.43173776271186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17</v>
      </c>
      <c r="I9" s="236">
        <f t="shared" si="0"/>
        <v>891.86249999999995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71.34899999999999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31.215187499999999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789.29831249999995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168.55932203389824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4.7892881726694911</v>
      </c>
      <c r="P9" s="311">
        <f t="shared" si="2"/>
        <v>962.64692270656758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24</v>
      </c>
      <c r="R9" s="313">
        <v>7</v>
      </c>
      <c r="S9" s="300" t="str">
        <f>+'7'!A6:A6</f>
        <v>Medicine Mart</v>
      </c>
      <c r="T9" s="301">
        <f>+'7'!P35</f>
        <v>6155.6180501694917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92</v>
      </c>
      <c r="I10" s="236">
        <f t="shared" si="0"/>
        <v>6682.88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570.95040000000006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233.9008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5878.0288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1263.0508474576272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35.705398237288136</v>
      </c>
      <c r="P10" s="311">
        <f t="shared" si="2"/>
        <v>7176.7850456949154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16</v>
      </c>
      <c r="R10" s="313">
        <v>8</v>
      </c>
      <c r="S10" s="300" t="str">
        <f>+'8'!A6:A6</f>
        <v>Al Rehman Store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82</v>
      </c>
      <c r="I11" s="236">
        <f t="shared" si="0"/>
        <v>5956.4800000000005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512.83840000000009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208.47680000000003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5235.1648000000005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1125.7627118644068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31.804637559322035</v>
      </c>
      <c r="P11" s="311">
        <f t="shared" si="2"/>
        <v>6392.7321494237294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16</v>
      </c>
      <c r="R11" s="313">
        <v>9</v>
      </c>
      <c r="S11" s="300" t="str">
        <f>+'9'!A6:A6</f>
        <v>Chatral GS</v>
      </c>
      <c r="T11" s="301">
        <f>+'9'!P35</f>
        <v>6272.4231701694916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97</v>
      </c>
      <c r="I12" s="236">
        <f t="shared" si="0"/>
        <v>7046.08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607.2704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246.61279999999999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6192.1967999999997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1331.6949152542375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37.619458576271185</v>
      </c>
      <c r="P12" s="311">
        <f t="shared" si="2"/>
        <v>7561.5111738305086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28</v>
      </c>
      <c r="R12" s="313">
        <v>10</v>
      </c>
      <c r="S12" s="300" t="str">
        <f>+'10'!A6:A6</f>
        <v>Bilal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8</v>
      </c>
      <c r="H16" s="113">
        <f t="shared" ref="H16:M16" si="3">SUM(H7:H15)</f>
        <v>320</v>
      </c>
      <c r="I16" s="114">
        <f t="shared" si="3"/>
        <v>22256.102500000001</v>
      </c>
      <c r="J16" s="274">
        <f>SUM(J7:J15)</f>
        <v>1896.7121999999999</v>
      </c>
      <c r="K16" s="275">
        <f t="shared" si="3"/>
        <v>778.96358750000002</v>
      </c>
      <c r="L16" s="276">
        <f t="shared" si="3"/>
        <v>0</v>
      </c>
      <c r="M16" s="232">
        <f t="shared" si="3"/>
        <v>19580.426712500001</v>
      </c>
      <c r="N16" s="233">
        <f>SUM(N7:N15)</f>
        <v>4206.3559322033898</v>
      </c>
      <c r="O16" s="101">
        <f>SUM(O7:O15)</f>
        <v>118.93391322351695</v>
      </c>
      <c r="P16" s="113">
        <f>SUM(P7:P15)</f>
        <v>23905.716557926906</v>
      </c>
      <c r="Q16" s="128">
        <f>SUM(Q7:Q15)</f>
        <v>108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22256.102500000001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1896.7121999999999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778.96358750000002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19580.426712500001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4206.3559322033898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23786.782644703391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118.93391322351695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23905.716557926909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23905.716557926909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7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1876.5375000000001</v>
      </c>
      <c r="J25" s="274">
        <f>SUM(J16:J24)</f>
        <v>150.12299999999999</v>
      </c>
      <c r="K25" s="275">
        <f t="shared" si="7"/>
        <v>65.678812500000006</v>
      </c>
      <c r="L25" s="276">
        <f t="shared" si="7"/>
        <v>0</v>
      </c>
      <c r="M25" s="232">
        <f t="shared" si="7"/>
        <v>1660.7356875</v>
      </c>
      <c r="N25" s="233">
        <f>SUM(N16:N24)</f>
        <v>354.66101694915244</v>
      </c>
      <c r="O25" s="101">
        <f>SUM(O16:O24)</f>
        <v>10.076983522245762</v>
      </c>
      <c r="P25" s="234">
        <f>SUM(P16:P24)</f>
        <v>2025.4736879713982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1876.5375000000001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150.12299999999999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65.678812500000006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1660.7356875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354.66101694915244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2015.3967044491524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10.076983522245762</v>
      </c>
    </row>
    <row r="35" spans="2:16" ht="15.75" customHeight="1" thickBot="1" x14ac:dyDescent="0.4">
      <c r="N35" s="345" t="s">
        <v>88</v>
      </c>
      <c r="O35" s="346"/>
      <c r="P35" s="297">
        <f>+P33+P34</f>
        <v>2025.473687971398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2703.8250000000003</v>
      </c>
      <c r="J25" s="274">
        <f>SUM(J16:J24)</f>
        <v>216.30599999999998</v>
      </c>
      <c r="K25" s="275">
        <f t="shared" si="7"/>
        <v>94.633875000000018</v>
      </c>
      <c r="L25" s="276">
        <f t="shared" si="7"/>
        <v>0</v>
      </c>
      <c r="M25" s="232">
        <f t="shared" si="7"/>
        <v>2392.8851250000002</v>
      </c>
      <c r="N25" s="233">
        <f>SUM(N16:N24)</f>
        <v>511.01694915254234</v>
      </c>
      <c r="O25" s="101">
        <f>SUM(O16:O24)</f>
        <v>14.519510370762713</v>
      </c>
      <c r="P25" s="234">
        <f>SUM(P16:P24)</f>
        <v>2918.4215845233052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2703.8250000000003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216.30599999999998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94.633875000000018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2392.8851250000002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511.01694915254234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2903.9020741525428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14.519510370762715</v>
      </c>
    </row>
    <row r="35" spans="2:16" ht="15.75" customHeight="1" thickBot="1" x14ac:dyDescent="0.4">
      <c r="N35" s="345" t="s">
        <v>88</v>
      </c>
      <c r="O35" s="346"/>
      <c r="P35" s="297">
        <f>+P33+P34</f>
        <v>2918.4215845233057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181.60000000000002</v>
      </c>
      <c r="K19" s="128">
        <f t="shared" si="1"/>
        <v>63.560000000000009</v>
      </c>
      <c r="L19" s="119">
        <f t="shared" si="1"/>
        <v>0</v>
      </c>
      <c r="M19" s="230">
        <f t="shared" si="2"/>
        <v>1570.84</v>
      </c>
      <c r="N19" s="277">
        <f t="shared" si="3"/>
        <v>343.22033898305085</v>
      </c>
      <c r="O19" s="239">
        <f t="shared" si="4"/>
        <v>9.5703016949152548</v>
      </c>
      <c r="P19" s="119">
        <f t="shared" si="5"/>
        <v>1923.6306406779661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181.60000000000002</v>
      </c>
      <c r="K20" s="128">
        <f t="shared" si="1"/>
        <v>63.560000000000009</v>
      </c>
      <c r="L20" s="119">
        <f t="shared" si="1"/>
        <v>0</v>
      </c>
      <c r="M20" s="230">
        <f t="shared" si="2"/>
        <v>1570.84</v>
      </c>
      <c r="N20" s="277">
        <f t="shared" si="3"/>
        <v>343.22033898305085</v>
      </c>
      <c r="O20" s="239">
        <f t="shared" si="4"/>
        <v>9.5703016949152548</v>
      </c>
      <c r="P20" s="119">
        <f t="shared" si="5"/>
        <v>1923.6306406779661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217.92</v>
      </c>
      <c r="K21" s="128">
        <f t="shared" si="1"/>
        <v>76.272000000000006</v>
      </c>
      <c r="L21" s="119">
        <f t="shared" si="1"/>
        <v>0</v>
      </c>
      <c r="M21" s="230">
        <f t="shared" si="2"/>
        <v>1885.0079999999998</v>
      </c>
      <c r="N21" s="277">
        <f t="shared" si="3"/>
        <v>411.86440677966107</v>
      </c>
      <c r="O21" s="239">
        <f t="shared" si="4"/>
        <v>11.484362033898305</v>
      </c>
      <c r="P21" s="119">
        <f t="shared" si="5"/>
        <v>2308.3567688135595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581.12</v>
      </c>
      <c r="K25" s="275">
        <f t="shared" si="7"/>
        <v>203.39200000000002</v>
      </c>
      <c r="L25" s="276">
        <f t="shared" si="7"/>
        <v>0</v>
      </c>
      <c r="M25" s="232">
        <f t="shared" si="7"/>
        <v>5026.6880000000001</v>
      </c>
      <c r="N25" s="233">
        <f>SUM(N16:N24)</f>
        <v>1098.3050847457628</v>
      </c>
      <c r="O25" s="101">
        <f>SUM(O16:O24)</f>
        <v>30.624965423728817</v>
      </c>
      <c r="P25" s="234">
        <f>SUM(P16:P24)</f>
        <v>6155.6180501694917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581.12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5026.6880000000001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6124.9930847457626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30.624965423728813</v>
      </c>
    </row>
    <row r="35" spans="2:16" ht="15.75" customHeight="1" thickBot="1" x14ac:dyDescent="0.4">
      <c r="N35" s="345" t="s">
        <v>88</v>
      </c>
      <c r="O35" s="346"/>
      <c r="P35" s="297">
        <f>+P33+P34</f>
        <v>6155.6180501694917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464.89599999999996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24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24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96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2026-10-26T05:12:16Z</dcterms:modified>
</cp:coreProperties>
</file>