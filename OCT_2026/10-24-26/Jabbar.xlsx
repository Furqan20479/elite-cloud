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C24EB90-91A5-47B3-B57D-BD8A55CFE6A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1" i="47"/>
  <c r="O21" i="47" s="1"/>
  <c r="P21" i="47" s="1"/>
  <c r="M20" i="47"/>
  <c r="O20" i="47" s="1"/>
  <c r="P20" i="47" s="1"/>
  <c r="M21" i="44"/>
  <c r="O21" i="44" s="1"/>
  <c r="P21" i="44" s="1"/>
  <c r="K12" i="62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<sst xmlns="http://schemas.openxmlformats.org/spreadsheetml/2006/main" count="3948" uniqueCount="528">
  <si>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</si>
  <si>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</si>
  <si>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</si>
  <si>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</si>
  <si>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</si>
  <si>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</si>
  <si>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</si>
  <si>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</si>
  <si>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</si>
  <si>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</si>
  <si>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</si>
  <si>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</si>
  <si>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</si>
  <si>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</si>
  <si>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</si>
  <si>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</si>
  <si>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</si>
  <si>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</si>
  <si>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</si>
  <si>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</si>
  <si>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</si>
  <si>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</si>
  <si>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</si>
  <si>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</si>
  <si>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</si>
  <si>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</si>
  <si>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</si>
  <si>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</si>
  <si>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</si>
  <si>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</si>
  <si>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</si>
  <si>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</si>
  <si>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</si>
  <si>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</si>
  <si>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</si>
  <si>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</si>
  <si>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</si>
  <si>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</si>
  <si>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</si>
  <si>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</si>
  <si>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</si>
  <si>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</si>
  <si>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</si>
  <si>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</si>
  <si>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</si>
  <si>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</si>
  <si>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</si>
  <si>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</si>
  <si>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</si>
  <si>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</si>
  <si>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</si>
  <si>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</si>
  <si>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</si>
  <si>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</si>
  <si>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</si>
  <si>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</si>
  <si>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</si>
  <si>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</si>
  <si>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</si>
  <si>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</si>
  <si>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</si>
  <si>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</si>
  <si>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</si>
  <si>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</si>
  <si>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</si>
  <si>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</si>
  <si>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</si>
  <si>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</si>
  <si>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</si>
  <si>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</si>
  <si>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</si>
  <si>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</si>
  <si>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</si>
  <si>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</si>
  <si>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</si>
  <si>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</si>
  <si>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</si>
  <si>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</si>
  <si>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</si>
  <si>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</si>
  <si>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</si>
  <si>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</si>
  <si>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</si>
  <si>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</si>
  <si>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</si>
  <si>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</si>
  <si>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</si>
  <si>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</si>
  <si>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</si>
  <si>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</si>
  <si>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</si>
  <si>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</si>
  <si>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</si>
  <si>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</si>
  <si>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</si>
  <si>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</si>
  <si>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</si>
  <si>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</si>
  <si>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</si>
  <si>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</si>
  <si>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</si>
  <si>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</si>
  <si>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</si>
  <si>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</si>
  <si>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</si>
  <si>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</si>
  <si>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</si>
  <si>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</si>
  <si>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</si>
  <si>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</si>
  <si>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</si>
  <si>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</si>
  <si>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</si>
  <si>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</si>
  <si>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</si>
  <si>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</si>
  <si>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</si>
  <si>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</si>
  <si>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</si>
  <si>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</si>
  <si>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</si>
  <si>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</si>
  <si>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</si>
  <si>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</si>
  <si>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</si>
  <si>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</si>
  <si>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</si>
  <si>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</si>
  <si>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</si>
  <si>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</si>
  <si>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</si>
  <si>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</si>
  <si>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</si>
  <si>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</si>
  <si>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</si>
  <si>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</si>
  <si>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</si>
  <si>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</si>
  <si>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</si>
  <si>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</si>
  <si>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</si>
  <si>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</si>
  <si>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</si>
  <si>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</si>
  <si>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</si>
  <si>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</si>
  <si>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</si>
  <si>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</si>
  <si>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</si>
  <si>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</si>
  <si>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</si>
  <si>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</si>
  <si>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</si>
  <si>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</si>
  <si>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</si>
  <si>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</si>
  <si>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</si>
  <si>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</si>
  <si>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</si>
  <si>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</si>
  <si>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</si>
  <si>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</si>
  <si>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</si>
  <si>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</si>
  <si>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</si>
  <si>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</si>
  <si>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</si>
  <si>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</si>
  <si>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</si>
  <si>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</si>
  <si>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</si>
  <si>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</si>
  <si>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</si>
  <si>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</si>
  <si>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</si>
  <si>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</si>
  <si>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</si>
  <si>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</si>
  <si>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</si>
  <si>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</si>
  <si>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</si>
  <si>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</si>
  <si>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</si>
  <si>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</si>
  <si>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</si>
  <si>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</si>
  <si>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</si>
  <si>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</si>
  <si>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</si>
  <si>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</si>
  <si>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</si>
  <si>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</si>
  <si>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</si>
  <si>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</si>
  <si>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</si>
  <si>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</si>
  <si>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</si>
  <si>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</si>
  <si>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</si>
  <si>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</si>
  <si>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</si>
  <si>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</si>
  <si>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</si>
  <si>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</si>
  <si>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</si>
  <si>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</si>
  <si>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</si>
  <si>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</si>
  <si>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</si>
  <si>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</si>
  <si>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</si>
  <si>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</si>
  <si>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</si>
  <si>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</si>
  <si>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</si>
  <si>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</si>
  <si>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</si>
  <si>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</si>
  <si>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</si>
  <si>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</si>
  <si>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</si>
  <si>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</si>
  <si>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</si>
  <si>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</si>
  <si>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</si>
  <si>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</si>
  <si>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</si>
  <si>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</si>
  <si>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</si>
  <si>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</si>
  <si>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</si>
  <si>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</si>
  <si>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</si>
  <si>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</si>
  <si>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</si>
  <si>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</si>
  <si>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</si>
  <si>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</si>
  <si>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</si>
  <si>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</si>
  <si>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</si>
  <si>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</si>
  <si>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</si>
  <si>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</si>
  <si>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</si>
  <si>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</si>
  <si>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</si>
  <si>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</si>
  <si>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</si>
  <si>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</si>
  <si>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</si>
  <si>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</si>
  <si>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</si>
  <si>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</si>
  <si>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</si>
  <si>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</si>
  <si>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</si>
  <si>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</si>
  <si>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</si>
  <si>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</si>
  <si>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</si>
  <si>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</si>
  <si>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</si>
  <si>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</si>
  <si>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</si>
  <si>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</si>
  <si>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</si>
  <si>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</si>
  <si>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</si>
  <si>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</si>
  <si>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</si>
  <si>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</si>
  <si>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</si>
  <si>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</si>
  <si>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</si>
  <si>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</si>
  <si>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</si>
  <si>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</si>
  <si>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</si>
  <si>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</si>
  <si>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</si>
  <si>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</si>
  <si>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</si>
  <si>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</si>
  <si>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</si>
  <si>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</si>
  <si>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</si>
  <si>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</si>
  <si>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</si>
  <si>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</si>
  <si>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</si>
  <si>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</si>
  <si>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</si>
  <si>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</si>
  <si>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</si>
  <si>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</si>
  <si>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</si>
  <si>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</si>
  <si>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</si>
  <si>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</si>
  <si>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</si>
  <si>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</si>
  <si>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</si>
  <si>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</si>
  <si>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</si>
  <si>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</si>
  <si>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</si>
  <si>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</si>
  <si>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</si>
  <si>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</si>
  <si>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</si>
  <si>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</si>
  <si>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</si>
  <si>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</si>
  <si>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</si>
  <si>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</si>
  <si>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</si>
  <si>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</si>
  <si>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</si>
  <si>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</si>
  <si>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</si>
  <si>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</si>
  <si>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</si>
  <si>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</si>
  <si>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</si>
  <si>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</si>
  <si>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</si>
  <si>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</si>
  <si>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</si>
  <si>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</si>
  <si>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</si>
  <si>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</si>
  <si>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</si>
  <si>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</si>
  <si>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</si>
  <si>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</si>
  <si>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</si>
  <si>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</si>
  <si>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</si>
  <si>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</si>
  <si>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</si>
  <si>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</si>
  <si>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</si>
  <si>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</si>
  <si>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</si>
  <si>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</si>
  <si>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</si>
  <si>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</si>
  <si>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</si>
  <si>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</si>
  <si>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</si>
  <si>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</si>
  <si>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</si>
  <si>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</si>
  <si>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</si>
  <si>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</si>
  <si>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</si>
  <si>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</si>
  <si>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</si>
  <si>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</si>
  <si>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</si>
  <si>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</si>
  <si>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</si>
  <si>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</si>
  <si>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</si>
  <si>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</si>
  <si>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</si>
  <si>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</si>
  <si>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</si>
  <si>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</si>
  <si>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</si>
  <si>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</si>
  <si>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</si>
  <si>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</si>
  <si>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</si>
  <si>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</si>
  <si>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</si>
  <si>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</si>
  <si>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</si>
  <si>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</si>
  <si>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</si>
  <si>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</si>
  <si>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</si>
  <si>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</si>
  <si>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</si>
  <si>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</si>
  <si>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</si>
  <si>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</si>
  <si>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</si>
  <si>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</si>
  <si>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</si>
  <si>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</si>
  <si>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</si>
  <si>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</si>
  <si>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</si>
  <si>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</si>
  <si>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</si>
  <si>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</si>
  <si>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</si>
  <si>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</si>
  <si>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</si>
  <si>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</si>
  <si>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</si>
  <si>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</si>
  <si>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</si>
  <si>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</si>
  <si>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</si>
  <si>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</si>
  <si>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</si>
  <si>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</si>
  <si>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</si>
  <si>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</si>
  <si>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</si>
  <si>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</si>
  <si>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</si>
  <si>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</si>
  <si>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</si>
  <si>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</si>
  <si>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</si>
  <si>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</si>
  <si>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</si>
  <si>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</si>
  <si>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</si>
  <si>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</si>
  <si>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</si>
  <si>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</si>
  <si>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</si>
  <si>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</si>
  <si>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</si>
  <si>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</si>
  <si>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</si>
  <si>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</si>
  <si>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</si>
  <si>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</si>
  <si>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</si>
  <si>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</si>
  <si>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</si>
  <si>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</si>
  <si>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</si>
  <si>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</si>
  <si>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</si>
  <si>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</si>
  <si>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</si>
  <si>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</si>
  <si>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</si>
  <si>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</si>
  <si>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</si>
  <si>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</si>
  <si>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</si>
  <si>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</si>
  <si>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</si>
  <si>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</si>
  <si>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</si>
  <si>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</si>
  <si>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</si>
  <si>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</si>
  <si>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</si>
  <si>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</si>
  <si>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</si>
  <si>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</si>
  <si>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</si>
  <si>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</si>
  <si>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</si>
  <si>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</si>
  <si>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</si>
  <si>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</si>
  <si>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</si>
  <si>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</si>
  <si>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</si>
  <si>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</si>
  <si>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</si>
  <si>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</si>
  <si>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</si>
  <si>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</si>
  <si>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</si>
  <si>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</si>
  <si>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</si>
  <si>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</si>
  <si>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</si>
  <si>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</si>
  <si>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</si>
  <si>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</si>
  <si>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</si>
  <si>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</si>
  <si>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</si>
  <si>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</si>
  <si>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</si>
  <si>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</si>
  <si>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</si>
  <si>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</si>
  <si>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</si>
  <si>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</si>
  <si>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</si>
  <si>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</si>
  <si>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</si>
  <si>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</si>
  <si>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</si>
  <si>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</si>
  <si>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</si>
  <si>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</si>
  <si>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</si>
  <si>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</si>
  <si>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</si>
  <si>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</si>
  <si>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</si>
  <si>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</si>
  <si>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</si>
  <si>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</si>
  <si>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</si>
  <si>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</si>
  <si>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</si>
  <si>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</si>
  <si>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</si>
  <si>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</si>
  <si>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</si>
  <si>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Ahmad Umer </t>
  </si>
  <si>
    <t xml:space="preserve">Address: Mozang </t>
  </si>
  <si>
    <t xml:space="preserve">Super Fine Bakery </t>
  </si>
  <si>
    <t>Ahmad Store</t>
  </si>
  <si>
    <t>Address: Ahata</t>
  </si>
  <si>
    <t>Al Madina Store</t>
  </si>
  <si>
    <t>Arshad Kareyana Store</t>
  </si>
  <si>
    <t xml:space="preserve">Helt Mart Pharmacy </t>
  </si>
  <si>
    <t>Address: Mozang</t>
  </si>
  <si>
    <t>Medicine Mart</t>
  </si>
  <si>
    <t>Al Rehman Store</t>
  </si>
  <si>
    <t>Chatral GS</t>
  </si>
  <si>
    <t>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</si>
</sst>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Ahmad Umer 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Super Fine Bakery 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Ahmad Store</v>
      </c>
      <c r="T5" s="301">
        <f>+'3'!P35</f>
        <v>2025.473687971398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Madina Store</v>
      </c>
      <c r="T6" s="301">
        <f>+'4'!P35</f>
        <v>2918.4215845233057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29</v>
      </c>
      <c r="I7" s="235">
        <f>(G7*D7)*F7+H7*F7</f>
        <v>1521.4124999999999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121.71299999999999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53.249437499999999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1346.4500624999998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287.54237288135585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8.169962176906779</v>
      </c>
      <c r="P7" s="310">
        <f>M7+N7+O7</f>
        <v>1642.1623975582625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Arshad Kareyana Store</v>
      </c>
      <c r="T7" s="301">
        <f>+'5'!P35</f>
        <v>940.86347552542372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27</v>
      </c>
      <c r="I8" s="236">
        <f t="shared" ref="I8:I14" si="0">(G8*D8)*F8+H8*F8</f>
        <v>1416.4875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113.31899999999999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49.577062500000004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1253.5914375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267.71186440677957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7.6065165095338978</v>
      </c>
      <c r="P8" s="311">
        <f t="shared" ref="P8:P15" si="2">M8+N8+O8</f>
        <v>1528.9098184163136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Helt Mart Pharmacy 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41</v>
      </c>
      <c r="I9" s="236">
        <f t="shared" si="0"/>
        <v>2150.9625000000001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172.077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75.283687499999999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1903.6018125000001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406.52542372881339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11.550636181144068</v>
      </c>
      <c r="P9" s="311">
        <f t="shared" si="2"/>
        <v>2321.6778724099577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Medicine Mart</v>
      </c>
      <c r="T9" s="301">
        <f>+'7'!P35</f>
        <v>6272.4231701694916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108</v>
      </c>
      <c r="I10" s="236">
        <f t="shared" si="0"/>
        <v>7845.12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627.6096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274.57920000000001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6942.9312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1482.7118644067798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42.128215322033903</v>
      </c>
      <c r="P10" s="311">
        <f t="shared" si="2"/>
        <v>8467.771279728815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Rehman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98</v>
      </c>
      <c r="I11" s="236">
        <f t="shared" si="0"/>
        <v>7118.72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569.49760000000015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249.15520000000004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6300.0672000000004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1345.4237288135594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38.227454644067798</v>
      </c>
      <c r="P11" s="311">
        <f t="shared" si="2"/>
        <v>7683.7183834576272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Chatral GS</v>
      </c>
      <c r="T11" s="301">
        <f>+'9'!P35</f>
        <v>6272.4231701694916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125</v>
      </c>
      <c r="I12" s="236">
        <f t="shared" si="0"/>
        <v>9080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726.4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317.8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8035.8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1716.1016949152545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48.759508474576265</v>
      </c>
      <c r="P12" s="311">
        <f t="shared" si="2"/>
        <v>9800.6612033898309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Bilal Store</v>
      </c>
      <c r="T12" s="301">
        <f>+'10'!P35</f>
        <v>6481.5158015084744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10.7</v>
      </c>
      <c r="H16" s="113">
        <f t="shared" ref="H16:M16" si="3">SUM(H7:H15)</f>
        <v>428</v>
      </c>
      <c r="I16" s="114">
        <f t="shared" si="3"/>
        <v>29132.702499999999</v>
      </c>
      <c r="J16" s="274">
        <f>SUM(J7:J15)</f>
        <v>2330.6161999999999</v>
      </c>
      <c r="K16" s="275">
        <f t="shared" si="3"/>
        <v>1019.6445874999999</v>
      </c>
      <c r="L16" s="276">
        <f t="shared" si="3"/>
        <v>0</v>
      </c>
      <c r="M16" s="232">
        <f t="shared" si="3"/>
        <v>25782.4417125</v>
      </c>
      <c r="N16" s="233">
        <f>SUM(N7:N15)</f>
        <v>5506.0169491525421</v>
      </c>
      <c r="O16" s="101">
        <f>SUM(O7:O15)</f>
        <v>156.44229330826272</v>
      </c>
      <c r="P16" s="113">
        <f>SUM(P7:P15)</f>
        <v>31444.900954960805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29132.702499999999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2330.6161999999999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1019.6445874999999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25782.4417125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5506.0169491525421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31288.458661652541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156.44229330826272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31444.900954960805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31444.900954960805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7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1876.5375000000001</v>
      </c>
      <c r="J25" s="274">
        <f>SUM(J16:J24)</f>
        <v>150.12299999999999</v>
      </c>
      <c r="K25" s="275">
        <f t="shared" si="7"/>
        <v>65.678812500000006</v>
      </c>
      <c r="L25" s="276">
        <f t="shared" si="7"/>
        <v>0</v>
      </c>
      <c r="M25" s="232">
        <f t="shared" si="7"/>
        <v>1660.7356875</v>
      </c>
      <c r="N25" s="233">
        <f>SUM(N16:N24)</f>
        <v>354.66101694915244</v>
      </c>
      <c r="O25" s="101">
        <f>SUM(O16:O24)</f>
        <v>10.076983522245762</v>
      </c>
      <c r="P25" s="234">
        <f>SUM(P16:P24)</f>
        <v>2025.4736879713982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1876.5375000000001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150.12299999999999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65.678812500000006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1660.7356875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354.66101694915244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2015.3967044491524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10.076983522245762</v>
      </c>
    </row>
    <row r="35" spans="2:16" ht="15.75" customHeight="1" thickBot="1" x14ac:dyDescent="0.4">
      <c r="N35" s="345" t="s">
        <v>88</v>
      </c>
      <c r="O35" s="346"/>
      <c r="P35" s="297">
        <f>+P33+P34</f>
        <v>2025.473687971398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2703.8250000000003</v>
      </c>
      <c r="J25" s="274">
        <f>SUM(J16:J24)</f>
        <v>216.30599999999998</v>
      </c>
      <c r="K25" s="275">
        <f t="shared" si="7"/>
        <v>94.633875000000018</v>
      </c>
      <c r="L25" s="276">
        <f t="shared" si="7"/>
        <v>0</v>
      </c>
      <c r="M25" s="232">
        <f t="shared" si="7"/>
        <v>2392.8851250000002</v>
      </c>
      <c r="N25" s="233">
        <f>SUM(N16:N24)</f>
        <v>511.01694915254234</v>
      </c>
      <c r="O25" s="101">
        <f>SUM(O16:O24)</f>
        <v>14.519510370762713</v>
      </c>
      <c r="P25" s="234">
        <f>SUM(P16:P24)</f>
        <v>2918.4215845233052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2703.8250000000003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216.30599999999998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94.633875000000018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2392.8851250000002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511.01694915254234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2903.9020741525428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14.519510370762715</v>
      </c>
    </row>
    <row r="35" spans="2:16" ht="15.75" customHeight="1" thickBot="1" x14ac:dyDescent="0.4">
      <c r="N35" s="345" t="s">
        <v>88</v>
      </c>
      <c r="O35" s="346"/>
      <c r="P35" s="297">
        <f>+P33+P34</f>
        <v>2918.4215845233057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464.89599999999996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464.89599999999996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</v>
      </c>
      <c r="I18" s="236">
        <f t="shared" si="0"/>
        <v>1259.0999999999999</v>
      </c>
      <c r="J18" s="272">
        <f t="shared" si="1"/>
        <v>100.72799999999999</v>
      </c>
      <c r="K18" s="128">
        <f t="shared" si="1"/>
        <v>44.0685</v>
      </c>
      <c r="L18" s="119">
        <f t="shared" si="1"/>
        <v>0</v>
      </c>
      <c r="M18" s="230">
        <f t="shared" si="2"/>
        <v>1114.3035</v>
      </c>
      <c r="N18" s="277">
        <f t="shared" si="3"/>
        <v>237.96610169491515</v>
      </c>
      <c r="O18" s="239">
        <f t="shared" si="4"/>
        <v>6.7613480084745756</v>
      </c>
      <c r="P18" s="119">
        <f t="shared" si="5"/>
        <v>1359.0309497033898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119">
        <f t="shared" si="5"/>
        <v>1881.7269510508474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96</v>
      </c>
      <c r="I25" s="114">
        <f t="shared" si="7"/>
        <v>6004.92</v>
      </c>
      <c r="J25" s="274">
        <f>SUM(J16:J24)</f>
        <v>480.39359999999999</v>
      </c>
      <c r="K25" s="275">
        <f t="shared" si="7"/>
        <v>210.17220000000003</v>
      </c>
      <c r="L25" s="276">
        <f t="shared" si="7"/>
        <v>0</v>
      </c>
      <c r="M25" s="232">
        <f t="shared" si="7"/>
        <v>5314.3541999999998</v>
      </c>
      <c r="N25" s="233">
        <f>SUM(N16:N24)</f>
        <v>1134.9152542372881</v>
      </c>
      <c r="O25" s="101">
        <f>SUM(O16:O24)</f>
        <v>32.246347271186437</v>
      </c>
      <c r="P25" s="234">
        <f>SUM(P16:P24)</f>
        <v>6481.5158015084744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6004.92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480.39359999999999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210.17220000000003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5314.3541999999998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1134.9152542372881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6449.2694542372883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32.246347271186444</v>
      </c>
    </row>
    <row r="35" spans="2:16" ht="15.75" customHeight="1" thickBot="1" x14ac:dyDescent="0.4">
      <c r="N35" s="345" t="s">
        <v>88</v>
      </c>
      <c r="O35" s="346"/>
      <c r="P35" s="297">
        <f>+P33+P34</f>
        <v>6481.5158015084744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2026-10-23T12:15:24Z</dcterms:modified>
</cp:coreProperties>
</file>