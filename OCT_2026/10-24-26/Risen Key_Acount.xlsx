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6DC37AE-8390-461D-8487-EF3720C247C3}" xr6:coauthVersionLast="47" xr6:coauthVersionMax="47" xr10:uidLastSave="{00000000-0000-0000-0000-000000000000}"/>
  <bookViews>
    <workbookView xWindow="-110" yWindow="-110" windowWidth="19420" windowHeight="10420" tabRatio="873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M16" i="66" s="1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M24" i="66" s="1"/>
  <c r="O24" i="66" s="1"/>
  <c r="P24" i="66" s="1"/>
  <c r="J24" i="66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6" l="1"/>
  <c r="M23" i="54"/>
  <c r="O23" i="54" s="1"/>
  <c r="P23" i="54" s="1"/>
  <c r="M24" i="50"/>
  <c r="O24" i="50" s="1"/>
  <c r="P24" i="50" s="1"/>
  <c r="M24" i="48"/>
  <c r="M22" i="70"/>
  <c r="M22" i="51"/>
  <c r="K15" i="62"/>
  <c r="M24" i="45"/>
  <c r="O24" i="45" s="1"/>
  <c r="P24" i="45" s="1"/>
  <c r="M24" i="58"/>
  <c r="M23" i="56"/>
  <c r="M22" i="63"/>
  <c r="O22" i="63" s="1"/>
  <c r="P22" i="63" s="1"/>
  <c r="M20" i="48"/>
  <c r="O20" i="48" s="1"/>
  <c r="P20" i="48" s="1"/>
  <c r="R20" i="48" s="1"/>
  <c r="M20" i="71"/>
  <c r="O20" i="71" s="1"/>
  <c r="P20" i="71" s="1"/>
  <c r="R20" i="71" s="1"/>
  <c r="M21" i="51"/>
  <c r="M20" i="70"/>
  <c r="O20" i="70" s="1"/>
  <c r="P20" i="70" s="1"/>
  <c r="R20" i="70" s="1"/>
  <c r="M20" i="53"/>
  <c r="O20" i="53" s="1"/>
  <c r="P20" i="53" s="1"/>
  <c r="R20" i="53" s="1"/>
  <c r="M17" i="72"/>
  <c r="O17" i="72" s="1"/>
  <c r="P17" i="72" s="1"/>
  <c r="M16" i="64"/>
  <c r="O16" i="64" s="1"/>
  <c r="P16" i="64" s="1"/>
  <c r="M16" i="65"/>
  <c r="O16" i="65" s="1"/>
  <c r="M16" i="72"/>
  <c r="M16" i="58"/>
  <c r="M16" i="48"/>
  <c r="M24" i="43"/>
  <c r="O24" i="43" s="1"/>
  <c r="P24" i="43" s="1"/>
  <c r="M16" i="43"/>
  <c r="O16" i="43" s="1"/>
  <c r="P16" i="43" s="1"/>
  <c r="M22" i="43"/>
  <c r="O22" i="43" s="1"/>
  <c r="P22" i="43" s="1"/>
  <c r="M24" i="47"/>
  <c r="O24" i="47" s="1"/>
  <c r="P24" i="47" s="1"/>
  <c r="J15" i="62"/>
  <c r="M24" i="44"/>
  <c r="O24" i="44" s="1"/>
  <c r="P24" i="44" s="1"/>
  <c r="M20" i="47"/>
  <c r="O20" i="47" s="1"/>
  <c r="P20" i="47" s="1"/>
  <c r="M21" i="47"/>
  <c r="O21" i="47" s="1"/>
  <c r="P21" i="47" s="1"/>
  <c r="M20" i="46"/>
  <c r="O20" i="46" s="1"/>
  <c r="P20" i="46" s="1"/>
  <c r="R20" i="46" s="1"/>
  <c r="M23" i="44"/>
  <c r="O23" i="44" s="1"/>
  <c r="P23" i="44" s="1"/>
  <c r="K12" i="62"/>
  <c r="M17" i="44"/>
  <c r="O17" i="44" s="1"/>
  <c r="P17" i="44" s="1"/>
  <c r="M20" i="43"/>
  <c r="O20" i="43" s="1"/>
  <c r="P20" i="43" s="1"/>
  <c r="R20" i="43" s="1"/>
  <c r="M21" i="43"/>
  <c r="O21" i="43" s="1"/>
  <c r="P21" i="43" s="1"/>
  <c r="J7" i="62"/>
  <c r="M21" i="44"/>
  <c r="O21" i="44" s="1"/>
  <c r="P21" i="44" s="1"/>
  <c r="M16" i="44"/>
  <c r="O16" i="44" s="1"/>
  <c r="M17" i="60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 s="1"/>
  <c r="O23" i="59"/>
  <c r="P23" i="59" s="1"/>
  <c r="O23" i="69"/>
  <c r="P23" i="69" s="1"/>
  <c r="O16" i="67"/>
  <c r="P16" i="67" s="1"/>
  <c r="O24" i="48"/>
  <c r="P24" i="48" s="1"/>
  <c r="O22" i="51"/>
  <c r="P22" i="51" s="1"/>
  <c r="O23" i="60"/>
  <c r="P23" i="60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18" i="50"/>
  <c r="P18" i="50" s="1"/>
  <c r="O21" i="51"/>
  <c r="P21" i="51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4" i="55" l="1"/>
  <c r="O25" i="55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<sst xmlns="http://schemas.openxmlformats.org/spreadsheetml/2006/main" count="3974" uniqueCount="540">
  <si>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</si>
  <si>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</si>
  <si>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</si>
  <si>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</si>
  <si>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</si>
  <si>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</si>
  <si>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</si>
  <si>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</si>
  <si>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</si>
  <si>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</si>
  <si>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</si>
  <si>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</si>
  <si>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</si>
  <si>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</si>
  <si>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</si>
  <si>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</si>
  <si>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</si>
  <si>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</si>
  <si>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</si>
  <si>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</si>
  <si>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</si>
  <si>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</si>
  <si>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</si>
  <si>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</si>
  <si>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</si>
  <si>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</si>
  <si>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</si>
  <si>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</si>
  <si>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</si>
  <si>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</si>
  <si>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</si>
  <si>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</si>
  <si>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</si>
  <si>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</si>
  <si>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</si>
  <si>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</si>
  <si>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</si>
  <si>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</si>
  <si>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</si>
  <si>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</si>
  <si>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</si>
  <si>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</si>
  <si>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</si>
  <si>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</si>
  <si>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</si>
  <si>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</si>
  <si>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</si>
  <si>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</si>
  <si>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</si>
  <si>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</si>
  <si>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</si>
  <si>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</si>
  <si>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</si>
  <si>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</si>
  <si>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</si>
  <si>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</si>
  <si>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</si>
  <si>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</si>
  <si>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</si>
  <si>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</si>
  <si>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</si>
  <si>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</si>
  <si>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</si>
  <si>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</si>
  <si>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</si>
  <si>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</si>
  <si>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</si>
  <si>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</si>
  <si>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</si>
  <si>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</si>
  <si>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</si>
  <si>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</si>
  <si>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</si>
  <si>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</si>
  <si>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</si>
  <si>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</si>
  <si>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</si>
  <si>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</si>
  <si>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</si>
  <si>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</si>
  <si>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</si>
  <si>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</si>
  <si>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</si>
  <si>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</si>
  <si>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</si>
  <si>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</si>
  <si>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</si>
  <si>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</si>
  <si>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</si>
  <si>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</si>
  <si>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</si>
  <si>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</si>
  <si>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</si>
  <si>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</si>
  <si>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</si>
  <si>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</si>
  <si>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</si>
  <si>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</si>
  <si>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</si>
  <si>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</si>
  <si>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</si>
  <si>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</si>
  <si>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</si>
  <si>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</si>
  <si>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</si>
  <si>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</si>
  <si>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</si>
  <si>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</si>
  <si>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</si>
  <si>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</si>
  <si>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</si>
  <si>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</si>
  <si>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</si>
  <si>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</si>
  <si>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</si>
  <si>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</si>
  <si>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</si>
  <si>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</si>
  <si>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</si>
  <si>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</si>
  <si>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</si>
  <si>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</si>
  <si>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</si>
  <si>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</si>
  <si>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</si>
  <si>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</si>
  <si>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</si>
  <si>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</si>
  <si>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</si>
  <si>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</si>
  <si>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</si>
  <si>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</si>
  <si>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</si>
  <si>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</si>
  <si>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</si>
  <si>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</si>
  <si>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</si>
  <si>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</si>
  <si>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</si>
  <si>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</si>
  <si>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</si>
  <si>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</si>
  <si>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</si>
  <si>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</si>
  <si>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</si>
  <si>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</si>
  <si>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</si>
  <si>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</si>
  <si>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</si>
  <si>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</si>
  <si>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</si>
  <si>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</si>
  <si>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</si>
  <si>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</si>
  <si>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</si>
  <si>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</si>
  <si>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</si>
  <si>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</si>
  <si>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</si>
  <si>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</si>
  <si>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</si>
  <si>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</si>
  <si>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</si>
  <si>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</si>
  <si>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</si>
  <si>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</si>
  <si>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</si>
  <si>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</si>
  <si>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</si>
  <si>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</si>
  <si>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</si>
  <si>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</si>
  <si>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</si>
  <si>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</si>
  <si>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</si>
  <si>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</si>
  <si>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</si>
  <si>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</si>
  <si>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</si>
  <si>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</si>
  <si>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</si>
  <si>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</si>
  <si>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</si>
  <si>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</si>
  <si>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</si>
  <si>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</si>
  <si>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</si>
  <si>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</si>
  <si>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</si>
  <si>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</si>
  <si>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</si>
  <si>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</si>
  <si>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</si>
  <si>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</si>
  <si>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</si>
  <si>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</si>
  <si>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</si>
  <si>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</si>
  <si>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</si>
  <si>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</si>
  <si>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</si>
  <si>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</si>
  <si>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</si>
  <si>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</si>
  <si>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</si>
  <si>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</si>
  <si>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</si>
  <si>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</si>
  <si>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</si>
  <si>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</si>
  <si>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</si>
  <si>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</si>
  <si>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</si>
  <si>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</si>
  <si>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</si>
  <si>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</si>
  <si>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</si>
  <si>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</si>
  <si>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</si>
  <si>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</si>
  <si>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</si>
  <si>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</si>
  <si>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</si>
  <si>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</si>
  <si>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</si>
  <si>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</si>
  <si>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</si>
  <si>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</si>
  <si>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</si>
  <si>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</si>
  <si>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</si>
  <si>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</si>
  <si>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</si>
  <si>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</si>
  <si>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</si>
  <si>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</si>
  <si>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</si>
  <si>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</si>
  <si>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</si>
  <si>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</si>
  <si>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</si>
  <si>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</si>
  <si>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</si>
  <si>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</si>
  <si>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</si>
  <si>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</si>
  <si>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</si>
  <si>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</si>
  <si>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</si>
  <si>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</si>
  <si>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</si>
  <si>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</si>
  <si>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</si>
  <si>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</si>
  <si>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</si>
  <si>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</si>
  <si>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</si>
  <si>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</si>
  <si>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</si>
  <si>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</si>
  <si>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</si>
  <si>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</si>
  <si>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</si>
  <si>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</si>
  <si>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</si>
  <si>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</si>
  <si>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</si>
  <si>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</si>
  <si>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</si>
  <si>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</si>
  <si>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</si>
  <si>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</si>
  <si>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</si>
  <si>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</si>
  <si>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</si>
  <si>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</si>
  <si>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</si>
  <si>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</si>
  <si>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</si>
  <si>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</si>
  <si>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</si>
  <si>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</si>
  <si>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</si>
  <si>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</si>
  <si>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</si>
  <si>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</si>
  <si>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</si>
  <si>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</si>
  <si>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</si>
  <si>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</si>
  <si>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</si>
  <si>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</si>
  <si>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</si>
  <si>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</si>
  <si>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</si>
  <si>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</si>
  <si>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</si>
  <si>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</si>
  <si>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</si>
  <si>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</si>
  <si>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</si>
  <si>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</si>
  <si>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</si>
  <si>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</si>
  <si>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</si>
  <si>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</si>
  <si>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</si>
  <si>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</si>
  <si>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</si>
  <si>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</si>
  <si>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</si>
  <si>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</si>
  <si>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</si>
  <si>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</si>
  <si>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</si>
  <si>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</si>
  <si>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</si>
  <si>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</si>
  <si>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</si>
  <si>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</si>
  <si>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</si>
  <si>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</si>
  <si>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</si>
  <si>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</si>
  <si>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</si>
  <si>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</si>
  <si>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</si>
  <si>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</si>
  <si>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</si>
  <si>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</si>
  <si>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</si>
  <si>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</si>
  <si>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</si>
  <si>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</si>
  <si>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</si>
  <si>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</si>
  <si>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</si>
  <si>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</si>
  <si>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</si>
  <si>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</si>
  <si>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</si>
  <si>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</si>
  <si>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</si>
  <si>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</si>
  <si>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</si>
  <si>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</si>
  <si>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</si>
  <si>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</si>
  <si>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</si>
  <si>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</si>
  <si>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</si>
  <si>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</si>
  <si>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</si>
  <si>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</si>
  <si>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</si>
  <si>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</si>
  <si>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</si>
  <si>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</si>
  <si>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</si>
  <si>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</si>
  <si>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</si>
  <si>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</si>
  <si>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</si>
  <si>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</si>
  <si>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</si>
  <si>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</si>
  <si>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</si>
  <si>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</si>
  <si>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</si>
  <si>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</si>
  <si>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</si>
  <si>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</si>
  <si>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</si>
  <si>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</si>
  <si>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</si>
  <si>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</si>
  <si>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</si>
  <si>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</si>
  <si>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</si>
  <si>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</si>
  <si>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</si>
  <si>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</si>
  <si>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</si>
  <si>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</si>
  <si>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</si>
  <si>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</si>
  <si>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</si>
  <si>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</si>
  <si>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</si>
  <si>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</si>
  <si>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</si>
  <si>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</si>
  <si>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</si>
  <si>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</si>
  <si>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</si>
  <si>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</si>
  <si>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</si>
  <si>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</si>
  <si>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</si>
  <si>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</si>
  <si>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</si>
  <si>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</si>
  <si>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</si>
  <si>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</si>
  <si>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</si>
  <si>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</si>
  <si>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</si>
  <si>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</si>
  <si>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</si>
  <si>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</si>
  <si>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</si>
  <si>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</si>
  <si>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</si>
  <si>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</si>
  <si>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</si>
  <si>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</si>
  <si>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</si>
  <si>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</si>
  <si>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</si>
  <si>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</si>
  <si>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</si>
  <si>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</si>
  <si>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</si>
  <si>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</si>
  <si>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</si>
  <si>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</si>
  <si>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</si>
  <si>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</si>
  <si>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</si>
  <si>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</si>
  <si>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</si>
  <si>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</si>
  <si>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</si>
  <si>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</si>
  <si>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</si>
  <si>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</si>
  <si>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</si>
  <si>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</si>
  <si>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</si>
  <si>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</si>
  <si>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</si>
  <si>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</si>
  <si>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</si>
  <si>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</si>
  <si>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</si>
  <si>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</si>
  <si>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</si>
  <si>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</si>
  <si>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</si>
  <si>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</si>
  <si>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</si>
  <si>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</si>
  <si>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</si>
  <si>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</si>
  <si>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</si>
  <si>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</si>
  <si>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</si>
  <si>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</si>
  <si>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</si>
  <si>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</si>
  <si>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</si>
  <si>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</si>
  <si>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</si>
  <si>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</si>
  <si>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</si>
  <si>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</si>
  <si>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</si>
  <si>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</si>
  <si>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</si>
  <si>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</si>
  <si>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</si>
  <si>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</si>
  <si>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</si>
  <si>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</si>
  <si>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</si>
  <si>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</si>
  <si>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</si>
  <si>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</si>
  <si>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</si>
  <si>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</si>
  <si>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</si>
  <si>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</si>
  <si>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</si>
  <si>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</si>
  <si>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</si>
  <si>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</si>
  <si>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</si>
  <si>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</si>
  <si>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</si>
  <si>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</si>
  <si>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</si>
  <si>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</si>
  <si>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</si>
  <si>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</si>
  <si>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</si>
  <si>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</si>
  <si>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</si>
  <si>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</si>
  <si>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</si>
  <si>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</si>
  <si>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</si>
  <si>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</si>
  <si>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</si>
  <si>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</si>
  <si>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</si>
  <si>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</si>
  <si>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</si>
  <si>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</si>
  <si>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</si>
  <si>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</si>
  <si>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</si>
  <si>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</si>
  <si>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</si>
  <si>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</si>
  <si>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Invoice No # :156123</t>
  </si>
  <si>
    <t>_SB Traders</t>
  </si>
  <si>
    <t xml:space="preserve">Address: Shadbagh </t>
  </si>
  <si>
    <t>Address: Sabzazaar</t>
  </si>
  <si>
    <t>NTN # : 9725069-2</t>
  </si>
  <si>
    <t xml:space="preserve">TN Traders </t>
  </si>
  <si>
    <t xml:space="preserve">Address:Thoker Niaz Bagh </t>
  </si>
  <si>
    <t>NTN # :  9402653-2</t>
  </si>
  <si>
    <t>M.S Traders</t>
  </si>
  <si>
    <t>Address: Askari 11</t>
  </si>
  <si>
    <t>Shakoor</t>
  </si>
  <si>
    <t>Invoice No # : 156156</t>
  </si>
  <si>
    <t>Invoice No # : 61163</t>
  </si>
  <si>
    <t>Risen</t>
  </si>
  <si>
    <t xml:space="preserve">MS Rafaqat Sons </t>
  </si>
  <si>
    <t>Invoice No # : 159523</t>
  </si>
  <si>
    <t>CB Traders</t>
  </si>
  <si>
    <t xml:space="preserve">Address:Manawan </t>
  </si>
  <si>
    <t>NTN # : 4987374-2</t>
  </si>
  <si>
    <t>Invoice No # :5451</t>
  </si>
  <si>
    <t>ok</t>
  </si>
  <si>
    <t>Address:Gajumata</t>
  </si>
  <si>
    <t xml:space="preserve">Rafaqat Sons </t>
  </si>
  <si>
    <t>NTN # : 9725069-2 STRN:/ 327787628553-1</t>
  </si>
  <si>
    <t>Invoice No # :56456</t>
  </si>
  <si>
    <t>Shakoor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</si>
</sst>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6" sqref="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527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46318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_SB Traders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MS Rafaqat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M.S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9023.5499999999993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55.033004237288132</v>
      </c>
      <c r="P8" s="311">
        <f t="shared" ref="P8:P15" si="2">M8+N8+O8</f>
        <v>11061.633851694914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Rafaqat Sons </v>
      </c>
      <c r="T8" s="301">
        <f>+'6'!P35</f>
        <v>49181.579628305073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3609.42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22.013201694915253</v>
      </c>
      <c r="P9" s="311">
        <f t="shared" si="2"/>
        <v>4424.6535406779658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7496.4479999999994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45.719528135593222</v>
      </c>
      <c r="P10" s="311">
        <f t="shared" si="2"/>
        <v>9189.6251552542362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2440.7040000000002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14992.895999999999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91.439056271186445</v>
      </c>
      <c r="P11" s="311">
        <f t="shared" si="2"/>
        <v>18379.250310508472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4997.6319999999996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30.47968542372881</v>
      </c>
      <c r="P12" s="311">
        <f t="shared" si="2"/>
        <v>6126.4167701694905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18</v>
      </c>
      <c r="H16" s="113">
        <f t="shared" ref="H16:M16" si="3">SUM(H7:H15)</f>
        <v>720</v>
      </c>
      <c r="I16" s="114">
        <f t="shared" si="3"/>
        <v>46651.099999999991</v>
      </c>
      <c r="J16" s="274">
        <f>SUM(J7:J15)</f>
        <v>6531.1540000000014</v>
      </c>
      <c r="K16" s="275">
        <f t="shared" si="3"/>
        <v>0</v>
      </c>
      <c r="L16" s="276">
        <f t="shared" si="3"/>
        <v>0</v>
      </c>
      <c r="M16" s="232">
        <f t="shared" si="3"/>
        <v>40119.945999999996</v>
      </c>
      <c r="N16" s="233">
        <f>SUM(N7:N15)</f>
        <v>8816.9491525423728</v>
      </c>
      <c r="O16" s="101">
        <f>SUM(O7:O15)</f>
        <v>244.68447576271188</v>
      </c>
      <c r="P16" s="113">
        <f>SUM(P7:P15)</f>
        <v>49181.57962830508</v>
      </c>
      <c r="Q16" s="128">
        <f>SUM(Q7:Q15)</f>
        <v>0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46651.099999999991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6531.1540000000014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40119.945999999989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8816.9491525423728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48936.895152542362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244.68447576271188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49181.579628305073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49181.579628305073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L19" sqref="L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518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526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529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46266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518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FD38"/>
  <sheetViews>
    <sheetView topLeftCell="A5"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534</v>
      </c>
    </row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46316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532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531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10" workbookViewId="0">
      <selection activeCell="R12" sqref="R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46318</v>
      </c>
      <c r="O5" s="369"/>
      <c r="P5" s="369"/>
      <c r="R5" s="85"/>
      <c r="S5" s="266"/>
    </row>
    <row r="6" spans="1:22 16383:16384" ht="15" customHeight="1" x14ac:dyDescent="0.4">
      <c r="A6" s="398" t="s">
        <v>536</v>
      </c>
      <c r="B6" s="398"/>
      <c r="C6" s="398"/>
      <c r="F6" s="85"/>
      <c r="G6" s="86"/>
      <c r="K6" s="370" t="s">
        <v>69</v>
      </c>
      <c r="L6" s="370"/>
      <c r="M6" s="370"/>
      <c r="N6" s="399" t="s">
        <v>539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537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0</v>
      </c>
      <c r="L17" s="119">
        <f>$I17*U17</f>
        <v>0</v>
      </c>
      <c r="M17" s="230">
        <f t="shared" ref="M17:M24" si="2">I17-SUM(J17:L17)</f>
        <v>9023.5499999999993</v>
      </c>
      <c r="N17" s="277">
        <f t="shared" ref="N17:N24" si="3">+(G17*D17+H17)*V17</f>
        <v>1983.0508474576263</v>
      </c>
      <c r="O17" s="239">
        <f t="shared" ref="O17:O24" si="4">(N17+M17)*$O$15</f>
        <v>55.033004237288132</v>
      </c>
      <c r="P17" s="311">
        <f t="shared" ref="P17:P24" si="5">M17+N17+O17</f>
        <v>11061.633851694914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0</v>
      </c>
      <c r="L18" s="119">
        <f t="shared" si="1"/>
        <v>0</v>
      </c>
      <c r="M18" s="230">
        <f t="shared" si="2"/>
        <v>3609.42</v>
      </c>
      <c r="N18" s="277">
        <f t="shared" si="3"/>
        <v>793.22033898305051</v>
      </c>
      <c r="O18" s="239">
        <f t="shared" si="4"/>
        <v>22.013201694915253</v>
      </c>
      <c r="P18" s="311">
        <f t="shared" si="5"/>
        <v>4424.6535406779658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0</v>
      </c>
      <c r="L19" s="119">
        <f t="shared" si="1"/>
        <v>0</v>
      </c>
      <c r="M19" s="230">
        <f t="shared" si="2"/>
        <v>7496.4479999999994</v>
      </c>
      <c r="N19" s="277">
        <f t="shared" si="3"/>
        <v>1647.4576271186443</v>
      </c>
      <c r="O19" s="239">
        <f t="shared" si="4"/>
        <v>45.719528135593222</v>
      </c>
      <c r="P19" s="311">
        <f t="shared" si="5"/>
        <v>9189.6251552542362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240</v>
      </c>
      <c r="I20" s="236">
        <f t="shared" si="0"/>
        <v>17433.599999999999</v>
      </c>
      <c r="J20" s="272">
        <f t="shared" si="1"/>
        <v>2440.7040000000002</v>
      </c>
      <c r="K20" s="128">
        <f t="shared" si="1"/>
        <v>0</v>
      </c>
      <c r="L20" s="119">
        <f t="shared" si="1"/>
        <v>0</v>
      </c>
      <c r="M20" s="230">
        <f t="shared" si="2"/>
        <v>14992.895999999999</v>
      </c>
      <c r="N20" s="277">
        <f t="shared" si="3"/>
        <v>3294.9152542372885</v>
      </c>
      <c r="O20" s="239">
        <f t="shared" si="4"/>
        <v>91.439056271186445</v>
      </c>
      <c r="P20" s="311">
        <f t="shared" si="5"/>
        <v>18379.250310508472</v>
      </c>
      <c r="Q20" s="156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0</v>
      </c>
      <c r="L21" s="119">
        <f t="shared" si="1"/>
        <v>0</v>
      </c>
      <c r="M21" s="230">
        <f t="shared" si="2"/>
        <v>4997.6319999999996</v>
      </c>
      <c r="N21" s="277">
        <f t="shared" si="3"/>
        <v>1098.3050847457628</v>
      </c>
      <c r="O21" s="239">
        <f t="shared" si="4"/>
        <v>30.47968542372881</v>
      </c>
      <c r="P21" s="311">
        <f t="shared" si="5"/>
        <v>6126.4167701694905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720</v>
      </c>
      <c r="I25" s="114">
        <f t="shared" si="7"/>
        <v>46651.099999999991</v>
      </c>
      <c r="J25" s="274">
        <f>SUM(J16:J24)</f>
        <v>6531.1540000000014</v>
      </c>
      <c r="K25" s="275">
        <f t="shared" si="7"/>
        <v>0</v>
      </c>
      <c r="L25" s="276">
        <f t="shared" si="7"/>
        <v>0</v>
      </c>
      <c r="M25" s="232">
        <f t="shared" si="7"/>
        <v>40119.945999999996</v>
      </c>
      <c r="N25" s="233">
        <f>SUM(N16:N24)</f>
        <v>8816.9491525423728</v>
      </c>
      <c r="O25" s="101">
        <f>SUM(O16:O24)</f>
        <v>244.68447576271188</v>
      </c>
      <c r="P25" s="113">
        <f>SUM(P16:P24)</f>
        <v>49181.57962830508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46651.099999999991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6531.1540000000014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40119.945999999989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8816.9491525423728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48936.895152542362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244.68447576271183</v>
      </c>
    </row>
    <row r="35" spans="2:16" ht="15.75" customHeight="1" thickBot="1" x14ac:dyDescent="0.4">
      <c r="N35" s="344" t="s">
        <v>88</v>
      </c>
      <c r="O35" s="345"/>
      <c r="P35" s="297">
        <f>+P33+P34</f>
        <v>49181.579628305073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T24" sqref="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46319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46318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2026-10-23T11:42:13Z</dcterms:modified>
</cp:coreProperties>
</file>