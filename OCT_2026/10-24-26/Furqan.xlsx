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8C366A1-3DB7-4BD8-93FD-712843E58DD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1" i="44"/>
  <c r="O21" i="44" s="1"/>
  <c r="P21" i="44" s="1"/>
  <c r="K12" i="62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<sst xmlns="http://schemas.openxmlformats.org/spreadsheetml/2006/main" count="3948" uniqueCount="524">
  <si>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</si>
  <si>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</si>
  <si>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</si>
  <si>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</si>
  <si>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</si>
  <si>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</si>
  <si>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</si>
  <si>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</si>
  <si>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</si>
  <si>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</si>
  <si>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</si>
  <si>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</si>
  <si>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</si>
  <si>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</si>
  <si>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</si>
  <si>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</si>
  <si>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</si>
  <si>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</si>
  <si>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</si>
  <si>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</si>
  <si>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</si>
  <si>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</si>
  <si>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</si>
  <si>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</si>
  <si>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</si>
  <si>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</si>
  <si>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</si>
  <si>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</si>
  <si>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</si>
  <si>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</si>
  <si>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</si>
  <si>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</si>
  <si>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</si>
  <si>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</si>
  <si>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</si>
  <si>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</si>
  <si>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</si>
  <si>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</si>
  <si>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</si>
  <si>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</si>
  <si>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</si>
  <si>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</si>
  <si>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</si>
  <si>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</si>
  <si>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</si>
  <si>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</si>
  <si>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</si>
  <si>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</si>
  <si>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</si>
  <si>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</si>
  <si>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</si>
  <si>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</si>
  <si>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</si>
  <si>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</si>
  <si>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</si>
  <si>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</si>
  <si>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</si>
  <si>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</si>
  <si>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</si>
  <si>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</si>
  <si>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</si>
  <si>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</si>
  <si>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</si>
  <si>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</si>
  <si>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</si>
  <si>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</si>
  <si>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</si>
  <si>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</si>
  <si>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</si>
  <si>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</si>
  <si>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</si>
  <si>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</si>
  <si>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</si>
  <si>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</si>
  <si>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</si>
  <si>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</si>
  <si>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</si>
  <si>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</si>
  <si>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</si>
  <si>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</si>
  <si>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</si>
  <si>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</si>
  <si>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</si>
  <si>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</si>
  <si>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</si>
  <si>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</si>
  <si>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</si>
  <si>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</si>
  <si>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</si>
  <si>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</si>
  <si>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</si>
  <si>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</si>
  <si>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</si>
  <si>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</si>
  <si>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</si>
  <si>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</si>
  <si>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</si>
  <si>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</si>
  <si>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</si>
  <si>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</si>
  <si>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</si>
  <si>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</si>
  <si>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</si>
  <si>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</si>
  <si>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</si>
  <si>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</si>
  <si>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</si>
  <si>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</si>
  <si>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</si>
  <si>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</si>
  <si>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</si>
  <si>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</si>
  <si>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</si>
  <si>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</si>
  <si>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</si>
  <si>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</si>
  <si>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</si>
  <si>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</si>
  <si>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</si>
  <si>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</si>
  <si>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</si>
  <si>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</si>
  <si>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</si>
  <si>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</si>
  <si>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</si>
  <si>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</si>
  <si>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</si>
  <si>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</si>
  <si>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</si>
  <si>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</si>
  <si>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</si>
  <si>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</si>
  <si>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</si>
  <si>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</si>
  <si>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</si>
  <si>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</si>
  <si>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</si>
  <si>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</si>
  <si>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</si>
  <si>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</si>
  <si>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</si>
  <si>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</si>
  <si>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</si>
  <si>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</si>
  <si>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</si>
  <si>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</si>
  <si>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</si>
  <si>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</si>
  <si>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</si>
  <si>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</si>
  <si>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</si>
  <si>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</si>
  <si>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</si>
  <si>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</si>
  <si>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</si>
  <si>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</si>
  <si>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</si>
  <si>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</si>
  <si>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</si>
  <si>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</si>
  <si>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</si>
  <si>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</si>
  <si>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</si>
  <si>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</si>
  <si>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</si>
  <si>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</si>
  <si>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</si>
  <si>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</si>
  <si>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</si>
  <si>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</si>
  <si>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</si>
  <si>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</si>
  <si>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</si>
  <si>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</si>
  <si>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</si>
  <si>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</si>
  <si>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</si>
  <si>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</si>
  <si>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</si>
  <si>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</si>
  <si>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</si>
  <si>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</si>
  <si>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</si>
  <si>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</si>
  <si>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</si>
  <si>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</si>
  <si>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</si>
  <si>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</si>
  <si>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</si>
  <si>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</si>
  <si>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</si>
  <si>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</si>
  <si>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</si>
  <si>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</si>
  <si>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</si>
  <si>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</si>
  <si>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</si>
  <si>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</si>
  <si>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</si>
  <si>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</si>
  <si>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</si>
  <si>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</si>
  <si>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</si>
  <si>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</si>
  <si>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</si>
  <si>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</si>
  <si>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</si>
  <si>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</si>
  <si>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</si>
  <si>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</si>
  <si>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</si>
  <si>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</si>
  <si>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</si>
  <si>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</si>
  <si>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</si>
  <si>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</si>
  <si>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</si>
  <si>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</si>
  <si>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</si>
  <si>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</si>
  <si>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</si>
  <si>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</si>
  <si>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</si>
  <si>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</si>
  <si>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</si>
  <si>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</si>
  <si>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</si>
  <si>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</si>
  <si>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</si>
  <si>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</si>
  <si>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</si>
  <si>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</si>
  <si>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</si>
  <si>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</si>
  <si>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</si>
  <si>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</si>
  <si>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</si>
  <si>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</si>
  <si>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</si>
  <si>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</si>
  <si>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</si>
  <si>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</si>
  <si>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</si>
  <si>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</si>
  <si>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</si>
  <si>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</si>
  <si>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</si>
  <si>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</si>
  <si>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</si>
  <si>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</si>
  <si>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</si>
  <si>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</si>
  <si>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</si>
  <si>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</si>
  <si>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</si>
  <si>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</si>
  <si>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</si>
  <si>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</si>
  <si>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</si>
  <si>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</si>
  <si>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</si>
  <si>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</si>
  <si>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</si>
  <si>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</si>
  <si>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</si>
  <si>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</si>
  <si>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</si>
  <si>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</si>
  <si>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</si>
  <si>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</si>
  <si>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</si>
  <si>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</si>
  <si>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</si>
  <si>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</si>
  <si>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</si>
  <si>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</si>
  <si>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</si>
  <si>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</si>
  <si>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</si>
  <si>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</si>
  <si>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</si>
  <si>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</si>
  <si>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</si>
  <si>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</si>
  <si>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</si>
  <si>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</si>
  <si>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</si>
  <si>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</si>
  <si>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</si>
  <si>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</si>
  <si>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</si>
  <si>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</si>
  <si>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</si>
  <si>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</si>
  <si>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</si>
  <si>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</si>
  <si>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</si>
  <si>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</si>
  <si>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</si>
  <si>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</si>
  <si>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</si>
  <si>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</si>
  <si>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</si>
  <si>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</si>
  <si>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</si>
  <si>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</si>
  <si>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</si>
  <si>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</si>
  <si>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</si>
  <si>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</si>
  <si>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</si>
  <si>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</si>
  <si>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</si>
  <si>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</si>
  <si>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</si>
  <si>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</si>
  <si>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</si>
  <si>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</si>
  <si>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</si>
  <si>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</si>
  <si>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</si>
  <si>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</si>
  <si>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</si>
  <si>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</si>
  <si>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</si>
  <si>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</si>
  <si>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</si>
  <si>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</si>
  <si>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</si>
  <si>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</si>
  <si>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</si>
  <si>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</si>
  <si>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</si>
  <si>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</si>
  <si>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</si>
  <si>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</si>
  <si>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</si>
  <si>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</si>
  <si>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</si>
  <si>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</si>
  <si>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</si>
  <si>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</si>
  <si>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</si>
  <si>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</si>
  <si>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</si>
  <si>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</si>
  <si>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</si>
  <si>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</si>
  <si>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</si>
  <si>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</si>
  <si>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</si>
  <si>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</si>
  <si>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</si>
  <si>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</si>
  <si>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</si>
  <si>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</si>
  <si>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</si>
  <si>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</si>
  <si>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</si>
  <si>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</si>
  <si>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</si>
  <si>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</si>
  <si>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</si>
  <si>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</si>
  <si>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</si>
  <si>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</si>
  <si>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</si>
  <si>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</si>
  <si>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</si>
  <si>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</si>
  <si>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</si>
  <si>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</si>
  <si>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</si>
  <si>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</si>
  <si>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</si>
  <si>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</si>
  <si>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</si>
  <si>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</si>
  <si>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</si>
  <si>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</si>
  <si>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</si>
  <si>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</si>
  <si>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</si>
  <si>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</si>
  <si>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</si>
  <si>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</si>
  <si>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</si>
  <si>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</si>
  <si>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</si>
  <si>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</si>
  <si>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</si>
  <si>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</si>
  <si>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</si>
  <si>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</si>
  <si>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</si>
  <si>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</si>
  <si>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</si>
  <si>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</si>
  <si>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</si>
  <si>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</si>
  <si>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</si>
  <si>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</si>
  <si>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</si>
  <si>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</si>
  <si>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</si>
  <si>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</si>
  <si>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</si>
  <si>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</si>
  <si>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</si>
  <si>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</si>
  <si>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</si>
  <si>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</si>
  <si>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</si>
  <si>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</si>
  <si>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</si>
  <si>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</si>
  <si>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</si>
  <si>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</si>
  <si>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</si>
  <si>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</si>
  <si>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</si>
  <si>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</si>
  <si>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</si>
  <si>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</si>
  <si>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</si>
  <si>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</si>
  <si>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</si>
  <si>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</si>
  <si>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</si>
  <si>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</si>
  <si>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</si>
  <si>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</si>
  <si>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</si>
  <si>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</si>
  <si>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</si>
  <si>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</si>
  <si>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</si>
  <si>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</si>
  <si>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</si>
  <si>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</si>
  <si>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</si>
  <si>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</si>
  <si>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</si>
  <si>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</si>
  <si>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</si>
  <si>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</si>
  <si>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</si>
  <si>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</si>
  <si>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</si>
  <si>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</si>
  <si>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</si>
  <si>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</si>
  <si>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</si>
  <si>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</si>
  <si>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</si>
  <si>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</si>
  <si>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</si>
  <si>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</si>
  <si>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</si>
  <si>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</si>
  <si>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</si>
  <si>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</si>
  <si>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</si>
  <si>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</si>
  <si>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</si>
  <si>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</si>
  <si>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</si>
  <si>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</si>
  <si>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</si>
  <si>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</si>
  <si>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</si>
  <si>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</si>
  <si>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</si>
  <si>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</si>
  <si>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</si>
  <si>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</si>
  <si>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</si>
  <si>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</si>
  <si>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</si>
  <si>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</si>
  <si>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</si>
  <si>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</si>
  <si>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</si>
  <si>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</si>
  <si>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</si>
  <si>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</si>
  <si>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</si>
  <si>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</si>
  <si>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</si>
  <si>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</si>
  <si>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</si>
  <si>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</si>
  <si>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</si>
  <si>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</si>
  <si>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</si>
  <si>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</si>
  <si>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</si>
  <si>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</si>
  <si>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</si>
  <si>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</si>
  <si>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</si>
  <si>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</si>
  <si>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</si>
  <si>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</si>
  <si>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</si>
  <si>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</si>
  <si>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</si>
  <si>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</si>
  <si>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</si>
  <si>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</si>
  <si>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</si>
  <si>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</si>
  <si>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</si>
  <si>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</si>
  <si>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</si>
  <si>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Address: Qanchi Bazar</t>
  </si>
  <si>
    <t>Tahir Medical &amp; GS</t>
  </si>
  <si>
    <t>Mian Bakers &amp; GS</t>
  </si>
  <si>
    <t>Tayab Store</t>
  </si>
  <si>
    <t>Mughal GS</t>
  </si>
  <si>
    <t>HA Store</t>
  </si>
  <si>
    <t>Shekh Mehboob Store</t>
  </si>
  <si>
    <t>Sadiq Store</t>
  </si>
  <si>
    <t xml:space="preserve">H Super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</si>
</sst>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I10" sqref="I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46319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Tahir Medical &amp; GS</v>
      </c>
      <c r="T3" s="301">
        <f>+'1'!P35</f>
        <v>13590.309497033895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Mian Bakers &amp; GS</v>
      </c>
      <c r="T4" s="301">
        <f>+'2'!P35</f>
        <v>2265.051582838983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Tayab Store</v>
      </c>
      <c r="T5" s="301">
        <f>+'3'!P35</f>
        <v>470.43173776271186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Mughal GS</v>
      </c>
      <c r="T6" s="301">
        <f>+'4'!P35</f>
        <v>766.63147507627116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106</v>
      </c>
      <c r="I7" s="235">
        <f>(G7*D7)*F7+H7*F7</f>
        <v>5561.0249999999996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444.88200000000001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194.635875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4921.5071250000001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1051.0169491525419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29.862620370762709</v>
      </c>
      <c r="P7" s="310">
        <f>M7+N7+O7</f>
        <v>6002.3866945233049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HA Store</v>
      </c>
      <c r="T7" s="301">
        <f>+'5'!P35</f>
        <v>1411.2952132881355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90</v>
      </c>
      <c r="I8" s="236">
        <f t="shared" ref="I8:I14" si="0">(G8*D8)*F8+H8*F8</f>
        <v>4721.625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377.73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165.25687500000001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4178.6381249999995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892.3728813559319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25.35505503177966</v>
      </c>
      <c r="P8" s="311">
        <f t="shared" ref="P8:P15" si="2">M8+N8+O8</f>
        <v>5096.3660613877109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Shekh Mehboob Store</v>
      </c>
      <c r="T8" s="301">
        <f>+'6'!P35</f>
        <v>1568.1057925423729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110</v>
      </c>
      <c r="I9" s="236">
        <f t="shared" si="0"/>
        <v>5770.875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461.67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201.980625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5107.2243749999998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1090.6779661016944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30.989511705508473</v>
      </c>
      <c r="P9" s="311">
        <f t="shared" si="2"/>
        <v>6228.8918528072027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Sadiq Store</v>
      </c>
      <c r="T9" s="301">
        <f>+'7'!P35</f>
        <v>1568.1057925423729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22</v>
      </c>
      <c r="I10" s="236">
        <f t="shared" si="0"/>
        <v>1598.08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127.8464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55.932800000000007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1414.3008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302.03389830508473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8.5816734915254234</v>
      </c>
      <c r="P10" s="311">
        <f t="shared" si="2"/>
        <v>1724.9163717966101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H Super Mart </v>
      </c>
      <c r="T10" s="301">
        <f>+'8'!P35</f>
        <v>1019.2732122775423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</v>
      </c>
      <c r="I11" s="236">
        <f t="shared" si="0"/>
        <v>1162.24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92.979200000000006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40.678400000000003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1028.5824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219.66101694915255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6.2412170847457631</v>
      </c>
      <c r="P11" s="311">
        <f t="shared" si="2"/>
        <v>1254.4846340338984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30</v>
      </c>
      <c r="I12" s="236">
        <f t="shared" si="0"/>
        <v>2179.1999999999998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174.33600000000001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76.272000000000006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1928.5919999999999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411.86440677966107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11.702282033898307</v>
      </c>
      <c r="P12" s="311">
        <f t="shared" si="2"/>
        <v>2352.1586888135594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9.35</v>
      </c>
      <c r="H16" s="113">
        <f t="shared" ref="H16:M16" si="3">SUM(H7:H15)</f>
        <v>374</v>
      </c>
      <c r="I16" s="114">
        <f t="shared" si="3"/>
        <v>20993.045000000002</v>
      </c>
      <c r="J16" s="274">
        <f>SUM(J7:J15)</f>
        <v>1679.4436000000001</v>
      </c>
      <c r="K16" s="275">
        <f t="shared" si="3"/>
        <v>734.75657500000011</v>
      </c>
      <c r="L16" s="276">
        <f t="shared" si="3"/>
        <v>0</v>
      </c>
      <c r="M16" s="232">
        <f t="shared" si="3"/>
        <v>18578.844825</v>
      </c>
      <c r="N16" s="233">
        <f>SUM(N7:N15)</f>
        <v>3967.6271186440672</v>
      </c>
      <c r="O16" s="101">
        <f>SUM(O7:O15)</f>
        <v>112.73235971822035</v>
      </c>
      <c r="P16" s="113">
        <f>SUM(P7:P15)</f>
        <v>22659.20430336229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20993.045000000002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1679.4436000000001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734.75657500000011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18578.844825000004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3967.6271186440672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22546.471943644072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112.73235971822035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22659.204303362294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22659.204303362287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335.76</v>
      </c>
      <c r="K16" s="127">
        <f>$I16*T16</f>
        <v>146.89500000000001</v>
      </c>
      <c r="L16" s="118">
        <f>$I16*U16</f>
        <v>0</v>
      </c>
      <c r="M16" s="229">
        <f>I16-SUM(J16:L16)</f>
        <v>3714.3450000000003</v>
      </c>
      <c r="N16" s="248">
        <f>+(G16*D16+H16)*V16</f>
        <v>793.22033898305051</v>
      </c>
      <c r="O16" s="238">
        <f>(N16+M16)*$O$15</f>
        <v>22.537826694915253</v>
      </c>
      <c r="P16" s="118">
        <f>M16+N16+O16</f>
        <v>4530.103165677966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335.76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3714.3450000000003</v>
      </c>
      <c r="N17" s="277">
        <f t="shared" ref="N17:N24" si="3">+(G17*D17+H17)*V17</f>
        <v>793.22033898305051</v>
      </c>
      <c r="O17" s="239">
        <f t="shared" ref="O17:O24" si="4">(N17+M17)*$O$15</f>
        <v>22.537826694915253</v>
      </c>
      <c r="P17" s="119">
        <f t="shared" ref="P17:P24" si="5">M17+N17+O17</f>
        <v>4530.103165677966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335.76</v>
      </c>
      <c r="K18" s="128">
        <f t="shared" si="1"/>
        <v>146.89500000000001</v>
      </c>
      <c r="L18" s="119">
        <f t="shared" si="1"/>
        <v>0</v>
      </c>
      <c r="M18" s="230">
        <f t="shared" si="2"/>
        <v>3714.3450000000003</v>
      </c>
      <c r="N18" s="277">
        <f t="shared" si="3"/>
        <v>793.22033898305051</v>
      </c>
      <c r="O18" s="239">
        <f t="shared" si="4"/>
        <v>22.537826694915253</v>
      </c>
      <c r="P18" s="119">
        <f t="shared" si="5"/>
        <v>4530.103165677966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12591</v>
      </c>
      <c r="J25" s="274">
        <f>SUM(J16:J24)</f>
        <v>1007.28</v>
      </c>
      <c r="K25" s="275">
        <f t="shared" si="10"/>
        <v>440.68500000000006</v>
      </c>
      <c r="L25" s="276">
        <f t="shared" si="10"/>
        <v>0</v>
      </c>
      <c r="M25" s="232">
        <f t="shared" si="10"/>
        <v>11143.035</v>
      </c>
      <c r="N25" s="233">
        <f>SUM(N16:N24)</f>
        <v>2379.6610169491514</v>
      </c>
      <c r="O25" s="101">
        <f>SUM(O16:O24)</f>
        <v>67.61348008474576</v>
      </c>
      <c r="P25" s="234">
        <f>SUM(P16:P24)</f>
        <v>13590.309497033897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12591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1007.28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440.68500000000006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11143.035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2379.6610169491514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13522.69601694915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67.61348008474576</v>
      </c>
    </row>
    <row r="35" spans="2:16" ht="15.75" customHeight="1" thickBot="1" x14ac:dyDescent="0.4">
      <c r="N35" s="374" t="s">
        <v>88</v>
      </c>
      <c r="O35" s="375"/>
      <c r="P35" s="297">
        <f>+P33+P34</f>
        <v>13590.309497033895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470.43173776271192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710.26</v>
      </c>
      <c r="J25" s="274">
        <f>SUM(J16:J24)</f>
        <v>56.820800000000006</v>
      </c>
      <c r="K25" s="275">
        <f t="shared" si="7"/>
        <v>24.859100000000002</v>
      </c>
      <c r="L25" s="276">
        <f t="shared" si="7"/>
        <v>0</v>
      </c>
      <c r="M25" s="232">
        <f t="shared" si="7"/>
        <v>628.5800999999999</v>
      </c>
      <c r="N25" s="233">
        <f>SUM(N16:N24)</f>
        <v>134.23728813559319</v>
      </c>
      <c r="O25" s="101">
        <f>SUM(O16:O24)</f>
        <v>3.8140869406779658</v>
      </c>
      <c r="P25" s="234">
        <f>SUM(P16:P24)</f>
        <v>766.63147507627104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710.26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56.820800000000006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24.859100000000002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628.58010000000002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134.23728813559319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762.81738813559321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3.8140869406779663</v>
      </c>
    </row>
    <row r="35" spans="2:16" ht="15.75" customHeight="1" thickBot="1" x14ac:dyDescent="0.4">
      <c r="N35" s="374" t="s">
        <v>88</v>
      </c>
      <c r="O35" s="375"/>
      <c r="P35" s="297">
        <f>+P33+P34</f>
        <v>766.63147507627116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18</v>
      </c>
      <c r="I25" s="114">
        <f t="shared" si="7"/>
        <v>1307.52</v>
      </c>
      <c r="J25" s="274">
        <f>SUM(J16:J24)</f>
        <v>104.60160000000002</v>
      </c>
      <c r="K25" s="275">
        <f t="shared" si="7"/>
        <v>45.763200000000005</v>
      </c>
      <c r="L25" s="276">
        <f t="shared" si="7"/>
        <v>0</v>
      </c>
      <c r="M25" s="232">
        <f t="shared" si="7"/>
        <v>1157.1552000000001</v>
      </c>
      <c r="N25" s="233">
        <f>SUM(N16:N24)</f>
        <v>247.11864406779662</v>
      </c>
      <c r="O25" s="101">
        <f>SUM(O16:O24)</f>
        <v>7.0213692203389835</v>
      </c>
      <c r="P25" s="234">
        <f>SUM(P16:P24)</f>
        <v>1411.2952132881355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1307.52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104.60160000000002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45.763200000000005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1157.1551999999999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247.11864406779662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1404.2738440677965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7.0213692203389826</v>
      </c>
    </row>
    <row r="35" spans="2:16" ht="15.75" customHeight="1" thickBot="1" x14ac:dyDescent="0.4">
      <c r="N35" s="374" t="s">
        <v>88</v>
      </c>
      <c r="O35" s="375"/>
      <c r="P35" s="297">
        <f>+P33+P34</f>
        <v>1411.2952132881355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18</v>
      </c>
      <c r="I25" s="114">
        <f t="shared" si="7"/>
        <v>944.32499999999993</v>
      </c>
      <c r="J25" s="274">
        <f>SUM(J16:J24)</f>
        <v>75.545999999999992</v>
      </c>
      <c r="K25" s="275">
        <f t="shared" si="7"/>
        <v>33.051375</v>
      </c>
      <c r="L25" s="276">
        <f t="shared" si="7"/>
        <v>0</v>
      </c>
      <c r="M25" s="232">
        <f t="shared" si="7"/>
        <v>835.72762499999999</v>
      </c>
      <c r="N25" s="233">
        <f>SUM(N16:N24)</f>
        <v>178.47457627118638</v>
      </c>
      <c r="O25" s="101">
        <f>SUM(O16:O24)</f>
        <v>5.0710110063559313</v>
      </c>
      <c r="P25" s="234">
        <f>SUM(P16:P24)</f>
        <v>1019.2732122775424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944.32499999999993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75.545999999999992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33.051375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835.72762499999999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178.47457627118638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1014.2022012711864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5.0710110063559322</v>
      </c>
    </row>
    <row r="35" spans="2:16" ht="15.75" customHeight="1" thickBot="1" x14ac:dyDescent="0.4">
      <c r="N35" s="374" t="s">
        <v>88</v>
      </c>
      <c r="O35" s="375"/>
      <c r="P35" s="297">
        <f>+P33+P34</f>
        <v>1019.2732122775423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46318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2026-10-23T11:57:01Z</dcterms:modified>
</cp:coreProperties>
</file>