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6FF4E5-1E75-422B-A69C-A0E1B057462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<sst xmlns="http://schemas.openxmlformats.org/spreadsheetml/2006/main" count="3976" uniqueCount="519">
  <si>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</si>
  <si>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</si>
  <si>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</si>
  <si>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</si>
  <si>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</si>
  <si>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</si>
  <si>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</si>
  <si>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</si>
  <si>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</si>
  <si>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</si>
  <si>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</si>
  <si>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</si>
  <si>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</si>
  <si>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</si>
  <si>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</si>
  <si>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</si>
  <si>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</si>
  <si>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</si>
  <si>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</si>
  <si>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</si>
  <si>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</si>
  <si>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</si>
  <si>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</si>
  <si>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</si>
  <si>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</si>
  <si>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</si>
  <si>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</si>
  <si>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</si>
  <si>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</si>
  <si>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</si>
  <si>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</si>
  <si>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</si>
  <si>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</si>
  <si>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</si>
  <si>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</si>
  <si>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</si>
  <si>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</si>
  <si>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</si>
  <si>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</si>
  <si>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</si>
  <si>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</si>
  <si>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</si>
  <si>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</si>
  <si>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</si>
  <si>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</si>
  <si>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</si>
  <si>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</si>
  <si>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</si>
  <si>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</si>
  <si>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</si>
  <si>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</si>
  <si>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</si>
  <si>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</si>
  <si>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</si>
  <si>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</si>
  <si>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</si>
  <si>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</si>
  <si>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</si>
  <si>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</si>
  <si>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</si>
  <si>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</si>
  <si>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</si>
  <si>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</si>
  <si>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</si>
  <si>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</si>
  <si>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</si>
  <si>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</si>
  <si>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</si>
  <si>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</si>
  <si>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</si>
  <si>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</si>
  <si>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</si>
  <si>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</si>
  <si>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</si>
  <si>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</si>
  <si>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</si>
  <si>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</si>
  <si>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</si>
  <si>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</si>
  <si>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</si>
  <si>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</si>
  <si>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</si>
  <si>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</si>
  <si>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</si>
  <si>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</si>
  <si>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</si>
  <si>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</si>
  <si>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</si>
  <si>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</si>
  <si>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</si>
  <si>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</si>
  <si>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</si>
  <si>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</si>
  <si>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</si>
  <si>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</si>
  <si>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</si>
  <si>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</si>
  <si>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</si>
  <si>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</si>
  <si>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</si>
  <si>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</si>
  <si>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</si>
  <si>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</si>
  <si>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</si>
  <si>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</si>
  <si>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</si>
  <si>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</si>
  <si>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</si>
  <si>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</si>
  <si>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</si>
  <si>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</si>
  <si>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</si>
  <si>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</si>
  <si>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</si>
  <si>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</si>
  <si>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</si>
  <si>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</si>
  <si>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</si>
  <si>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</si>
  <si>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</si>
  <si>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</si>
  <si>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</si>
  <si>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</si>
  <si>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</si>
  <si>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</si>
  <si>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</si>
  <si>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</si>
  <si>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</si>
  <si>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</si>
  <si>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</si>
  <si>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</si>
  <si>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</si>
  <si>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</si>
  <si>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</si>
  <si>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</si>
  <si>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</si>
  <si>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</si>
  <si>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</si>
  <si>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</si>
  <si>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</si>
  <si>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</si>
  <si>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</si>
  <si>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</si>
  <si>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</si>
  <si>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</si>
  <si>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</si>
  <si>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</si>
  <si>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</si>
  <si>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</si>
  <si>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</si>
  <si>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</si>
  <si>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</si>
  <si>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</si>
  <si>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</si>
  <si>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</si>
  <si>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</si>
  <si>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</si>
  <si>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</si>
  <si>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</si>
  <si>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</si>
  <si>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</si>
  <si>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</si>
  <si>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</si>
  <si>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</si>
  <si>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</si>
  <si>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</si>
  <si>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</si>
  <si>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</si>
  <si>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</si>
  <si>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</si>
  <si>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</si>
  <si>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</si>
  <si>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</si>
  <si>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</si>
  <si>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</si>
  <si>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</si>
  <si>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</si>
  <si>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</si>
  <si>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</si>
  <si>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</si>
  <si>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</si>
  <si>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</si>
  <si>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</si>
  <si>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</si>
  <si>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</si>
  <si>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</si>
  <si>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</si>
  <si>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</si>
  <si>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</si>
  <si>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</si>
  <si>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</si>
  <si>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</si>
  <si>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</si>
  <si>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</si>
  <si>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</si>
  <si>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</si>
  <si>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</si>
  <si>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</si>
  <si>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</si>
  <si>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</si>
  <si>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</si>
  <si>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</si>
  <si>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</si>
  <si>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</si>
  <si>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</si>
  <si>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</si>
  <si>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</si>
  <si>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</si>
  <si>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</si>
  <si>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</si>
  <si>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</si>
  <si>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</si>
  <si>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</si>
  <si>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</si>
  <si>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</si>
  <si>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</si>
  <si>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</si>
  <si>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</si>
  <si>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</si>
  <si>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</si>
  <si>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</si>
  <si>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</si>
  <si>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</si>
  <si>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</si>
  <si>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</si>
  <si>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</si>
  <si>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</si>
  <si>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</si>
  <si>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</si>
  <si>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</si>
  <si>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</si>
  <si>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</si>
  <si>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</si>
  <si>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</si>
  <si>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</si>
  <si>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</si>
  <si>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</si>
  <si>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</si>
  <si>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</si>
  <si>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</si>
  <si>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</si>
  <si>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</si>
  <si>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</si>
  <si>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</si>
  <si>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</si>
  <si>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</si>
  <si>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</si>
  <si>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</si>
  <si>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</si>
  <si>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</si>
  <si>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</si>
  <si>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</si>
  <si>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</si>
  <si>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</si>
  <si>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</si>
  <si>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</si>
  <si>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</si>
  <si>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</si>
  <si>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</si>
  <si>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</si>
  <si>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</si>
  <si>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</si>
  <si>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</si>
  <si>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</si>
  <si>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</si>
  <si>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</si>
  <si>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</si>
  <si>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</si>
  <si>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</si>
  <si>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</si>
  <si>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</si>
  <si>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</si>
  <si>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</si>
  <si>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</si>
  <si>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</si>
  <si>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</si>
  <si>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</si>
  <si>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</si>
  <si>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</si>
  <si>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</si>
  <si>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</si>
  <si>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</si>
  <si>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</si>
  <si>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</si>
  <si>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</si>
  <si>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</si>
  <si>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</si>
  <si>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</si>
  <si>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</si>
  <si>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</si>
  <si>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</si>
  <si>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</si>
  <si>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</si>
  <si>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</si>
  <si>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</si>
  <si>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</si>
  <si>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</si>
  <si>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</si>
  <si>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</si>
  <si>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</si>
  <si>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</si>
  <si>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</si>
  <si>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</si>
  <si>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</si>
  <si>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</si>
  <si>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</si>
  <si>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</si>
  <si>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</si>
  <si>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</si>
  <si>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</si>
  <si>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</si>
  <si>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</si>
  <si>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</si>
  <si>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</si>
  <si>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</si>
  <si>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</si>
  <si>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</si>
  <si>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</si>
  <si>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</si>
  <si>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</si>
  <si>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</si>
  <si>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</si>
  <si>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</si>
  <si>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</si>
  <si>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</si>
  <si>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</si>
  <si>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</si>
  <si>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</si>
  <si>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</si>
  <si>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</si>
  <si>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</si>
  <si>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</si>
  <si>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</si>
  <si>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</si>
  <si>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</si>
  <si>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</si>
  <si>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</si>
  <si>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</si>
  <si>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</si>
  <si>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</si>
  <si>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</si>
  <si>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</si>
  <si>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</si>
  <si>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</si>
  <si>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</si>
  <si>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</si>
  <si>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</si>
  <si>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</si>
  <si>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</si>
  <si>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</si>
  <si>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</si>
  <si>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</si>
  <si>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</si>
  <si>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</si>
  <si>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</si>
  <si>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</si>
  <si>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</si>
  <si>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</si>
  <si>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</si>
  <si>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</si>
  <si>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</si>
  <si>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</si>
  <si>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</si>
  <si>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</si>
  <si>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</si>
  <si>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</si>
  <si>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</si>
  <si>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</si>
  <si>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</si>
  <si>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</si>
  <si>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</si>
  <si>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</si>
  <si>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</si>
  <si>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</si>
  <si>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</si>
  <si>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</si>
  <si>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</si>
  <si>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</si>
  <si>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</si>
  <si>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</si>
  <si>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</si>
  <si>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</si>
  <si>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</si>
  <si>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</si>
  <si>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</si>
  <si>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</si>
  <si>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</si>
  <si>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</si>
  <si>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</si>
  <si>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</si>
  <si>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</si>
  <si>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</si>
  <si>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</si>
  <si>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</si>
  <si>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</si>
  <si>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</si>
  <si>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</si>
  <si>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</si>
  <si>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</si>
  <si>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</si>
  <si>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</si>
  <si>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</si>
  <si>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</si>
  <si>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</si>
  <si>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</si>
  <si>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</si>
  <si>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</si>
  <si>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</si>
  <si>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</si>
  <si>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</si>
  <si>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</si>
  <si>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</si>
  <si>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</si>
  <si>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</si>
  <si>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</si>
  <si>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</si>
  <si>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</si>
  <si>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</si>
  <si>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</si>
  <si>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</si>
  <si>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</si>
  <si>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</si>
  <si>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</si>
  <si>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</si>
  <si>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</si>
  <si>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</si>
  <si>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</si>
  <si>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</si>
  <si>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</si>
  <si>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</si>
  <si>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</si>
  <si>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</si>
  <si>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</si>
  <si>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</si>
  <si>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</si>
  <si>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</si>
  <si>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</si>
  <si>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</si>
  <si>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</si>
  <si>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</si>
  <si>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</si>
  <si>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</si>
  <si>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</si>
  <si>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</si>
  <si>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</si>
  <si>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</si>
  <si>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</si>
  <si>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</si>
  <si>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</si>
  <si>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</si>
  <si>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</si>
  <si>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</si>
  <si>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</si>
  <si>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</si>
  <si>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</si>
  <si>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</si>
  <si>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</si>
  <si>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</si>
  <si>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</si>
  <si>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</si>
  <si>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</si>
  <si>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</si>
  <si>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</si>
  <si>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</si>
  <si>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</si>
  <si>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</si>
  <si>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</si>
  <si>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</si>
  <si>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</si>
  <si>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</si>
  <si>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</si>
  <si>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</si>
  <si>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</si>
  <si>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</si>
  <si>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</si>
  <si>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</si>
  <si>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</si>
  <si>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</si>
  <si>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</si>
  <si>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</si>
  <si>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</si>
  <si>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</si>
  <si>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</si>
  <si>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</si>
  <si>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</si>
  <si>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</si>
  <si>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</si>
  <si>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</si>
  <si>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</si>
  <si>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</si>
  <si>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</si>
  <si>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</si>
  <si>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</si>
  <si>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</si>
  <si>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</si>
  <si>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</si>
  <si>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</si>
  <si>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</si>
  <si>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</si>
  <si>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</si>
  <si>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</si>
  <si>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</si>
  <si>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</si>
  <si>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</si>
  <si>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</si>
  <si>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</si>
  <si>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</si>
  <si>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</si>
  <si>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</si>
  <si>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</si>
  <si>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</si>
  <si>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</si>
  <si>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</si>
  <si>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</si>
  <si>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</si>
  <si>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>Invoice No # :124</t>
  </si>
  <si>
    <t xml:space="preserve">Address: Chatri Chowk </t>
  </si>
  <si>
    <t xml:space="preserve">Address: Lake City </t>
  </si>
  <si>
    <t>Invoice No # : 151456465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</si>
</sst>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/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46318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Jalal Sons </v>
      </c>
      <c r="T3" s="301">
        <f>+'1'!P35</f>
        <v>15170.035525423727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1307.5199999999998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7409.28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45.283688135593223</v>
      </c>
      <c r="P12" s="311">
        <f t="shared" si="2"/>
        <v>9102.0213152542365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2179.1999999999998</v>
      </c>
      <c r="K16" s="275">
        <f t="shared" si="3"/>
        <v>0</v>
      </c>
      <c r="L16" s="276">
        <f t="shared" si="3"/>
        <v>0</v>
      </c>
      <c r="M16" s="232">
        <f t="shared" si="3"/>
        <v>12348.8</v>
      </c>
      <c r="N16" s="233">
        <f>SUM(N7:N15)</f>
        <v>2745.7627118644068</v>
      </c>
      <c r="O16" s="101">
        <f>SUM(O7:O15)</f>
        <v>75.472813559322034</v>
      </c>
      <c r="P16" s="113">
        <f>SUM(P7:P15)</f>
        <v>15170.035525423727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14528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2179.1999999999998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12348.8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15094.562711864406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75.472813559322034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15170.035525423727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15170.035525423727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R7" sqref="R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46318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1307.5199999999998</v>
      </c>
      <c r="K21" s="128">
        <f t="shared" si="1"/>
        <v>0</v>
      </c>
      <c r="L21" s="119">
        <f t="shared" si="1"/>
        <v>0</v>
      </c>
      <c r="M21" s="230">
        <f t="shared" si="2"/>
        <v>7409.28</v>
      </c>
      <c r="N21" s="277">
        <f t="shared" si="3"/>
        <v>1647.4576271186443</v>
      </c>
      <c r="O21" s="239">
        <f t="shared" si="4"/>
        <v>45.283688135593223</v>
      </c>
      <c r="P21" s="311">
        <f t="shared" si="5"/>
        <v>9102.0213152542365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2179.1999999999998</v>
      </c>
      <c r="K25" s="275">
        <f t="shared" si="10"/>
        <v>0</v>
      </c>
      <c r="L25" s="276">
        <f t="shared" si="10"/>
        <v>0</v>
      </c>
      <c r="M25" s="232">
        <f t="shared" si="10"/>
        <v>12348.8</v>
      </c>
      <c r="N25" s="233">
        <f>SUM(N16:N24)</f>
        <v>2745.7627118644068</v>
      </c>
      <c r="O25" s="101">
        <f>SUM(O16:O24)</f>
        <v>75.472813559322034</v>
      </c>
      <c r="P25" s="113">
        <f>SUM(P16:P24)</f>
        <v>15170.035525423727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14528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2179.1999999999998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12348.8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15094.562711864406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75.472813559322034</v>
      </c>
    </row>
    <row r="35" spans="2:16" ht="15.75" customHeight="1" thickBot="1" x14ac:dyDescent="0.4">
      <c r="N35" s="375" t="s">
        <v>88</v>
      </c>
      <c r="O35" s="376"/>
      <c r="P35" s="297">
        <f>+P33+P34</f>
        <v>15170.035525423727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46316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46318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2026-10-23T11:38:37Z</dcterms:modified>
</cp:coreProperties>
</file>