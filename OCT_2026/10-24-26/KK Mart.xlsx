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970C711-B6E4-42A4-B06E-97193058BDC0}" xr6:coauthVersionLast="47" xr6:coauthVersionMax="47" xr10:uidLastSave="{00000000-0000-0000-0000-000000000000}"/>
  <bookViews>
    <workbookView xWindow="-110" yWindow="-110" windowWidth="19420" windowHeight="10420" tabRatio="594" firstSheet="1" activeTab="3" xr2:uid="{00000000-000D-0000-FFFF-FFFF00000000}"/>
  </bookViews>
  <sheets>
    <sheet name="Dist Price List" sheetId="5" r:id="rId1"/>
    <sheet name="Cust. Price List" sheetId="6" r:id="rId2"/>
    <sheet name="Customer Invoice" sheetId="11" state="hidden" r:id="rId3"/>
    <sheet name="Customer Invoice (2)" sheetId="12" r:id="rId4"/>
  </sheets>
  <definedNames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B22" i="12" l="1"/>
  <c r="B21" i="12"/>
  <c r="B20" i="12"/>
  <c r="B19" i="12"/>
  <c r="B18" i="12"/>
  <c r="B17" i="12"/>
  <c r="B16" i="12"/>
  <c r="C18" i="12"/>
  <c r="C22" i="12"/>
  <c r="C21" i="12"/>
  <c r="C20" i="12"/>
  <c r="C19" i="12"/>
  <c r="C17" i="12"/>
  <c r="C16" i="12"/>
  <c r="C40" i="12"/>
  <c r="Q34" i="12" l="1"/>
  <c r="I25" i="12"/>
  <c r="H25" i="12"/>
  <c r="E24" i="12"/>
  <c r="D24" i="12"/>
  <c r="B24" i="12"/>
  <c r="C24" i="12" s="1"/>
  <c r="W23" i="12"/>
  <c r="W24" i="12" s="1"/>
  <c r="V23" i="12"/>
  <c r="V24" i="12" s="1"/>
  <c r="U23" i="12"/>
  <c r="U24" i="12" s="1"/>
  <c r="E23" i="12"/>
  <c r="D23" i="12"/>
  <c r="B23" i="12"/>
  <c r="C23" i="12" s="1"/>
  <c r="E22" i="12"/>
  <c r="G22" i="12" s="1"/>
  <c r="D22" i="12"/>
  <c r="E21" i="12"/>
  <c r="G21" i="12" s="1"/>
  <c r="D21" i="12"/>
  <c r="V20" i="12"/>
  <c r="V21" i="12" s="1"/>
  <c r="E20" i="12"/>
  <c r="G20" i="12" s="1"/>
  <c r="D20" i="12"/>
  <c r="E19" i="12"/>
  <c r="G19" i="12" s="1"/>
  <c r="D19" i="12"/>
  <c r="E18" i="12"/>
  <c r="G18" i="12" s="1"/>
  <c r="D18" i="12"/>
  <c r="V17" i="12"/>
  <c r="V18" i="12" s="1"/>
  <c r="U17" i="12"/>
  <c r="U18" i="12" s="1"/>
  <c r="U19" i="12" s="1"/>
  <c r="U20" i="12" s="1"/>
  <c r="U21" i="12" s="1"/>
  <c r="E17" i="12"/>
  <c r="G17" i="12" s="1"/>
  <c r="D17" i="12"/>
  <c r="E16" i="12"/>
  <c r="G16" i="12" s="1"/>
  <c r="D16" i="12"/>
  <c r="Q15" i="12"/>
  <c r="C12" i="12"/>
  <c r="C11" i="12"/>
  <c r="P5" i="12"/>
  <c r="S17" i="11"/>
  <c r="S18" i="11" s="1"/>
  <c r="S19" i="11" s="1"/>
  <c r="S20" i="11" s="1"/>
  <c r="S21" i="11" s="1"/>
  <c r="S23" i="11" s="1"/>
  <c r="S24" i="11" s="1"/>
  <c r="T20" i="11"/>
  <c r="T21" i="11" s="1"/>
  <c r="T17" i="11"/>
  <c r="T18" i="11" s="1"/>
  <c r="T23" i="11"/>
  <c r="T24" i="11" s="1"/>
  <c r="U23" i="11"/>
  <c r="U24" i="11" s="1"/>
  <c r="P19" i="12" l="1"/>
  <c r="P16" i="12"/>
  <c r="P23" i="12"/>
  <c r="P18" i="12"/>
  <c r="P20" i="12"/>
  <c r="P17" i="12"/>
  <c r="P24" i="12"/>
  <c r="P22" i="12"/>
  <c r="P21" i="12"/>
  <c r="O15" i="11"/>
  <c r="P25" i="12" l="1"/>
  <c r="R32" i="12" s="1"/>
  <c r="F24" i="11"/>
  <c r="F21" i="11"/>
  <c r="F20" i="11"/>
  <c r="F18" i="11"/>
  <c r="F16" i="11"/>
  <c r="E24" i="11"/>
  <c r="E23" i="11"/>
  <c r="E22" i="11"/>
  <c r="E21" i="11"/>
  <c r="E20" i="11"/>
  <c r="E19" i="11"/>
  <c r="E18" i="11"/>
  <c r="E17" i="11"/>
  <c r="E16" i="11"/>
  <c r="D24" i="11"/>
  <c r="D23" i="11"/>
  <c r="D22" i="11"/>
  <c r="D21" i="11"/>
  <c r="D20" i="11"/>
  <c r="D19" i="11"/>
  <c r="D18" i="1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Q14" i="6" s="1"/>
  <c r="H14" i="6"/>
  <c r="AA13" i="6"/>
  <c r="M13" i="6"/>
  <c r="H13" i="6"/>
  <c r="AA12" i="6"/>
  <c r="M12" i="6"/>
  <c r="F22" i="11" s="1"/>
  <c r="H12" i="6"/>
  <c r="AA11" i="6"/>
  <c r="M11" i="6"/>
  <c r="H11" i="6"/>
  <c r="AA10" i="6"/>
  <c r="M10" i="6"/>
  <c r="Q10" i="6" s="1"/>
  <c r="H10" i="6"/>
  <c r="AA9" i="6"/>
  <c r="M9" i="6"/>
  <c r="H9" i="6"/>
  <c r="AA8" i="6"/>
  <c r="M8" i="6"/>
  <c r="Q8" i="6" s="1"/>
  <c r="H8" i="6"/>
  <c r="AA7" i="6"/>
  <c r="N7" i="6"/>
  <c r="M7" i="6"/>
  <c r="Q7" i="6" s="1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Q6" i="6"/>
  <c r="M6" i="6"/>
  <c r="H6" i="6"/>
  <c r="O7" i="6" l="1"/>
  <c r="S9" i="6"/>
  <c r="F19" i="12"/>
  <c r="J19" i="12" s="1"/>
  <c r="S11" i="6"/>
  <c r="F21" i="12"/>
  <c r="J21" i="12" s="1"/>
  <c r="S13" i="6"/>
  <c r="F23" i="12"/>
  <c r="J23" i="12" s="1"/>
  <c r="Q9" i="6"/>
  <c r="Q11" i="6"/>
  <c r="Q12" i="6"/>
  <c r="Q13" i="6"/>
  <c r="S7" i="6"/>
  <c r="U7" i="6" s="1"/>
  <c r="F17" i="12"/>
  <c r="J17" i="12" s="1"/>
  <c r="S8" i="6"/>
  <c r="F18" i="12"/>
  <c r="J18" i="12" s="1"/>
  <c r="S10" i="6"/>
  <c r="F20" i="12"/>
  <c r="J20" i="12" s="1"/>
  <c r="S12" i="6"/>
  <c r="F22" i="12"/>
  <c r="S14" i="6"/>
  <c r="F24" i="12"/>
  <c r="J24" i="12" s="1"/>
  <c r="F17" i="11"/>
  <c r="S6" i="6"/>
  <c r="F16" i="12"/>
  <c r="J16" i="12" s="1"/>
  <c r="F19" i="11"/>
  <c r="F23" i="11"/>
  <c r="N19" i="11"/>
  <c r="N21" i="11"/>
  <c r="S27" i="11"/>
  <c r="N24" i="11"/>
  <c r="N18" i="11"/>
  <c r="N23" i="11"/>
  <c r="N20" i="11"/>
  <c r="N17" i="11"/>
  <c r="N22" i="11"/>
  <c r="I16" i="11"/>
  <c r="N16" i="11"/>
  <c r="I20" i="11"/>
  <c r="I21" i="11"/>
  <c r="I24" i="11"/>
  <c r="I19" i="11"/>
  <c r="I18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4" i="11"/>
  <c r="N5" i="11" s="1"/>
  <c r="N16" i="12" l="1"/>
  <c r="K16" i="12"/>
  <c r="M16" i="12"/>
  <c r="L16" i="12"/>
  <c r="K18" i="12"/>
  <c r="L18" i="12"/>
  <c r="N18" i="12"/>
  <c r="M18" i="12"/>
  <c r="L23" i="12"/>
  <c r="N23" i="12"/>
  <c r="K23" i="12"/>
  <c r="M19" i="12"/>
  <c r="K19" i="12"/>
  <c r="N19" i="12"/>
  <c r="L19" i="12"/>
  <c r="U27" i="12"/>
  <c r="J22" i="12"/>
  <c r="J25" i="12" s="1"/>
  <c r="R28" i="12" s="1"/>
  <c r="U6" i="6"/>
  <c r="N24" i="12"/>
  <c r="K24" i="12"/>
  <c r="O24" i="12" s="1"/>
  <c r="Q24" i="12" s="1"/>
  <c r="R24" i="12" s="1"/>
  <c r="L24" i="12"/>
  <c r="M20" i="12"/>
  <c r="L20" i="12"/>
  <c r="K20" i="12"/>
  <c r="N20" i="12"/>
  <c r="M17" i="12"/>
  <c r="K17" i="12"/>
  <c r="L17" i="12"/>
  <c r="N17" i="12"/>
  <c r="N21" i="12"/>
  <c r="L21" i="12"/>
  <c r="M21" i="12"/>
  <c r="K21" i="12"/>
  <c r="K16" i="11"/>
  <c r="J19" i="11"/>
  <c r="J16" i="11"/>
  <c r="L24" i="11"/>
  <c r="K24" i="11"/>
  <c r="J24" i="11"/>
  <c r="J21" i="11"/>
  <c r="L21" i="11"/>
  <c r="K21" i="11"/>
  <c r="K20" i="11"/>
  <c r="L20" i="11"/>
  <c r="J20" i="11"/>
  <c r="K19" i="11"/>
  <c r="L19" i="11"/>
  <c r="J18" i="11"/>
  <c r="L18" i="11"/>
  <c r="K18" i="11"/>
  <c r="L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O18" i="12" l="1"/>
  <c r="Q18" i="12" s="1"/>
  <c r="R18" i="12" s="1"/>
  <c r="O19" i="12"/>
  <c r="Q19" i="12" s="1"/>
  <c r="R19" i="12" s="1"/>
  <c r="O20" i="12"/>
  <c r="Q20" i="12" s="1"/>
  <c r="R20" i="12" s="1"/>
  <c r="O17" i="12"/>
  <c r="Q17" i="12" s="1"/>
  <c r="R17" i="12" s="1"/>
  <c r="O16" i="12"/>
  <c r="O21" i="12"/>
  <c r="Q21" i="12" s="1"/>
  <c r="R21" i="12" s="1"/>
  <c r="K22" i="12"/>
  <c r="K25" i="12" s="1"/>
  <c r="R29" i="12" s="1"/>
  <c r="L22" i="12"/>
  <c r="O22" i="12" s="1"/>
  <c r="Q22" i="12" s="1"/>
  <c r="R22" i="12" s="1"/>
  <c r="N22" i="12"/>
  <c r="M22" i="12"/>
  <c r="M25" i="12" s="1"/>
  <c r="O23" i="12"/>
  <c r="Q23" i="12" s="1"/>
  <c r="R23" i="12" s="1"/>
  <c r="N25" i="12"/>
  <c r="M18" i="11"/>
  <c r="M21" i="11"/>
  <c r="O21" i="11" s="1"/>
  <c r="M20" i="11"/>
  <c r="M24" i="11"/>
  <c r="O24" i="11" s="1"/>
  <c r="P24" i="11" s="1"/>
  <c r="M19" i="11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L25" i="12" l="1"/>
  <c r="R30" i="12" s="1"/>
  <c r="R31" i="12" s="1"/>
  <c r="R33" i="12" s="1"/>
  <c r="R34" i="12" s="1"/>
  <c r="R35" i="12" s="1"/>
  <c r="Q16" i="12"/>
  <c r="O25" i="12"/>
  <c r="O16" i="11"/>
  <c r="P16" i="11" s="1"/>
  <c r="P21" i="11"/>
  <c r="O20" i="11"/>
  <c r="P20" i="11" s="1"/>
  <c r="O18" i="11"/>
  <c r="P18" i="11" s="1"/>
  <c r="O19" i="11"/>
  <c r="P19" i="11" s="1"/>
  <c r="O10" i="6"/>
  <c r="U10" i="6" s="1"/>
  <c r="N11" i="6"/>
  <c r="W9" i="6"/>
  <c r="Y9" i="6" s="1"/>
  <c r="T9" i="6"/>
  <c r="V8" i="6"/>
  <c r="X8" i="6" s="1"/>
  <c r="U3" i="5"/>
  <c r="R16" i="12" l="1"/>
  <c r="R25" i="12" s="1"/>
  <c r="Q25" i="12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L23" i="11" l="1"/>
  <c r="K23" i="11"/>
  <c r="J23" i="11"/>
  <c r="J22" i="11"/>
  <c r="L22" i="11"/>
  <c r="K22" i="11"/>
  <c r="K17" i="11"/>
  <c r="J17" i="11"/>
  <c r="L17" i="1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O20" i="5" s="1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J25" i="11"/>
  <c r="P29" i="11" s="1"/>
  <c r="M23" i="11"/>
  <c r="M22" i="1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Q5" i="5" s="1"/>
  <c r="N5" i="5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P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O24" i="5" s="1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W13" i="6" l="1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P22" i="11" s="1"/>
  <c r="O17" i="11"/>
  <c r="P17" i="11" s="1"/>
  <c r="O23" i="11"/>
  <c r="P23" i="11" s="1"/>
  <c r="V14" i="6"/>
  <c r="X14" i="6" s="1"/>
  <c r="V13" i="6"/>
  <c r="X13" i="6" s="1"/>
  <c r="M25" i="11"/>
  <c r="P5" i="5" l="1"/>
  <c r="N25" i="11" l="1"/>
  <c r="P32" i="11" s="1"/>
  <c r="P33" i="11" s="1"/>
  <c r="P34" i="11" l="1"/>
  <c r="P35" i="11" s="1"/>
  <c r="O25" i="11"/>
  <c r="P25" i="11"/>
</calcChain>
</file>

<file path=xl/sharedStrings.xml><?xml version="1.0" encoding="utf-8"?>
<sst xmlns="http://schemas.openxmlformats.org/spreadsheetml/2006/main" count="330" uniqueCount="159">
  <si>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</si>
  <si>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</si>
  <si>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</si>
  <si>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</si>
  <si>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</si>
  <si>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</si>
  <si>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</si>
  <si>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</si>
  <si>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</si>
  <si>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</si>
  <si>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</si>
  <si>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</si>
  <si>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</si>
  <si>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</si>
  <si>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</si>
  <si>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</si>
  <si>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</si>
  <si>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</si>
  <si>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</si>
  <si>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</si>
  <si>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</si>
  <si>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</si>
  <si>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</si>
  <si>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</si>
  <si>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</si>
  <si>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</si>
  <si>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</si>
  <si>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</si>
  <si>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</si>
  <si>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</si>
  <si>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</si>
  <si>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</si>
  <si>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</si>
  <si>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</si>
  <si>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</si>
  <si>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</si>
  <si>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</si>
  <si>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</si>
  <si>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</si>
  <si>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</si>
  <si>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</si>
  <si>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</si>
  <si>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</si>
  <si>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</si>
  <si>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</si>
  <si>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</si>
  <si>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</si>
  <si>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</si>
  <si>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</si>
  <si>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</si>
  <si>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</si>
  <si>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</si>
  <si>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</si>
  <si>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</si>
  <si>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</si>
  <si>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</si>
  <si>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</si>
  <si>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</si>
  <si>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</si>
  <si>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</si>
  <si>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</si>
  <si>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</si>
  <si>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</si>
  <si>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</si>
  <si>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</si>
  <si>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</si>
  <si>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</si>
  <si>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</si>
  <si>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</si>
  <si>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</si>
  <si>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</si>
  <si>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</si>
  <si>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</si>
  <si>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</si>
  <si>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</si>
  <si>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</si>
  <si>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</si>
  <si>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</si>
  <si>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</si>
  <si>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</si>
  <si>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</si>
  <si>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</si>
  <si>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</si>
  <si>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</si>
  <si>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</si>
  <si>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</si>
  <si>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</si>
  <si>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</si>
  <si>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</si>
  <si>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44A- Gulberg Lahore</t>
  </si>
  <si>
    <t>Customer Name :</t>
  </si>
  <si>
    <t>Address:</t>
  </si>
  <si>
    <t>Channel Type:Retail/LMT</t>
  </si>
  <si>
    <t xml:space="preserve">Sub-Channel:General/medical/LMT Store / </t>
  </si>
  <si>
    <t>Monday/Tuesday</t>
  </si>
  <si>
    <t>Tuesday / Wednesday</t>
  </si>
  <si>
    <t>Wednesday/Thursday</t>
  </si>
  <si>
    <t>Friday / Saturday</t>
  </si>
  <si>
    <t>Saturday /Monday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</si>
  <si>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</si>
  <si>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</si>
  <si>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</si>
  <si>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</si>
  <si>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</si>
  <si>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</si>
  <si>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</si>
  <si>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</si>
  <si>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</si>
  <si>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</si>
  <si>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</si>
  <si>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</si>
  <si>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</si>
  <si>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</si>
  <si>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</si>
  <si>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</si>
  <si>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</si>
  <si>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</si>
  <si>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</si>
  <si>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</si>
  <si>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</si>
  <si>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</si>
  <si>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</si>
  <si>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</si>
  <si>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</si>
  <si>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</si>
  <si>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</si>
  <si>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</si>
  <si>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</si>
  <si>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</si>
  <si>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</si>
  <si>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</si>
  <si>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</si>
  <si>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</si>
  <si>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</si>
  <si>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NTN Status:</t>
  </si>
  <si>
    <t>STRN Status:</t>
  </si>
  <si>
    <t>Customer Code :</t>
  </si>
  <si>
    <t>additional</t>
  </si>
  <si>
    <t>MRP</t>
  </si>
  <si>
    <t>GST 18%</t>
  </si>
  <si>
    <t>Discount Slab</t>
  </si>
  <si>
    <t>Add.</t>
  </si>
  <si>
    <t>ABC</t>
  </si>
  <si>
    <t>T.P  Exclu. GST</t>
  </si>
  <si>
    <t>MRP  Exclu. GST</t>
  </si>
  <si>
    <t>GST on MRP</t>
  </si>
  <si>
    <t>Regular</t>
  </si>
  <si>
    <t>Discount</t>
  </si>
  <si>
    <t xml:space="preserve">Display </t>
  </si>
  <si>
    <t>Induction</t>
  </si>
  <si>
    <t>Additional Discount</t>
  </si>
  <si>
    <t>Discount in shape of display</t>
  </si>
  <si>
    <t>Discount in shape of Induction</t>
  </si>
  <si>
    <t>Additional(TO)</t>
  </si>
  <si>
    <t>KK MART</t>
  </si>
  <si>
    <t>NTN #: I978845-5</t>
  </si>
  <si>
    <t>Address:Gulberg Main Market Road</t>
  </si>
  <si>
    <t>Invoice No # :0001</t>
  </si>
  <si>
    <t>Shakoor 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</si>
</sst>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0000"/>
    <numFmt numFmtId="170" formatCode="0.000%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37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7" fillId="0" borderId="19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7" fillId="0" borderId="40" xfId="0" applyFont="1" applyBorder="1" applyAlignment="1">
      <alignment horizontal="center" vertical="center" wrapText="1"/>
    </xf>
    <xf numFmtId="3" fontId="16" fillId="0" borderId="2" xfId="0" applyNumberFormat="1" applyFont="1" applyBorder="1" applyAlignment="1">
      <alignment horizontal="center" vertical="top" shrinkToFit="1"/>
    </xf>
    <xf numFmtId="3" fontId="16" fillId="0" borderId="15" xfId="0" applyNumberFormat="1" applyFont="1" applyBorder="1" applyAlignment="1">
      <alignment horizontal="center" vertical="top" shrinkToFit="1"/>
    </xf>
    <xf numFmtId="10" fontId="0" fillId="0" borderId="0" xfId="0" applyNumberFormat="1"/>
    <xf numFmtId="2" fontId="1" fillId="0" borderId="41" xfId="0" applyNumberFormat="1" applyFont="1" applyBorder="1" applyAlignment="1">
      <alignment horizontal="center"/>
    </xf>
    <xf numFmtId="0" fontId="17" fillId="0" borderId="38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left" vertical="center"/>
    </xf>
    <xf numFmtId="0" fontId="0" fillId="2" borderId="4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30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7" fillId="0" borderId="15" xfId="0" applyFont="1" applyBorder="1" applyAlignment="1">
      <alignment horizontal="center" vertical="center" wrapText="1"/>
    </xf>
    <xf numFmtId="3" fontId="16" fillId="0" borderId="45" xfId="0" applyNumberFormat="1" applyFont="1" applyBorder="1" applyAlignment="1">
      <alignment horizontal="center" vertical="top" shrinkToFit="1"/>
    </xf>
    <xf numFmtId="1" fontId="1" fillId="0" borderId="44" xfId="0" applyNumberFormat="1" applyFont="1" applyBorder="1" applyAlignment="1">
      <alignment horizontal="center"/>
    </xf>
    <xf numFmtId="0" fontId="17" fillId="0" borderId="11" xfId="0" applyFont="1" applyBorder="1" applyAlignment="1">
      <alignment horizontal="center" vertical="center" wrapText="1"/>
    </xf>
    <xf numFmtId="1" fontId="1" fillId="0" borderId="47" xfId="0" applyNumberFormat="1" applyFon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0" xfId="0" applyNumberFormat="1"/>
    <xf numFmtId="9" fontId="17" fillId="0" borderId="1" xfId="0" applyNumberFormat="1" applyFont="1" applyBorder="1" applyAlignment="1">
      <alignment horizontal="center" wrapText="1"/>
    </xf>
    <xf numFmtId="165" fontId="0" fillId="0" borderId="0" xfId="0" applyNumberFormat="1"/>
    <xf numFmtId="0" fontId="17" fillId="0" borderId="12" xfId="0" applyFont="1" applyBorder="1" applyAlignment="1">
      <alignment horizontal="center" wrapText="1"/>
    </xf>
    <xf numFmtId="10" fontId="17" fillId="0" borderId="1" xfId="2" applyNumberFormat="1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166" fontId="17" fillId="0" borderId="19" xfId="0" applyNumberFormat="1" applyFont="1" applyBorder="1" applyAlignment="1">
      <alignment horizontal="right" wrapText="1"/>
    </xf>
    <xf numFmtId="2" fontId="17" fillId="0" borderId="20" xfId="0" applyNumberFormat="1" applyFont="1" applyBorder="1" applyAlignment="1">
      <alignment horizontal="right" wrapText="1"/>
    </xf>
    <xf numFmtId="2" fontId="0" fillId="0" borderId="0" xfId="0" applyNumberFormat="1"/>
    <xf numFmtId="0" fontId="17" fillId="0" borderId="47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23" fillId="0" borderId="0" xfId="0" applyFont="1"/>
    <xf numFmtId="2" fontId="0" fillId="0" borderId="0" xfId="0" applyNumberFormat="1" applyAlignment="1">
      <alignment horizontal="center"/>
    </xf>
    <xf numFmtId="0" fontId="24" fillId="2" borderId="5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vertical="center" wrapText="1"/>
    </xf>
    <xf numFmtId="0" fontId="24" fillId="2" borderId="55" xfId="0" applyFont="1" applyFill="1" applyBorder="1" applyAlignment="1">
      <alignment horizontal="center" vertical="center" wrapText="1"/>
    </xf>
    <xf numFmtId="2" fontId="24" fillId="2" borderId="55" xfId="0" applyNumberFormat="1" applyFont="1" applyFill="1" applyBorder="1" applyAlignment="1">
      <alignment horizontal="center" vertical="center" wrapText="1"/>
    </xf>
    <xf numFmtId="43" fontId="24" fillId="2" borderId="55" xfId="1" applyFont="1" applyFill="1" applyBorder="1" applyAlignment="1">
      <alignment horizontal="center" vertical="center" wrapText="1"/>
    </xf>
    <xf numFmtId="9" fontId="24" fillId="2" borderId="1" xfId="2" applyFont="1" applyFill="1" applyBorder="1" applyAlignment="1">
      <alignment horizontal="center" vertical="center" wrapText="1"/>
    </xf>
    <xf numFmtId="43" fontId="24" fillId="2" borderId="1" xfId="1" applyFont="1" applyFill="1" applyBorder="1" applyAlignment="1">
      <alignment vertical="center" wrapText="1"/>
    </xf>
    <xf numFmtId="43" fontId="24" fillId="2" borderId="55" xfId="1" applyFont="1" applyFill="1" applyBorder="1" applyAlignment="1">
      <alignment vertical="center" wrapText="1"/>
    </xf>
    <xf numFmtId="165" fontId="24" fillId="2" borderId="1" xfId="2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26" fillId="2" borderId="1" xfId="0" applyNumberFormat="1" applyFont="1" applyFill="1" applyBorder="1" applyAlignment="1">
      <alignment horizontal="center" vertical="center"/>
    </xf>
    <xf numFmtId="1" fontId="26" fillId="2" borderId="1" xfId="4" applyNumberFormat="1" applyFont="1" applyFill="1" applyBorder="1" applyAlignment="1">
      <alignment horizontal="center" vertical="center"/>
    </xf>
    <xf numFmtId="2" fontId="26" fillId="2" borderId="1" xfId="4" applyNumberFormat="1" applyFont="1" applyFill="1" applyBorder="1" applyAlignment="1">
      <alignment horizontal="center" vertical="center"/>
    </xf>
    <xf numFmtId="10" fontId="26" fillId="2" borderId="1" xfId="2" applyNumberFormat="1" applyFont="1" applyFill="1" applyBorder="1" applyAlignment="1">
      <alignment horizontal="center" vertical="center"/>
    </xf>
    <xf numFmtId="166" fontId="26" fillId="2" borderId="1" xfId="4" applyNumberFormat="1" applyFont="1" applyFill="1" applyBorder="1" applyAlignment="1">
      <alignment horizontal="center" vertical="center"/>
    </xf>
    <xf numFmtId="9" fontId="26" fillId="2" borderId="1" xfId="2" applyFont="1" applyFill="1" applyBorder="1" applyAlignment="1">
      <alignment horizontal="center" vertical="center"/>
    </xf>
    <xf numFmtId="165" fontId="26" fillId="2" borderId="1" xfId="2" applyNumberFormat="1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vertical="center"/>
    </xf>
    <xf numFmtId="0" fontId="22" fillId="5" borderId="1" xfId="0" applyFont="1" applyFill="1" applyBorder="1" applyAlignment="1">
      <alignment horizontal="center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" xfId="4" applyNumberFormat="1" applyFont="1" applyFill="1" applyBorder="1" applyAlignment="1">
      <alignment horizontal="center" vertical="center"/>
    </xf>
    <xf numFmtId="2" fontId="26" fillId="5" borderId="1" xfId="4" applyNumberFormat="1" applyFont="1" applyFill="1" applyBorder="1" applyAlignment="1">
      <alignment horizontal="center" vertical="center"/>
    </xf>
    <xf numFmtId="9" fontId="26" fillId="5" borderId="1" xfId="2" applyFont="1" applyFill="1" applyBorder="1" applyAlignment="1">
      <alignment horizontal="center" vertical="center"/>
    </xf>
    <xf numFmtId="166" fontId="26" fillId="5" borderId="1" xfId="4" applyNumberFormat="1" applyFont="1" applyFill="1" applyBorder="1" applyAlignment="1">
      <alignment horizontal="center" vertical="center"/>
    </xf>
    <xf numFmtId="165" fontId="26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26" fillId="5" borderId="1" xfId="0" applyFont="1" applyFill="1" applyBorder="1" applyAlignment="1">
      <alignment horizontal="left" vertical="center"/>
    </xf>
    <xf numFmtId="0" fontId="26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26" fillId="2" borderId="0" xfId="0" applyNumberFormat="1" applyFont="1" applyFill="1" applyAlignment="1">
      <alignment horizontal="center" vertical="center"/>
    </xf>
    <xf numFmtId="1" fontId="26" fillId="2" borderId="0" xfId="4" applyNumberFormat="1" applyFont="1" applyFill="1" applyBorder="1" applyAlignment="1">
      <alignment horizontal="center" vertical="center"/>
    </xf>
    <xf numFmtId="2" fontId="26" fillId="2" borderId="0" xfId="4" applyNumberFormat="1" applyFont="1" applyFill="1" applyBorder="1" applyAlignment="1">
      <alignment horizontal="center" vertical="center"/>
    </xf>
    <xf numFmtId="9" fontId="26" fillId="2" borderId="0" xfId="2" applyFont="1" applyFill="1" applyBorder="1" applyAlignment="1">
      <alignment horizontal="center" vertical="center"/>
    </xf>
    <xf numFmtId="166" fontId="26" fillId="2" borderId="0" xfId="4" applyNumberFormat="1" applyFont="1" applyFill="1" applyBorder="1" applyAlignment="1">
      <alignment horizontal="center" vertical="center"/>
    </xf>
    <xf numFmtId="165" fontId="26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 vertical="center"/>
    </xf>
    <xf numFmtId="1" fontId="26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4" fillId="2" borderId="1" xfId="0" applyNumberFormat="1" applyFont="1" applyFill="1" applyBorder="1" applyAlignment="1">
      <alignment horizontal="center" vertical="center"/>
    </xf>
    <xf numFmtId="1" fontId="26" fillId="2" borderId="1" xfId="5" applyNumberFormat="1" applyFont="1" applyFill="1" applyBorder="1" applyAlignment="1">
      <alignment horizontal="center" vertical="center"/>
    </xf>
    <xf numFmtId="168" fontId="26" fillId="2" borderId="1" xfId="4" applyNumberFormat="1" applyFont="1" applyFill="1" applyBorder="1" applyAlignment="1">
      <alignment horizontal="center" vertical="center"/>
    </xf>
    <xf numFmtId="1" fontId="23" fillId="0" borderId="0" xfId="0" applyNumberFormat="1" applyFont="1"/>
    <xf numFmtId="165" fontId="17" fillId="0" borderId="26" xfId="2" applyNumberFormat="1" applyFont="1" applyBorder="1" applyAlignment="1">
      <alignment horizontal="center" vertical="center" wrapText="1"/>
    </xf>
    <xf numFmtId="1" fontId="0" fillId="0" borderId="49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1" fillId="0" borderId="36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" fontId="1" fillId="0" borderId="48" xfId="0" applyNumberFormat="1" applyFont="1" applyBorder="1" applyAlignment="1">
      <alignment horizontal="center"/>
    </xf>
    <xf numFmtId="2" fontId="0" fillId="0" borderId="46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10" fontId="0" fillId="0" borderId="1" xfId="2" applyNumberFormat="1" applyFon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28" fillId="0" borderId="0" xfId="2" applyFont="1" applyAlignment="1">
      <alignment horizontal="center"/>
    </xf>
    <xf numFmtId="0" fontId="17" fillId="0" borderId="4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1" fillId="0" borderId="47" xfId="0" applyNumberFormat="1" applyFont="1" applyBorder="1" applyAlignment="1">
      <alignment horizontal="center"/>
    </xf>
    <xf numFmtId="166" fontId="1" fillId="0" borderId="41" xfId="0" applyNumberFormat="1" applyFon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6" fillId="0" borderId="46" xfId="0" applyNumberFormat="1" applyFont="1" applyBorder="1" applyAlignment="1">
      <alignment horizontal="center" vertical="top" shrinkToFit="1"/>
    </xf>
    <xf numFmtId="3" fontId="16" fillId="0" borderId="3" xfId="0" applyNumberFormat="1" applyFont="1" applyBorder="1" applyAlignment="1">
      <alignment horizontal="center" vertical="top" shrinkToFit="1"/>
    </xf>
    <xf numFmtId="3" fontId="16" fillId="0" borderId="39" xfId="0" applyNumberFormat="1" applyFont="1" applyBorder="1" applyAlignment="1">
      <alignment horizontal="center" vertical="top" shrinkToFit="1"/>
    </xf>
    <xf numFmtId="0" fontId="0" fillId="2" borderId="29" xfId="0" applyFill="1" applyBorder="1" applyAlignment="1">
      <alignment horizontal="center" vertical="center"/>
    </xf>
    <xf numFmtId="2" fontId="0" fillId="2" borderId="30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1" fontId="17" fillId="0" borderId="21" xfId="0" applyNumberFormat="1" applyFont="1" applyBorder="1" applyAlignment="1">
      <alignment horizontal="right" wrapText="1"/>
    </xf>
    <xf numFmtId="0" fontId="17" fillId="0" borderId="57" xfId="0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9" fontId="0" fillId="0" borderId="1" xfId="2" applyFont="1" applyBorder="1" applyAlignment="1">
      <alignment horizontal="center"/>
    </xf>
    <xf numFmtId="9" fontId="0" fillId="0" borderId="10" xfId="2" applyFon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9" fontId="0" fillId="0" borderId="5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10" fontId="0" fillId="0" borderId="14" xfId="2" applyNumberFormat="1" applyFont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0" fontId="0" fillId="0" borderId="0" xfId="2" applyNumberFormat="1" applyFont="1"/>
    <xf numFmtId="2" fontId="0" fillId="0" borderId="0" xfId="2" applyNumberFormat="1" applyFont="1"/>
    <xf numFmtId="1" fontId="0" fillId="0" borderId="29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7" fillId="0" borderId="2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2" fontId="0" fillId="2" borderId="54" xfId="0" applyNumberFormat="1" applyFill="1" applyBorder="1" applyAlignment="1">
      <alignment horizontal="center" vertical="center"/>
    </xf>
    <xf numFmtId="2" fontId="0" fillId="2" borderId="59" xfId="0" applyNumberFormat="1" applyFill="1" applyBorder="1" applyAlignment="1">
      <alignment horizontal="center" vertical="center"/>
    </xf>
    <xf numFmtId="0" fontId="17" fillId="0" borderId="51" xfId="0" applyFont="1" applyBorder="1" applyAlignment="1">
      <alignment horizontal="center" wrapText="1"/>
    </xf>
    <xf numFmtId="2" fontId="0" fillId="2" borderId="1" xfId="0" applyNumberForma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/>
    </xf>
    <xf numFmtId="1" fontId="1" fillId="0" borderId="27" xfId="0" applyNumberFormat="1" applyFont="1" applyBorder="1" applyAlignment="1">
      <alignment horizontal="center"/>
    </xf>
    <xf numFmtId="1" fontId="1" fillId="0" borderId="60" xfId="0" applyNumberFormat="1" applyFont="1" applyBorder="1" applyAlignment="1">
      <alignment horizontal="center"/>
    </xf>
    <xf numFmtId="166" fontId="1" fillId="0" borderId="22" xfId="0" applyNumberFormat="1" applyFont="1" applyBorder="1" applyAlignment="1">
      <alignment horizontal="center"/>
    </xf>
    <xf numFmtId="166" fontId="1" fillId="0" borderId="23" xfId="0" applyNumberFormat="1" applyFont="1" applyBorder="1" applyAlignment="1">
      <alignment horizontal="center"/>
    </xf>
    <xf numFmtId="166" fontId="1" fillId="0" borderId="24" xfId="0" applyNumberFormat="1" applyFont="1" applyBorder="1" applyAlignment="1">
      <alignment horizontal="center"/>
    </xf>
    <xf numFmtId="1" fontId="1" fillId="0" borderId="33" xfId="0" applyNumberFormat="1" applyFont="1" applyBorder="1" applyAlignment="1">
      <alignment horizontal="center"/>
    </xf>
    <xf numFmtId="1" fontId="1" fillId="0" borderId="61" xfId="0" applyNumberFormat="1" applyFont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1" fontId="1" fillId="0" borderId="24" xfId="0" applyNumberFormat="1" applyFon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2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29" fillId="0" borderId="10" xfId="0" applyFont="1" applyBorder="1" applyAlignment="1">
      <alignment horizontal="center" wrapText="1"/>
    </xf>
    <xf numFmtId="0" fontId="22" fillId="0" borderId="5" xfId="0" applyFont="1" applyBorder="1"/>
    <xf numFmtId="165" fontId="22" fillId="0" borderId="62" xfId="0" applyNumberFormat="1" applyFont="1" applyBorder="1" applyAlignment="1">
      <alignment horizontal="center"/>
    </xf>
    <xf numFmtId="0" fontId="29" fillId="0" borderId="12" xfId="0" applyFont="1" applyBorder="1" applyAlignment="1">
      <alignment horizontal="center" wrapText="1"/>
    </xf>
    <xf numFmtId="0" fontId="22" fillId="0" borderId="1" xfId="0" applyFont="1" applyBorder="1"/>
    <xf numFmtId="165" fontId="22" fillId="0" borderId="9" xfId="0" applyNumberFormat="1" applyFont="1" applyBorder="1" applyAlignment="1">
      <alignment horizontal="center"/>
    </xf>
    <xf numFmtId="0" fontId="29" fillId="0" borderId="63" xfId="0" applyFont="1" applyBorder="1" applyAlignment="1">
      <alignment horizontal="center" wrapText="1"/>
    </xf>
    <xf numFmtId="0" fontId="22" fillId="0" borderId="55" xfId="0" applyFont="1" applyBorder="1"/>
    <xf numFmtId="165" fontId="22" fillId="0" borderId="64" xfId="0" applyNumberFormat="1" applyFont="1" applyBorder="1" applyAlignment="1">
      <alignment horizontal="center"/>
    </xf>
    <xf numFmtId="165" fontId="30" fillId="0" borderId="60" xfId="0" applyNumberFormat="1" applyFont="1" applyBorder="1" applyAlignment="1">
      <alignment horizontal="center"/>
    </xf>
    <xf numFmtId="166" fontId="0" fillId="0" borderId="29" xfId="0" applyNumberFormat="1" applyBorder="1" applyAlignment="1">
      <alignment horizontal="center"/>
    </xf>
    <xf numFmtId="166" fontId="0" fillId="0" borderId="45" xfId="0" applyNumberFormat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6" fontId="0" fillId="0" borderId="30" xfId="0" applyNumberFormat="1" applyBorder="1" applyAlignment="1">
      <alignment horizontal="center"/>
    </xf>
    <xf numFmtId="0" fontId="17" fillId="0" borderId="33" xfId="0" applyFont="1" applyBorder="1" applyAlignment="1">
      <alignment vertical="center" wrapText="1"/>
    </xf>
    <xf numFmtId="9" fontId="9" fillId="0" borderId="31" xfId="2" applyFont="1" applyBorder="1" applyAlignment="1">
      <alignment horizontal="center"/>
    </xf>
    <xf numFmtId="9" fontId="9" fillId="0" borderId="32" xfId="2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/>
    </xf>
    <xf numFmtId="0" fontId="1" fillId="0" borderId="54" xfId="0" applyFont="1" applyBorder="1" applyAlignment="1">
      <alignment horizontal="center"/>
    </xf>
    <xf numFmtId="0" fontId="24" fillId="2" borderId="55" xfId="0" applyFont="1" applyFill="1" applyBorder="1" applyAlignment="1">
      <alignment horizontal="center" vertical="center"/>
    </xf>
    <xf numFmtId="0" fontId="24" fillId="2" borderId="56" xfId="0" applyFont="1" applyFill="1" applyBorder="1" applyAlignment="1">
      <alignment horizontal="center" vertical="center"/>
    </xf>
    <xf numFmtId="0" fontId="24" fillId="2" borderId="40" xfId="0" applyFont="1" applyFill="1" applyBorder="1" applyAlignment="1">
      <alignment horizontal="center" vertical="center"/>
    </xf>
    <xf numFmtId="0" fontId="24" fillId="2" borderId="41" xfId="0" applyFont="1" applyFill="1" applyBorder="1" applyAlignment="1">
      <alignment horizontal="center" vertical="center"/>
    </xf>
    <xf numFmtId="0" fontId="24" fillId="2" borderId="55" xfId="0" applyFont="1" applyFill="1" applyBorder="1" applyAlignment="1">
      <alignment horizontal="left" vertical="center"/>
    </xf>
    <xf numFmtId="0" fontId="24" fillId="2" borderId="56" xfId="0" applyFont="1" applyFill="1" applyBorder="1" applyAlignment="1">
      <alignment horizontal="left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43" fontId="24" fillId="2" borderId="2" xfId="1" applyFont="1" applyFill="1" applyBorder="1" applyAlignment="1">
      <alignment horizontal="center" vertical="center" wrapText="1"/>
    </xf>
    <xf numFmtId="43" fontId="24" fillId="2" borderId="3" xfId="1" applyFont="1" applyFill="1" applyBorder="1" applyAlignment="1">
      <alignment horizontal="center" vertical="center" wrapText="1"/>
    </xf>
    <xf numFmtId="10" fontId="24" fillId="2" borderId="1" xfId="1" applyNumberFormat="1" applyFont="1" applyFill="1" applyBorder="1" applyAlignment="1">
      <alignment horizontal="center" vertical="center" wrapText="1"/>
    </xf>
    <xf numFmtId="43" fontId="24" fillId="2" borderId="1" xfId="1" applyFont="1" applyFill="1" applyBorder="1" applyAlignment="1">
      <alignment horizontal="center" vertical="center"/>
    </xf>
    <xf numFmtId="43" fontId="24" fillId="2" borderId="2" xfId="1" applyFont="1" applyFill="1" applyBorder="1" applyAlignment="1">
      <alignment horizontal="center" vertical="center"/>
    </xf>
    <xf numFmtId="43" fontId="24" fillId="2" borderId="3" xfId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167" fontId="0" fillId="0" borderId="0" xfId="0" applyNumberFormat="1" applyAlignment="1">
      <alignment horizontal="left" wrapText="1"/>
    </xf>
    <xf numFmtId="0" fontId="17" fillId="0" borderId="18" xfId="0" applyFont="1" applyBorder="1" applyAlignment="1">
      <alignment horizontal="center" wrapText="1"/>
    </xf>
    <xf numFmtId="0" fontId="17" fillId="0" borderId="52" xfId="0" applyFont="1" applyBorder="1" applyAlignment="1">
      <alignment horizontal="center" wrapText="1"/>
    </xf>
    <xf numFmtId="2" fontId="17" fillId="0" borderId="53" xfId="0" applyNumberFormat="1" applyFont="1" applyBorder="1" applyAlignment="1">
      <alignment horizontal="center" vertical="center" wrapText="1"/>
    </xf>
    <xf numFmtId="2" fontId="17" fillId="0" borderId="33" xfId="0" applyNumberFormat="1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7" fillId="0" borderId="13" xfId="0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41" xfId="0" applyFont="1" applyBorder="1" applyAlignment="1">
      <alignment horizontal="center" wrapText="1"/>
    </xf>
    <xf numFmtId="0" fontId="17" fillId="0" borderId="44" xfId="0" applyFont="1" applyBorder="1" applyAlignment="1">
      <alignment horizontal="center" wrapText="1"/>
    </xf>
    <xf numFmtId="0" fontId="17" fillId="0" borderId="47" xfId="0" applyFont="1" applyBorder="1" applyAlignment="1">
      <alignment horizontal="center" wrapText="1"/>
    </xf>
    <xf numFmtId="0" fontId="20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7" fillId="0" borderId="1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 wrapText="1"/>
    </xf>
    <xf numFmtId="9" fontId="17" fillId="0" borderId="28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7" fillId="0" borderId="22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7" fillId="0" borderId="50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BB059BD-96BC-4273-A3E1-30EEAFE38330}"/>
    <cellStyle name="Comma 2170" xfId="3" xr:uid="{00000000-0005-0000-0000-000001000000}"/>
    <cellStyle name="Comma 4" xfId="5" xr:uid="{4271614A-78C0-4CAE-BE3B-2F56C234B4D3}"/>
    <cellStyle name="Normal" xfId="0" builtinId="0"/>
    <cellStyle name="Percent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N7" sqref="N7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6" t="s">
        <v>24</v>
      </c>
      <c r="B2" s="306"/>
      <c r="C2" s="306"/>
      <c r="D2" s="306"/>
      <c r="E2" s="306"/>
      <c r="F2" s="306"/>
      <c r="G2" s="306"/>
      <c r="H2" s="306"/>
    </row>
    <row r="3" spans="1:21" ht="18" thickBot="1" x14ac:dyDescent="0.35">
      <c r="A3" s="307" t="s">
        <v>15</v>
      </c>
      <c r="B3" s="307"/>
      <c r="C3" s="307"/>
      <c r="D3" s="307"/>
      <c r="E3" s="307"/>
      <c r="F3" s="307"/>
      <c r="G3" s="307"/>
      <c r="H3" s="30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02" t="s">
        <v>37</v>
      </c>
      <c r="P3" s="30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08" t="s">
        <v>25</v>
      </c>
      <c r="D4" s="30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4" t="s">
        <v>30</v>
      </c>
      <c r="H13" s="30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4" t="s">
        <v>30</v>
      </c>
      <c r="H26" s="30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4" t="s">
        <v>30</v>
      </c>
      <c r="H37" s="30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71"/>
  <sheetViews>
    <sheetView workbookViewId="0">
      <pane xSplit="17" ySplit="7" topLeftCell="Y8" activePane="bottomRight" state="frozen"/>
      <selection pane="topRight" activeCell="L1" sqref="L1"/>
      <selection pane="bottomLeft" activeCell="A7" sqref="A7"/>
      <selection pane="bottomRight" activeCell="C6" sqref="C6:C14"/>
    </sheetView>
  </sheetViews>
  <sheetFormatPr defaultColWidth="9.1796875" defaultRowHeight="14.5" x14ac:dyDescent="0.35"/>
  <cols>
    <col min="1" max="1" width="2.81640625" bestFit="1" customWidth="1"/>
    <col min="2" max="2" width="5.1796875" style="133" bestFit="1" customWidth="1"/>
    <col min="3" max="3" width="4.81640625" style="133" bestFit="1" customWidth="1"/>
    <col min="4" max="4" width="5.453125" style="13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3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20">
        <v>0.18</v>
      </c>
    </row>
    <row r="3" spans="1:29" ht="15" thickBot="1" x14ac:dyDescent="0.4">
      <c r="A3" s="310"/>
      <c r="B3" s="310"/>
      <c r="C3" s="310"/>
      <c r="D3" s="310"/>
      <c r="E3" s="310"/>
      <c r="F3" s="311"/>
      <c r="G3" s="311"/>
      <c r="H3" s="311"/>
      <c r="I3" s="311"/>
      <c r="J3" s="311"/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</row>
    <row r="4" spans="1:29" x14ac:dyDescent="0.35">
      <c r="A4" s="312" t="s">
        <v>99</v>
      </c>
      <c r="B4" s="135" t="s">
        <v>100</v>
      </c>
      <c r="C4" s="135"/>
      <c r="D4" s="314" t="s">
        <v>101</v>
      </c>
      <c r="E4" s="316" t="s">
        <v>102</v>
      </c>
      <c r="F4" s="318" t="s">
        <v>58</v>
      </c>
      <c r="G4" s="318"/>
      <c r="H4" s="319" t="s">
        <v>103</v>
      </c>
      <c r="I4" s="319"/>
      <c r="J4" s="320" t="s">
        <v>104</v>
      </c>
      <c r="K4" s="321"/>
      <c r="L4" s="320" t="s">
        <v>105</v>
      </c>
      <c r="M4" s="321"/>
      <c r="N4" s="322" t="s">
        <v>106</v>
      </c>
      <c r="O4" s="322"/>
      <c r="P4" s="320" t="s">
        <v>84</v>
      </c>
      <c r="Q4" s="321"/>
      <c r="R4" s="320" t="s">
        <v>107</v>
      </c>
      <c r="S4" s="321"/>
      <c r="T4" s="323" t="s">
        <v>108</v>
      </c>
      <c r="U4" s="323"/>
      <c r="V4" s="324" t="s">
        <v>109</v>
      </c>
      <c r="W4" s="325"/>
      <c r="X4" s="324" t="s">
        <v>110</v>
      </c>
      <c r="Y4" s="325"/>
    </row>
    <row r="5" spans="1:29" ht="26.25" customHeight="1" thickBot="1" x14ac:dyDescent="0.4">
      <c r="A5" s="313"/>
      <c r="B5" s="137" t="s">
        <v>111</v>
      </c>
      <c r="C5" s="137" t="s">
        <v>101</v>
      </c>
      <c r="D5" s="315"/>
      <c r="E5" s="317"/>
      <c r="F5" s="138" t="s">
        <v>36</v>
      </c>
      <c r="G5" s="139" t="s">
        <v>52</v>
      </c>
      <c r="H5" s="140" t="s">
        <v>112</v>
      </c>
      <c r="I5" s="141" t="s">
        <v>113</v>
      </c>
      <c r="J5" s="142" t="s">
        <v>112</v>
      </c>
      <c r="K5" s="142" t="s">
        <v>114</v>
      </c>
      <c r="L5" s="142" t="s">
        <v>112</v>
      </c>
      <c r="M5" s="142" t="s">
        <v>114</v>
      </c>
      <c r="N5" s="143">
        <v>0.19</v>
      </c>
      <c r="O5" s="144" t="s">
        <v>38</v>
      </c>
      <c r="P5" s="143">
        <v>0.04</v>
      </c>
      <c r="Q5" s="145" t="s">
        <v>38</v>
      </c>
      <c r="R5" s="146">
        <v>5.0000000000000001E-3</v>
      </c>
      <c r="S5" s="145" t="s">
        <v>38</v>
      </c>
      <c r="T5" s="142" t="s">
        <v>112</v>
      </c>
      <c r="U5" s="142" t="s">
        <v>114</v>
      </c>
      <c r="V5" s="142" t="s">
        <v>112</v>
      </c>
      <c r="W5" s="142" t="s">
        <v>114</v>
      </c>
      <c r="X5" s="142" t="s">
        <v>112</v>
      </c>
      <c r="Y5" s="142" t="s">
        <v>114</v>
      </c>
      <c r="AA5" s="142" t="s">
        <v>115</v>
      </c>
    </row>
    <row r="6" spans="1:29" x14ac:dyDescent="0.35">
      <c r="A6" s="147">
        <v>1</v>
      </c>
      <c r="B6" s="136"/>
      <c r="C6" s="136"/>
      <c r="D6" s="82" t="s">
        <v>116</v>
      </c>
      <c r="E6" s="148" t="s">
        <v>121</v>
      </c>
      <c r="F6" s="149">
        <v>70</v>
      </c>
      <c r="G6" s="150">
        <v>40</v>
      </c>
      <c r="H6" s="150">
        <f>I6*G6</f>
        <v>2600</v>
      </c>
      <c r="I6" s="150">
        <v>65</v>
      </c>
      <c r="J6" s="151">
        <f>K6*G6</f>
        <v>2560.17</v>
      </c>
      <c r="K6" s="151">
        <f>M6*1.22</f>
        <v>64.004249999999999</v>
      </c>
      <c r="L6" s="152">
        <v>2098.5</v>
      </c>
      <c r="M6" s="152">
        <f>L6/G6</f>
        <v>52.462499999999999</v>
      </c>
      <c r="N6" s="153">
        <v>0.11</v>
      </c>
      <c r="O6" s="154">
        <f>N6*M6</f>
        <v>5.7708750000000002</v>
      </c>
      <c r="P6" s="155"/>
      <c r="Q6" s="154">
        <f>P6*M6</f>
        <v>0</v>
      </c>
      <c r="R6" s="156"/>
      <c r="S6" s="154">
        <f>R6*M6</f>
        <v>0</v>
      </c>
      <c r="T6" s="152">
        <f>U6*G6</f>
        <v>1867.665</v>
      </c>
      <c r="U6" s="152">
        <f>M6-O6-Q6-S6</f>
        <v>46.691625000000002</v>
      </c>
      <c r="V6" s="152">
        <f>T6*$V$2</f>
        <v>336.17969999999997</v>
      </c>
      <c r="W6" s="152">
        <f>U6*$V$2</f>
        <v>8.4044924999999999</v>
      </c>
      <c r="X6" s="152">
        <f t="shared" ref="X6:Y14" si="0">T6+V6</f>
        <v>2203.8447000000001</v>
      </c>
      <c r="Y6" s="152">
        <f t="shared" si="0"/>
        <v>55.096117500000005</v>
      </c>
      <c r="AA6" s="152">
        <f t="shared" ref="AA6:AA14" si="1">(F6*G6)/1000</f>
        <v>2.8</v>
      </c>
      <c r="AB6">
        <v>2000</v>
      </c>
      <c r="AC6" s="212">
        <f>X6*AB6</f>
        <v>4407689.4000000004</v>
      </c>
    </row>
    <row r="7" spans="1:29" x14ac:dyDescent="0.35">
      <c r="A7" s="147">
        <f>+A6+1</f>
        <v>2</v>
      </c>
      <c r="B7" s="136"/>
      <c r="C7" s="136"/>
      <c r="D7" s="82" t="s">
        <v>118</v>
      </c>
      <c r="E7" s="148" t="s">
        <v>119</v>
      </c>
      <c r="F7" s="149">
        <v>70</v>
      </c>
      <c r="G7" s="150">
        <v>40</v>
      </c>
      <c r="H7" s="150">
        <f t="shared" ref="H7:H14" si="2">I7*G7</f>
        <v>2600</v>
      </c>
      <c r="I7" s="150">
        <v>65</v>
      </c>
      <c r="J7" s="151">
        <f t="shared" ref="J7:J14" si="3">K7*G7</f>
        <v>2560.17</v>
      </c>
      <c r="K7" s="151">
        <f>M7*1.22</f>
        <v>64.004249999999999</v>
      </c>
      <c r="L7" s="152">
        <v>2098.5</v>
      </c>
      <c r="M7" s="152">
        <f t="shared" ref="M7:M14" si="4">L7/G7</f>
        <v>52.462499999999999</v>
      </c>
      <c r="N7" s="153">
        <f>+N6</f>
        <v>0.11</v>
      </c>
      <c r="O7" s="154">
        <f t="shared" ref="O7:O14" si="5">N7*M7</f>
        <v>5.7708750000000002</v>
      </c>
      <c r="P7" s="155"/>
      <c r="Q7" s="154">
        <f t="shared" ref="Q7:Q14" si="6">P7*M7</f>
        <v>0</v>
      </c>
      <c r="R7" s="156"/>
      <c r="S7" s="154">
        <f t="shared" ref="S7:S14" si="7">R7*M7</f>
        <v>0</v>
      </c>
      <c r="T7" s="152">
        <f t="shared" ref="T7:T14" si="8">U7*G7</f>
        <v>1867.665</v>
      </c>
      <c r="U7" s="152">
        <f t="shared" ref="U7:U14" si="9">M7-O7-Q7-S7</f>
        <v>46.691625000000002</v>
      </c>
      <c r="V7" s="152">
        <f t="shared" ref="V7:W14" si="10">T7*$V$2</f>
        <v>336.17969999999997</v>
      </c>
      <c r="W7" s="152">
        <f t="shared" si="10"/>
        <v>8.4044924999999999</v>
      </c>
      <c r="X7" s="152">
        <f t="shared" si="0"/>
        <v>2203.8447000000001</v>
      </c>
      <c r="Y7" s="152">
        <f t="shared" si="0"/>
        <v>55.096117500000005</v>
      </c>
      <c r="AA7" s="152">
        <f t="shared" si="1"/>
        <v>2.8</v>
      </c>
      <c r="AC7" s="212"/>
    </row>
    <row r="8" spans="1:29" x14ac:dyDescent="0.35">
      <c r="A8" s="147">
        <f t="shared" ref="A8:A52" si="11">+A7+1</f>
        <v>3</v>
      </c>
      <c r="B8" s="136"/>
      <c r="C8" s="136"/>
      <c r="D8" s="82" t="s">
        <v>120</v>
      </c>
      <c r="E8" s="148" t="s">
        <v>117</v>
      </c>
      <c r="F8" s="149">
        <v>70</v>
      </c>
      <c r="G8" s="150">
        <v>40</v>
      </c>
      <c r="H8" s="150">
        <f t="shared" si="2"/>
        <v>2600</v>
      </c>
      <c r="I8" s="150">
        <v>65</v>
      </c>
      <c r="J8" s="151">
        <f t="shared" si="3"/>
        <v>2560.17</v>
      </c>
      <c r="K8" s="151">
        <f t="shared" ref="K8:K14" si="12">M8*1.22</f>
        <v>64.004249999999999</v>
      </c>
      <c r="L8" s="152">
        <v>2098.5</v>
      </c>
      <c r="M8" s="152">
        <f t="shared" si="4"/>
        <v>52.462499999999999</v>
      </c>
      <c r="N8" s="153">
        <f t="shared" ref="N8:N14" si="13">+N7</f>
        <v>0.11</v>
      </c>
      <c r="O8" s="154">
        <f t="shared" si="5"/>
        <v>5.7708750000000002</v>
      </c>
      <c r="P8" s="155"/>
      <c r="Q8" s="154">
        <f t="shared" si="6"/>
        <v>0</v>
      </c>
      <c r="R8" s="156"/>
      <c r="S8" s="154">
        <f t="shared" si="7"/>
        <v>0</v>
      </c>
      <c r="T8" s="152">
        <f t="shared" si="8"/>
        <v>1867.665</v>
      </c>
      <c r="U8" s="152">
        <f t="shared" si="9"/>
        <v>46.691625000000002</v>
      </c>
      <c r="V8" s="152">
        <f t="shared" si="10"/>
        <v>336.17969999999997</v>
      </c>
      <c r="W8" s="152">
        <f t="shared" si="10"/>
        <v>8.4044924999999999</v>
      </c>
      <c r="X8" s="152">
        <f t="shared" si="0"/>
        <v>2203.8447000000001</v>
      </c>
      <c r="Y8" s="152">
        <f t="shared" si="0"/>
        <v>55.096117500000005</v>
      </c>
      <c r="AA8" s="152">
        <f t="shared" si="1"/>
        <v>2.8</v>
      </c>
      <c r="AC8" s="212"/>
    </row>
    <row r="9" spans="1:29" x14ac:dyDescent="0.35">
      <c r="A9" s="147">
        <f t="shared" si="11"/>
        <v>4</v>
      </c>
      <c r="B9" s="136"/>
      <c r="C9" s="136"/>
      <c r="D9" s="82" t="s">
        <v>122</v>
      </c>
      <c r="E9" s="148" t="s">
        <v>127</v>
      </c>
      <c r="F9" s="149">
        <v>120</v>
      </c>
      <c r="G9" s="150">
        <v>40</v>
      </c>
      <c r="H9" s="150">
        <f t="shared" si="2"/>
        <v>3600</v>
      </c>
      <c r="I9" s="150">
        <v>90</v>
      </c>
      <c r="J9" s="151">
        <f t="shared" si="3"/>
        <v>3544.8320000000003</v>
      </c>
      <c r="K9" s="151">
        <f t="shared" si="12"/>
        <v>88.620800000000003</v>
      </c>
      <c r="L9" s="152">
        <v>2905.6</v>
      </c>
      <c r="M9" s="152">
        <f t="shared" si="4"/>
        <v>72.64</v>
      </c>
      <c r="N9" s="153">
        <f t="shared" si="13"/>
        <v>0.11</v>
      </c>
      <c r="O9" s="154">
        <f t="shared" si="5"/>
        <v>7.9904000000000002</v>
      </c>
      <c r="P9" s="155"/>
      <c r="Q9" s="154">
        <f t="shared" si="6"/>
        <v>0</v>
      </c>
      <c r="R9" s="156"/>
      <c r="S9" s="154">
        <f t="shared" si="7"/>
        <v>0</v>
      </c>
      <c r="T9" s="152">
        <f t="shared" si="8"/>
        <v>2585.9840000000004</v>
      </c>
      <c r="U9" s="152">
        <f t="shared" si="9"/>
        <v>64.649600000000007</v>
      </c>
      <c r="V9" s="152">
        <f t="shared" si="10"/>
        <v>465.47712000000007</v>
      </c>
      <c r="W9" s="152">
        <f t="shared" si="10"/>
        <v>11.636928000000001</v>
      </c>
      <c r="X9" s="152">
        <f t="shared" si="0"/>
        <v>3051.4611200000004</v>
      </c>
      <c r="Y9" s="152">
        <f t="shared" si="0"/>
        <v>76.286528000000004</v>
      </c>
      <c r="AA9" s="152">
        <f t="shared" si="1"/>
        <v>4.8</v>
      </c>
      <c r="AB9">
        <v>1000</v>
      </c>
      <c r="AC9" s="212">
        <f>X9*AB9</f>
        <v>3051461.1200000006</v>
      </c>
    </row>
    <row r="10" spans="1:29" x14ac:dyDescent="0.35">
      <c r="A10" s="147">
        <f t="shared" si="11"/>
        <v>5</v>
      </c>
      <c r="B10" s="136"/>
      <c r="C10" s="136"/>
      <c r="D10" s="82" t="s">
        <v>124</v>
      </c>
      <c r="E10" s="148" t="s">
        <v>125</v>
      </c>
      <c r="F10" s="149">
        <v>120</v>
      </c>
      <c r="G10" s="150">
        <v>40</v>
      </c>
      <c r="H10" s="150">
        <f t="shared" si="2"/>
        <v>3600</v>
      </c>
      <c r="I10" s="150">
        <v>90</v>
      </c>
      <c r="J10" s="151">
        <f t="shared" si="3"/>
        <v>3544.8320000000003</v>
      </c>
      <c r="K10" s="151">
        <f t="shared" si="12"/>
        <v>88.620800000000003</v>
      </c>
      <c r="L10" s="152">
        <v>2905.6</v>
      </c>
      <c r="M10" s="152">
        <f t="shared" si="4"/>
        <v>72.64</v>
      </c>
      <c r="N10" s="153">
        <f t="shared" si="13"/>
        <v>0.11</v>
      </c>
      <c r="O10" s="154">
        <f t="shared" si="5"/>
        <v>7.9904000000000002</v>
      </c>
      <c r="P10" s="155"/>
      <c r="Q10" s="154">
        <f t="shared" si="6"/>
        <v>0</v>
      </c>
      <c r="R10" s="156"/>
      <c r="S10" s="154">
        <f t="shared" si="7"/>
        <v>0</v>
      </c>
      <c r="T10" s="152">
        <f t="shared" si="8"/>
        <v>2585.9840000000004</v>
      </c>
      <c r="U10" s="152">
        <f t="shared" si="9"/>
        <v>64.649600000000007</v>
      </c>
      <c r="V10" s="152">
        <f t="shared" si="10"/>
        <v>465.47712000000007</v>
      </c>
      <c r="W10" s="152">
        <f t="shared" si="10"/>
        <v>11.636928000000001</v>
      </c>
      <c r="X10" s="152">
        <f t="shared" si="0"/>
        <v>3051.4611200000004</v>
      </c>
      <c r="Y10" s="152">
        <f t="shared" si="0"/>
        <v>76.286528000000004</v>
      </c>
      <c r="AA10" s="152">
        <f t="shared" si="1"/>
        <v>4.8</v>
      </c>
      <c r="AC10" s="212"/>
    </row>
    <row r="11" spans="1:29" x14ac:dyDescent="0.35">
      <c r="A11" s="147">
        <f t="shared" si="11"/>
        <v>6</v>
      </c>
      <c r="B11" s="136"/>
      <c r="C11" s="136"/>
      <c r="D11" s="82" t="s">
        <v>126</v>
      </c>
      <c r="E11" s="148" t="s">
        <v>123</v>
      </c>
      <c r="F11" s="149">
        <v>120</v>
      </c>
      <c r="G11" s="150">
        <v>40</v>
      </c>
      <c r="H11" s="150">
        <f t="shared" si="2"/>
        <v>3600</v>
      </c>
      <c r="I11" s="150">
        <v>90</v>
      </c>
      <c r="J11" s="151">
        <f t="shared" si="3"/>
        <v>3544.8320000000003</v>
      </c>
      <c r="K11" s="151">
        <f t="shared" si="12"/>
        <v>88.620800000000003</v>
      </c>
      <c r="L11" s="152">
        <v>2905.6</v>
      </c>
      <c r="M11" s="152">
        <f t="shared" si="4"/>
        <v>72.64</v>
      </c>
      <c r="N11" s="153">
        <f t="shared" si="13"/>
        <v>0.11</v>
      </c>
      <c r="O11" s="154">
        <f t="shared" si="5"/>
        <v>7.9904000000000002</v>
      </c>
      <c r="P11" s="155"/>
      <c r="Q11" s="154">
        <f t="shared" si="6"/>
        <v>0</v>
      </c>
      <c r="R11" s="156"/>
      <c r="S11" s="154">
        <f t="shared" si="7"/>
        <v>0</v>
      </c>
      <c r="T11" s="152">
        <f t="shared" si="8"/>
        <v>2585.9840000000004</v>
      </c>
      <c r="U11" s="152">
        <f t="shared" si="9"/>
        <v>64.649600000000007</v>
      </c>
      <c r="V11" s="152">
        <f t="shared" si="10"/>
        <v>465.47712000000007</v>
      </c>
      <c r="W11" s="152">
        <f t="shared" si="10"/>
        <v>11.636928000000001</v>
      </c>
      <c r="X11" s="152">
        <f t="shared" si="0"/>
        <v>3051.4611200000004</v>
      </c>
      <c r="Y11" s="152">
        <f t="shared" si="0"/>
        <v>76.286528000000004</v>
      </c>
      <c r="AA11" s="152">
        <f t="shared" si="1"/>
        <v>4.8</v>
      </c>
      <c r="AC11" s="212"/>
    </row>
    <row r="12" spans="1:29" x14ac:dyDescent="0.35">
      <c r="A12" s="147">
        <f t="shared" si="11"/>
        <v>7</v>
      </c>
      <c r="B12" s="136"/>
      <c r="C12" s="136"/>
      <c r="D12" s="82" t="s">
        <v>128</v>
      </c>
      <c r="E12" s="148" t="s">
        <v>129</v>
      </c>
      <c r="F12" s="149">
        <v>60</v>
      </c>
      <c r="G12" s="150">
        <v>40</v>
      </c>
      <c r="H12" s="150">
        <f t="shared" si="2"/>
        <v>2000</v>
      </c>
      <c r="I12" s="151">
        <v>50</v>
      </c>
      <c r="J12" s="151">
        <f t="shared" si="3"/>
        <v>1914.4240000000002</v>
      </c>
      <c r="K12" s="151">
        <f t="shared" si="12"/>
        <v>47.860600000000005</v>
      </c>
      <c r="L12" s="152">
        <v>1569.2</v>
      </c>
      <c r="M12" s="152">
        <f t="shared" si="4"/>
        <v>39.230000000000004</v>
      </c>
      <c r="N12" s="153">
        <f t="shared" si="13"/>
        <v>0.11</v>
      </c>
      <c r="O12" s="154">
        <f t="shared" si="5"/>
        <v>4.3153000000000006</v>
      </c>
      <c r="P12" s="155"/>
      <c r="Q12" s="154">
        <f t="shared" si="6"/>
        <v>0</v>
      </c>
      <c r="R12" s="156"/>
      <c r="S12" s="154">
        <f t="shared" si="7"/>
        <v>0</v>
      </c>
      <c r="T12" s="152">
        <f t="shared" si="8"/>
        <v>1396.5880000000002</v>
      </c>
      <c r="U12" s="152">
        <f t="shared" si="9"/>
        <v>34.914700000000003</v>
      </c>
      <c r="V12" s="152">
        <f t="shared" si="10"/>
        <v>251.38584000000003</v>
      </c>
      <c r="W12" s="152">
        <f t="shared" si="10"/>
        <v>6.2846460000000004</v>
      </c>
      <c r="X12" s="152">
        <f t="shared" si="0"/>
        <v>1647.9738400000001</v>
      </c>
      <c r="Y12" s="152">
        <f t="shared" si="0"/>
        <v>41.199346000000006</v>
      </c>
      <c r="AA12" s="152">
        <f t="shared" si="1"/>
        <v>2.4</v>
      </c>
      <c r="AB12">
        <v>2000</v>
      </c>
      <c r="AC12" s="212">
        <f>X12*AB12</f>
        <v>3295947.68</v>
      </c>
    </row>
    <row r="13" spans="1:29" x14ac:dyDescent="0.35">
      <c r="A13" s="147">
        <f t="shared" si="11"/>
        <v>8</v>
      </c>
      <c r="B13" s="136"/>
      <c r="C13" s="136"/>
      <c r="D13" s="136" t="s">
        <v>130</v>
      </c>
      <c r="E13" s="148" t="s">
        <v>131</v>
      </c>
      <c r="F13" s="149">
        <v>60</v>
      </c>
      <c r="G13" s="150">
        <v>40</v>
      </c>
      <c r="H13" s="150">
        <f t="shared" si="2"/>
        <v>2000</v>
      </c>
      <c r="I13" s="151">
        <v>50</v>
      </c>
      <c r="J13" s="151">
        <f t="shared" si="3"/>
        <v>1914.4240000000002</v>
      </c>
      <c r="K13" s="151">
        <f t="shared" si="12"/>
        <v>47.860600000000005</v>
      </c>
      <c r="L13" s="152">
        <v>1569.2</v>
      </c>
      <c r="M13" s="152">
        <f t="shared" si="4"/>
        <v>39.230000000000004</v>
      </c>
      <c r="N13" s="153">
        <f t="shared" si="13"/>
        <v>0.11</v>
      </c>
      <c r="O13" s="154">
        <f t="shared" si="5"/>
        <v>4.3153000000000006</v>
      </c>
      <c r="P13" s="155"/>
      <c r="Q13" s="154">
        <f t="shared" si="6"/>
        <v>0</v>
      </c>
      <c r="R13" s="156"/>
      <c r="S13" s="154">
        <f t="shared" si="7"/>
        <v>0</v>
      </c>
      <c r="T13" s="152">
        <f t="shared" si="8"/>
        <v>1396.5880000000002</v>
      </c>
      <c r="U13" s="152">
        <f t="shared" si="9"/>
        <v>34.914700000000003</v>
      </c>
      <c r="V13" s="152">
        <f t="shared" si="10"/>
        <v>251.38584000000003</v>
      </c>
      <c r="W13" s="152">
        <f t="shared" si="10"/>
        <v>6.2846460000000004</v>
      </c>
      <c r="X13" s="152">
        <f t="shared" si="0"/>
        <v>1647.9738400000001</v>
      </c>
      <c r="Y13" s="152">
        <f t="shared" si="0"/>
        <v>41.199346000000006</v>
      </c>
      <c r="AA13" s="152">
        <f t="shared" si="1"/>
        <v>2.4</v>
      </c>
      <c r="AC13" s="213">
        <f>SUM(AC6:AC12)</f>
        <v>10755098.200000001</v>
      </c>
    </row>
    <row r="14" spans="1:29" x14ac:dyDescent="0.35">
      <c r="A14" s="147">
        <f>+A13+1</f>
        <v>9</v>
      </c>
      <c r="B14" s="136"/>
      <c r="C14" s="136"/>
      <c r="D14" s="136" t="s">
        <v>132</v>
      </c>
      <c r="E14" s="148" t="s">
        <v>133</v>
      </c>
      <c r="F14" s="149">
        <v>60</v>
      </c>
      <c r="G14" s="150">
        <v>40</v>
      </c>
      <c r="H14" s="150">
        <f t="shared" si="2"/>
        <v>2000</v>
      </c>
      <c r="I14" s="151">
        <v>50</v>
      </c>
      <c r="J14" s="151">
        <f t="shared" si="3"/>
        <v>1914.4240000000002</v>
      </c>
      <c r="K14" s="151">
        <f t="shared" si="12"/>
        <v>47.860600000000005</v>
      </c>
      <c r="L14" s="152">
        <v>1569.2</v>
      </c>
      <c r="M14" s="152">
        <f t="shared" si="4"/>
        <v>39.230000000000004</v>
      </c>
      <c r="N14" s="153">
        <f t="shared" si="13"/>
        <v>0.11</v>
      </c>
      <c r="O14" s="154">
        <f t="shared" si="5"/>
        <v>4.3153000000000006</v>
      </c>
      <c r="P14" s="155"/>
      <c r="Q14" s="154">
        <f t="shared" si="6"/>
        <v>0</v>
      </c>
      <c r="R14" s="156"/>
      <c r="S14" s="154">
        <f t="shared" si="7"/>
        <v>0</v>
      </c>
      <c r="T14" s="152">
        <f t="shared" si="8"/>
        <v>1396.5880000000002</v>
      </c>
      <c r="U14" s="152">
        <f t="shared" si="9"/>
        <v>34.914700000000003</v>
      </c>
      <c r="V14" s="152">
        <f t="shared" si="10"/>
        <v>251.38584000000003</v>
      </c>
      <c r="W14" s="152">
        <f t="shared" si="10"/>
        <v>6.2846460000000004</v>
      </c>
      <c r="X14" s="152">
        <f t="shared" si="0"/>
        <v>1647.9738400000001</v>
      </c>
      <c r="Y14" s="152">
        <f t="shared" si="0"/>
        <v>41.199346000000006</v>
      </c>
      <c r="AA14" s="152">
        <f t="shared" si="1"/>
        <v>2.4</v>
      </c>
    </row>
    <row r="15" spans="1:29" s="167" customFormat="1" x14ac:dyDescent="0.35">
      <c r="A15" s="157">
        <f t="shared" ref="A15:A20" si="14">+A14+1</f>
        <v>10</v>
      </c>
      <c r="B15" s="158"/>
      <c r="C15" s="158"/>
      <c r="D15" s="158"/>
      <c r="E15" s="159"/>
      <c r="F15" s="160"/>
      <c r="G15" s="161"/>
      <c r="H15" s="161"/>
      <c r="I15" s="162"/>
      <c r="J15" s="162"/>
      <c r="K15" s="162"/>
      <c r="L15" s="162"/>
      <c r="M15" s="163"/>
      <c r="N15" s="164"/>
      <c r="O15" s="165"/>
      <c r="P15" s="164"/>
      <c r="Q15" s="165"/>
      <c r="R15" s="166"/>
      <c r="S15" s="165"/>
      <c r="T15" s="163"/>
      <c r="U15" s="163"/>
      <c r="V15" s="163"/>
      <c r="W15" s="163"/>
      <c r="X15" s="163"/>
      <c r="Y15" s="163"/>
      <c r="AA15" s="163"/>
    </row>
    <row r="16" spans="1:29" s="167" customFormat="1" x14ac:dyDescent="0.35">
      <c r="A16" s="157">
        <f t="shared" si="14"/>
        <v>11</v>
      </c>
      <c r="B16" s="158"/>
      <c r="C16" s="158"/>
      <c r="D16" s="158"/>
      <c r="E16" s="159"/>
      <c r="F16" s="160"/>
      <c r="G16" s="161"/>
      <c r="H16" s="161"/>
      <c r="I16" s="162"/>
      <c r="J16" s="162"/>
      <c r="K16" s="162"/>
      <c r="L16" s="162"/>
      <c r="M16" s="163"/>
      <c r="N16" s="164"/>
      <c r="O16" s="165"/>
      <c r="P16" s="164"/>
      <c r="Q16" s="165"/>
      <c r="R16" s="166"/>
      <c r="S16" s="165"/>
      <c r="T16" s="163"/>
      <c r="U16" s="163"/>
      <c r="V16" s="163"/>
      <c r="W16" s="163"/>
      <c r="X16" s="163"/>
      <c r="Y16" s="163"/>
      <c r="AA16" s="163"/>
    </row>
    <row r="17" spans="1:27" s="167" customFormat="1" x14ac:dyDescent="0.35">
      <c r="A17" s="157">
        <f t="shared" si="14"/>
        <v>12</v>
      </c>
      <c r="B17" s="158"/>
      <c r="C17" s="158"/>
      <c r="D17" s="158"/>
      <c r="E17" s="159"/>
      <c r="F17" s="160"/>
      <c r="G17" s="161"/>
      <c r="H17" s="161"/>
      <c r="I17" s="162"/>
      <c r="J17" s="162"/>
      <c r="K17" s="162"/>
      <c r="L17" s="162"/>
      <c r="M17" s="163"/>
      <c r="N17" s="164"/>
      <c r="O17" s="165"/>
      <c r="P17" s="164"/>
      <c r="Q17" s="165"/>
      <c r="R17" s="166"/>
      <c r="S17" s="165"/>
      <c r="T17" s="163"/>
      <c r="U17" s="163"/>
      <c r="V17" s="163"/>
      <c r="W17" s="163"/>
      <c r="X17" s="163"/>
      <c r="Y17" s="163"/>
      <c r="AA17" s="163"/>
    </row>
    <row r="18" spans="1:27" s="167" customFormat="1" x14ac:dyDescent="0.35">
      <c r="A18" s="157">
        <f t="shared" si="14"/>
        <v>13</v>
      </c>
      <c r="B18" s="158"/>
      <c r="C18" s="158"/>
      <c r="D18" s="158"/>
      <c r="E18" s="159"/>
      <c r="F18" s="160"/>
      <c r="G18" s="161"/>
      <c r="H18" s="161"/>
      <c r="I18" s="162"/>
      <c r="J18" s="162"/>
      <c r="K18" s="162"/>
      <c r="L18" s="162"/>
      <c r="M18" s="163"/>
      <c r="N18" s="164"/>
      <c r="O18" s="165"/>
      <c r="P18" s="164"/>
      <c r="Q18" s="165"/>
      <c r="R18" s="166"/>
      <c r="S18" s="165"/>
      <c r="T18" s="163"/>
      <c r="U18" s="163"/>
      <c r="V18" s="163"/>
      <c r="W18" s="163"/>
      <c r="X18" s="163"/>
      <c r="Y18" s="163"/>
      <c r="AA18" s="163"/>
    </row>
    <row r="19" spans="1:27" s="167" customFormat="1" x14ac:dyDescent="0.35">
      <c r="A19" s="157">
        <f t="shared" si="14"/>
        <v>14</v>
      </c>
      <c r="B19" s="158"/>
      <c r="C19" s="158"/>
      <c r="D19" s="158"/>
      <c r="E19" s="168"/>
      <c r="F19" s="160"/>
      <c r="G19" s="161"/>
      <c r="H19" s="161"/>
      <c r="I19" s="162"/>
      <c r="J19" s="162"/>
      <c r="K19" s="162"/>
      <c r="L19" s="162"/>
      <c r="M19" s="163"/>
      <c r="N19" s="164"/>
      <c r="O19" s="165"/>
      <c r="P19" s="164"/>
      <c r="Q19" s="165"/>
      <c r="R19" s="166"/>
      <c r="S19" s="165"/>
      <c r="T19" s="163"/>
      <c r="U19" s="163"/>
      <c r="V19" s="163"/>
      <c r="W19" s="163"/>
      <c r="X19" s="163"/>
      <c r="Y19" s="163"/>
      <c r="AA19" s="163"/>
    </row>
    <row r="20" spans="1:27" s="167" customFormat="1" x14ac:dyDescent="0.35">
      <c r="A20" s="157">
        <f t="shared" si="14"/>
        <v>15</v>
      </c>
      <c r="B20" s="158"/>
      <c r="C20" s="158"/>
      <c r="D20" s="158"/>
      <c r="E20" s="168"/>
      <c r="F20" s="160"/>
      <c r="G20" s="161"/>
      <c r="H20" s="161"/>
      <c r="I20" s="162"/>
      <c r="J20" s="162"/>
      <c r="K20" s="162"/>
      <c r="L20" s="162"/>
      <c r="M20" s="163"/>
      <c r="N20" s="164"/>
      <c r="O20" s="165"/>
      <c r="P20" s="164"/>
      <c r="Q20" s="165"/>
      <c r="R20" s="166"/>
      <c r="S20" s="165"/>
      <c r="T20" s="163"/>
      <c r="U20" s="163"/>
      <c r="V20" s="163"/>
      <c r="W20" s="163"/>
      <c r="X20" s="163"/>
      <c r="Y20" s="163"/>
      <c r="AA20" s="163"/>
    </row>
    <row r="21" spans="1:27" x14ac:dyDescent="0.35">
      <c r="A21" s="169"/>
      <c r="B21" s="170"/>
      <c r="C21" s="170"/>
      <c r="D21" s="170"/>
      <c r="E21" s="171"/>
      <c r="F21" s="172"/>
      <c r="G21" s="173"/>
      <c r="H21" s="173"/>
      <c r="I21" s="173"/>
      <c r="J21" s="174"/>
      <c r="K21" s="174"/>
      <c r="L21" s="174"/>
      <c r="M21" s="175"/>
      <c r="N21" s="176"/>
      <c r="O21" s="177"/>
      <c r="P21" s="176"/>
      <c r="Q21" s="177"/>
      <c r="R21" s="178"/>
      <c r="S21" s="177"/>
      <c r="T21" s="175"/>
      <c r="U21" s="175"/>
      <c r="V21" s="175"/>
      <c r="W21" s="175"/>
      <c r="X21" s="175"/>
      <c r="Y21" s="175"/>
      <c r="AA21" s="175"/>
    </row>
    <row r="22" spans="1:27" x14ac:dyDescent="0.35">
      <c r="A22" s="147">
        <f>+A20+1</f>
        <v>16</v>
      </c>
      <c r="B22" s="136"/>
      <c r="C22" s="136"/>
      <c r="D22" s="136"/>
      <c r="E22" s="148"/>
      <c r="F22" s="179"/>
      <c r="G22" s="150"/>
      <c r="H22" s="150"/>
      <c r="I22" s="150"/>
      <c r="J22" s="151"/>
      <c r="K22" s="151"/>
      <c r="L22" s="151"/>
      <c r="M22" s="152"/>
      <c r="N22" s="155"/>
      <c r="O22" s="154"/>
      <c r="P22" s="155"/>
      <c r="Q22" s="154"/>
      <c r="R22" s="156"/>
      <c r="S22" s="154"/>
      <c r="T22" s="152"/>
      <c r="U22" s="152"/>
      <c r="V22" s="152"/>
      <c r="W22" s="152"/>
      <c r="X22" s="152"/>
      <c r="Y22" s="152"/>
      <c r="AA22" s="152"/>
    </row>
    <row r="23" spans="1:27" x14ac:dyDescent="0.35">
      <c r="A23" s="147">
        <f t="shared" si="11"/>
        <v>17</v>
      </c>
      <c r="B23" s="136"/>
      <c r="C23" s="136"/>
      <c r="D23" s="136"/>
      <c r="E23" s="148"/>
      <c r="F23" s="179"/>
      <c r="G23" s="150"/>
      <c r="H23" s="150"/>
      <c r="I23" s="150"/>
      <c r="J23" s="151"/>
      <c r="K23" s="151"/>
      <c r="L23" s="151"/>
      <c r="M23" s="152"/>
      <c r="N23" s="155"/>
      <c r="O23" s="154"/>
      <c r="P23" s="155"/>
      <c r="Q23" s="154"/>
      <c r="R23" s="156"/>
      <c r="S23" s="154"/>
      <c r="T23" s="152"/>
      <c r="U23" s="152"/>
      <c r="V23" s="152"/>
      <c r="W23" s="152"/>
      <c r="X23" s="152"/>
      <c r="Y23" s="152"/>
      <c r="AA23" s="152"/>
    </row>
    <row r="24" spans="1:27" x14ac:dyDescent="0.35">
      <c r="A24" s="147">
        <f t="shared" si="11"/>
        <v>18</v>
      </c>
      <c r="B24" s="136"/>
      <c r="C24" s="136"/>
      <c r="D24" s="136"/>
      <c r="E24" s="148"/>
      <c r="F24" s="180"/>
      <c r="G24" s="150"/>
      <c r="H24" s="150"/>
      <c r="I24" s="151"/>
      <c r="J24" s="151"/>
      <c r="K24" s="151"/>
      <c r="L24" s="151"/>
      <c r="M24" s="152"/>
      <c r="N24" s="155"/>
      <c r="O24" s="154"/>
      <c r="P24" s="155"/>
      <c r="Q24" s="154"/>
      <c r="R24" s="156"/>
      <c r="S24" s="154"/>
      <c r="T24" s="152"/>
      <c r="U24" s="152"/>
      <c r="V24" s="152"/>
      <c r="W24" s="152"/>
      <c r="X24" s="152"/>
      <c r="Y24" s="152"/>
      <c r="AA24" s="152"/>
    </row>
    <row r="25" spans="1:27" x14ac:dyDescent="0.35">
      <c r="A25" s="147">
        <f t="shared" si="11"/>
        <v>19</v>
      </c>
      <c r="B25" s="136"/>
      <c r="C25" s="136"/>
      <c r="D25" s="136"/>
      <c r="E25" s="148"/>
      <c r="F25" s="179"/>
      <c r="G25" s="150"/>
      <c r="H25" s="150"/>
      <c r="I25" s="150"/>
      <c r="J25" s="151"/>
      <c r="K25" s="151"/>
      <c r="L25" s="151"/>
      <c r="M25" s="152"/>
      <c r="N25" s="155"/>
      <c r="O25" s="154"/>
      <c r="P25" s="155"/>
      <c r="Q25" s="154"/>
      <c r="R25" s="156"/>
      <c r="S25" s="154"/>
      <c r="T25" s="152"/>
      <c r="U25" s="152"/>
      <c r="V25" s="152"/>
      <c r="W25" s="152"/>
      <c r="X25" s="152"/>
      <c r="Y25" s="152"/>
      <c r="AA25" s="152"/>
    </row>
    <row r="26" spans="1:27" x14ac:dyDescent="0.35">
      <c r="A26" s="147">
        <f t="shared" si="11"/>
        <v>20</v>
      </c>
      <c r="B26" s="136"/>
      <c r="C26" s="136"/>
      <c r="D26" s="136"/>
      <c r="E26" s="148"/>
      <c r="F26" s="179"/>
      <c r="G26" s="150"/>
      <c r="H26" s="150"/>
      <c r="I26" s="150"/>
      <c r="J26" s="151"/>
      <c r="K26" s="151"/>
      <c r="L26" s="151"/>
      <c r="M26" s="152"/>
      <c r="N26" s="155"/>
      <c r="O26" s="154"/>
      <c r="P26" s="155"/>
      <c r="Q26" s="154"/>
      <c r="R26" s="156"/>
      <c r="S26" s="154"/>
      <c r="T26" s="152"/>
      <c r="U26" s="152"/>
      <c r="V26" s="152"/>
      <c r="W26" s="152"/>
      <c r="X26" s="152"/>
      <c r="Y26" s="152"/>
      <c r="AA26" s="152"/>
    </row>
    <row r="27" spans="1:27" x14ac:dyDescent="0.35">
      <c r="A27" s="147">
        <f t="shared" si="11"/>
        <v>21</v>
      </c>
      <c r="B27" s="136"/>
      <c r="C27" s="136"/>
      <c r="D27" s="136"/>
      <c r="E27" s="148"/>
      <c r="F27" s="181"/>
      <c r="G27" s="150"/>
      <c r="H27" s="150"/>
      <c r="I27" s="150"/>
      <c r="J27" s="151"/>
      <c r="K27" s="151"/>
      <c r="L27" s="151"/>
      <c r="M27" s="152"/>
      <c r="N27" s="155"/>
      <c r="O27" s="154"/>
      <c r="P27" s="155"/>
      <c r="Q27" s="154"/>
      <c r="R27" s="156"/>
      <c r="S27" s="154"/>
      <c r="T27" s="152"/>
      <c r="U27" s="152"/>
      <c r="V27" s="152"/>
      <c r="W27" s="152"/>
      <c r="X27" s="152"/>
      <c r="Y27" s="152"/>
      <c r="AA27" s="152"/>
    </row>
    <row r="28" spans="1:27" x14ac:dyDescent="0.35">
      <c r="A28" s="147">
        <f t="shared" si="11"/>
        <v>22</v>
      </c>
      <c r="B28" s="136"/>
      <c r="C28" s="136"/>
      <c r="D28" s="136"/>
      <c r="E28" s="148"/>
      <c r="F28" s="181"/>
      <c r="G28" s="150"/>
      <c r="H28" s="150"/>
      <c r="I28" s="150"/>
      <c r="J28" s="151"/>
      <c r="K28" s="151"/>
      <c r="L28" s="151"/>
      <c r="M28" s="152"/>
      <c r="N28" s="155"/>
      <c r="O28" s="154"/>
      <c r="P28" s="155"/>
      <c r="Q28" s="154"/>
      <c r="R28" s="156"/>
      <c r="S28" s="154"/>
      <c r="T28" s="152"/>
      <c r="U28" s="152"/>
      <c r="V28" s="152"/>
      <c r="W28" s="152"/>
      <c r="X28" s="152"/>
      <c r="Y28" s="152"/>
      <c r="AA28" s="152"/>
    </row>
    <row r="29" spans="1:27" x14ac:dyDescent="0.35">
      <c r="A29" s="147">
        <f t="shared" si="11"/>
        <v>23</v>
      </c>
      <c r="B29" s="136"/>
      <c r="C29" s="136"/>
      <c r="D29" s="136"/>
      <c r="E29" s="148"/>
      <c r="F29" s="179"/>
      <c r="G29" s="150"/>
      <c r="H29" s="150"/>
      <c r="I29" s="150"/>
      <c r="J29" s="151"/>
      <c r="K29" s="151"/>
      <c r="L29" s="151"/>
      <c r="M29" s="152"/>
      <c r="N29" s="155"/>
      <c r="O29" s="154"/>
      <c r="P29" s="155"/>
      <c r="Q29" s="154"/>
      <c r="R29" s="156"/>
      <c r="S29" s="154"/>
      <c r="T29" s="152"/>
      <c r="U29" s="152"/>
      <c r="V29" s="152"/>
      <c r="W29" s="152"/>
      <c r="X29" s="152"/>
      <c r="Y29" s="152"/>
      <c r="AA29" s="152"/>
    </row>
    <row r="30" spans="1:27" x14ac:dyDescent="0.35">
      <c r="A30" s="147">
        <f t="shared" si="11"/>
        <v>24</v>
      </c>
      <c r="B30" s="136"/>
      <c r="C30" s="136"/>
      <c r="D30" s="136"/>
      <c r="E30" s="148"/>
      <c r="F30" s="179"/>
      <c r="G30" s="150"/>
      <c r="H30" s="150"/>
      <c r="I30" s="150"/>
      <c r="J30" s="151"/>
      <c r="K30" s="151"/>
      <c r="L30" s="151"/>
      <c r="M30" s="152"/>
      <c r="N30" s="155"/>
      <c r="O30" s="154"/>
      <c r="P30" s="155"/>
      <c r="Q30" s="154"/>
      <c r="R30" s="156"/>
      <c r="S30" s="154"/>
      <c r="T30" s="152"/>
      <c r="U30" s="152"/>
      <c r="V30" s="152"/>
      <c r="W30" s="152"/>
      <c r="X30" s="152"/>
      <c r="Y30" s="152"/>
      <c r="AA30" s="152"/>
    </row>
    <row r="31" spans="1:27" x14ac:dyDescent="0.35">
      <c r="A31" s="147">
        <f t="shared" si="11"/>
        <v>25</v>
      </c>
      <c r="B31" s="136"/>
      <c r="C31" s="136"/>
      <c r="D31" s="136"/>
      <c r="E31" s="148"/>
      <c r="F31" s="179"/>
      <c r="G31" s="150"/>
      <c r="H31" s="150"/>
      <c r="I31" s="150"/>
      <c r="J31" s="151"/>
      <c r="K31" s="151"/>
      <c r="L31" s="151"/>
      <c r="M31" s="152"/>
      <c r="N31" s="155"/>
      <c r="O31" s="154"/>
      <c r="P31" s="155"/>
      <c r="Q31" s="154"/>
      <c r="R31" s="156"/>
      <c r="S31" s="154"/>
      <c r="T31" s="152"/>
      <c r="U31" s="152"/>
      <c r="V31" s="152"/>
      <c r="W31" s="152"/>
      <c r="X31" s="152"/>
      <c r="Y31" s="152"/>
      <c r="AA31" s="152"/>
    </row>
    <row r="32" spans="1:27" x14ac:dyDescent="0.35">
      <c r="A32" s="147">
        <f t="shared" si="11"/>
        <v>26</v>
      </c>
      <c r="B32" s="136"/>
      <c r="C32" s="136"/>
      <c r="D32" s="136"/>
      <c r="E32" s="148"/>
      <c r="F32" s="149"/>
      <c r="G32" s="150"/>
      <c r="H32" s="150"/>
      <c r="I32" s="150"/>
      <c r="J32" s="151"/>
      <c r="K32" s="151"/>
      <c r="L32" s="151"/>
      <c r="M32" s="152"/>
      <c r="N32" s="155"/>
      <c r="O32" s="154"/>
      <c r="P32" s="155"/>
      <c r="Q32" s="154"/>
      <c r="R32" s="156"/>
      <c r="S32" s="154"/>
      <c r="T32" s="152"/>
      <c r="U32" s="152"/>
      <c r="V32" s="152"/>
      <c r="W32" s="152"/>
      <c r="X32" s="152"/>
      <c r="Y32" s="152"/>
      <c r="AA32" s="152"/>
    </row>
    <row r="33" spans="1:27" x14ac:dyDescent="0.35">
      <c r="A33" s="147">
        <f t="shared" si="11"/>
        <v>27</v>
      </c>
      <c r="B33" s="136"/>
      <c r="C33" s="136"/>
      <c r="D33" s="136"/>
      <c r="E33" s="148"/>
      <c r="F33" s="149"/>
      <c r="G33" s="150"/>
      <c r="H33" s="150"/>
      <c r="I33" s="150"/>
      <c r="J33" s="151"/>
      <c r="K33" s="151"/>
      <c r="L33" s="151"/>
      <c r="M33" s="152"/>
      <c r="N33" s="155"/>
      <c r="O33" s="154"/>
      <c r="P33" s="155"/>
      <c r="Q33" s="154"/>
      <c r="R33" s="156"/>
      <c r="S33" s="154"/>
      <c r="T33" s="152"/>
      <c r="U33" s="152"/>
      <c r="V33" s="152"/>
      <c r="W33" s="152"/>
      <c r="X33" s="152"/>
      <c r="Y33" s="152"/>
      <c r="AA33" s="152"/>
    </row>
    <row r="34" spans="1:27" x14ac:dyDescent="0.35">
      <c r="A34" s="147">
        <f t="shared" si="11"/>
        <v>28</v>
      </c>
      <c r="B34" s="136"/>
      <c r="C34" s="136"/>
      <c r="D34" s="136"/>
      <c r="E34" s="148"/>
      <c r="F34" s="149"/>
      <c r="G34" s="150"/>
      <c r="H34" s="150"/>
      <c r="I34" s="150"/>
      <c r="J34" s="151"/>
      <c r="K34" s="151"/>
      <c r="L34" s="151"/>
      <c r="M34" s="152"/>
      <c r="N34" s="155"/>
      <c r="O34" s="154"/>
      <c r="P34" s="155"/>
      <c r="Q34" s="154"/>
      <c r="R34" s="156"/>
      <c r="S34" s="154"/>
      <c r="T34" s="152"/>
      <c r="U34" s="152"/>
      <c r="V34" s="152"/>
      <c r="W34" s="152"/>
      <c r="X34" s="152"/>
      <c r="Y34" s="152"/>
      <c r="AA34" s="152"/>
    </row>
    <row r="35" spans="1:27" x14ac:dyDescent="0.35">
      <c r="A35" s="169"/>
      <c r="B35" s="170"/>
      <c r="C35" s="170"/>
      <c r="D35" s="170"/>
      <c r="E35" s="171"/>
      <c r="F35" s="172"/>
      <c r="G35" s="173"/>
      <c r="H35" s="173"/>
      <c r="I35" s="173"/>
      <c r="J35" s="174"/>
      <c r="K35" s="174"/>
      <c r="L35" s="174"/>
      <c r="M35" s="175"/>
      <c r="N35" s="176"/>
      <c r="O35" s="177"/>
      <c r="P35" s="176"/>
      <c r="Q35" s="177"/>
      <c r="R35" s="178"/>
      <c r="S35" s="177"/>
      <c r="T35" s="175"/>
      <c r="U35" s="175"/>
      <c r="V35" s="175"/>
      <c r="W35" s="175"/>
      <c r="X35" s="175"/>
      <c r="Y35" s="175"/>
      <c r="AA35" s="175"/>
    </row>
    <row r="36" spans="1:27" x14ac:dyDescent="0.35">
      <c r="A36" s="147">
        <f>+A34+1</f>
        <v>29</v>
      </c>
      <c r="B36" s="136"/>
      <c r="C36" s="136"/>
      <c r="D36" s="136"/>
      <c r="E36" s="148"/>
      <c r="F36" s="149"/>
      <c r="G36" s="150"/>
      <c r="H36" s="150"/>
      <c r="I36" s="150"/>
      <c r="J36" s="151"/>
      <c r="K36" s="151"/>
      <c r="L36" s="151"/>
      <c r="M36" s="152"/>
      <c r="N36" s="155"/>
      <c r="O36" s="154"/>
      <c r="P36" s="155"/>
      <c r="Q36" s="154"/>
      <c r="R36" s="156"/>
      <c r="S36" s="154"/>
      <c r="T36" s="152"/>
      <c r="U36" s="152"/>
      <c r="V36" s="152"/>
      <c r="W36" s="152"/>
      <c r="X36" s="152"/>
      <c r="Y36" s="152"/>
      <c r="AA36" s="152"/>
    </row>
    <row r="37" spans="1:27" x14ac:dyDescent="0.35">
      <c r="A37" s="147">
        <f t="shared" si="11"/>
        <v>30</v>
      </c>
      <c r="B37" s="136"/>
      <c r="C37" s="136"/>
      <c r="D37" s="136"/>
      <c r="E37" s="148"/>
      <c r="F37" s="149"/>
      <c r="G37" s="150"/>
      <c r="H37" s="150"/>
      <c r="I37" s="150"/>
      <c r="J37" s="151"/>
      <c r="K37" s="151"/>
      <c r="L37" s="151"/>
      <c r="M37" s="152"/>
      <c r="N37" s="155"/>
      <c r="O37" s="154"/>
      <c r="P37" s="155"/>
      <c r="Q37" s="154"/>
      <c r="R37" s="156"/>
      <c r="S37" s="154"/>
      <c r="T37" s="152"/>
      <c r="U37" s="152"/>
      <c r="V37" s="152"/>
      <c r="W37" s="152"/>
      <c r="X37" s="152"/>
      <c r="Y37" s="152"/>
      <c r="AA37" s="152"/>
    </row>
    <row r="38" spans="1:27" x14ac:dyDescent="0.35">
      <c r="A38" s="147">
        <f t="shared" si="11"/>
        <v>31</v>
      </c>
      <c r="B38" s="136"/>
      <c r="C38" s="136"/>
      <c r="D38" s="136"/>
      <c r="E38" s="148"/>
      <c r="F38" s="149"/>
      <c r="G38" s="150"/>
      <c r="H38" s="150"/>
      <c r="I38" s="150"/>
      <c r="J38" s="151"/>
      <c r="K38" s="151"/>
      <c r="L38" s="151"/>
      <c r="M38" s="152"/>
      <c r="N38" s="155"/>
      <c r="O38" s="154"/>
      <c r="P38" s="155"/>
      <c r="Q38" s="154"/>
      <c r="R38" s="156"/>
      <c r="S38" s="154"/>
      <c r="T38" s="152"/>
      <c r="U38" s="152"/>
      <c r="V38" s="152"/>
      <c r="W38" s="152"/>
      <c r="X38" s="152"/>
      <c r="Y38" s="152"/>
      <c r="AA38" s="152"/>
    </row>
    <row r="39" spans="1:27" x14ac:dyDescent="0.35">
      <c r="A39" s="147">
        <f t="shared" si="11"/>
        <v>32</v>
      </c>
      <c r="B39" s="136"/>
      <c r="C39" s="136"/>
      <c r="D39" s="136"/>
      <c r="E39" s="148"/>
      <c r="F39" s="181"/>
      <c r="G39" s="150"/>
      <c r="H39" s="150"/>
      <c r="I39" s="150"/>
      <c r="J39" s="151"/>
      <c r="K39" s="151"/>
      <c r="L39" s="151"/>
      <c r="M39" s="152"/>
      <c r="N39" s="155"/>
      <c r="O39" s="154"/>
      <c r="P39" s="155"/>
      <c r="Q39" s="154"/>
      <c r="R39" s="156"/>
      <c r="S39" s="154"/>
      <c r="T39" s="152"/>
      <c r="U39" s="152"/>
      <c r="V39" s="152"/>
      <c r="W39" s="152"/>
      <c r="X39" s="152"/>
      <c r="Y39" s="152"/>
      <c r="AA39" s="152"/>
    </row>
    <row r="40" spans="1:27" x14ac:dyDescent="0.35">
      <c r="A40" s="147">
        <f t="shared" si="11"/>
        <v>33</v>
      </c>
      <c r="B40" s="136"/>
      <c r="C40" s="136"/>
      <c r="D40" s="136"/>
      <c r="E40" s="148"/>
      <c r="F40" s="181"/>
      <c r="G40" s="150"/>
      <c r="H40" s="150"/>
      <c r="I40" s="150"/>
      <c r="J40" s="151"/>
      <c r="K40" s="151"/>
      <c r="L40" s="151"/>
      <c r="M40" s="152"/>
      <c r="N40" s="155"/>
      <c r="O40" s="154"/>
      <c r="P40" s="155"/>
      <c r="Q40" s="154"/>
      <c r="R40" s="156"/>
      <c r="S40" s="154"/>
      <c r="T40" s="152"/>
      <c r="U40" s="152"/>
      <c r="V40" s="152"/>
      <c r="W40" s="152"/>
      <c r="X40" s="152"/>
      <c r="Y40" s="152"/>
      <c r="AA40" s="152"/>
    </row>
    <row r="41" spans="1:27" x14ac:dyDescent="0.35">
      <c r="A41" s="147">
        <f t="shared" si="11"/>
        <v>34</v>
      </c>
      <c r="B41" s="136"/>
      <c r="C41" s="136"/>
      <c r="D41" s="136"/>
      <c r="E41" s="148"/>
      <c r="F41" s="149"/>
      <c r="G41" s="150"/>
      <c r="H41" s="150"/>
      <c r="I41" s="150"/>
      <c r="J41" s="151"/>
      <c r="K41" s="151"/>
      <c r="L41" s="151"/>
      <c r="M41" s="152"/>
      <c r="N41" s="155"/>
      <c r="O41" s="154"/>
      <c r="P41" s="155"/>
      <c r="Q41" s="154"/>
      <c r="R41" s="156"/>
      <c r="S41" s="154"/>
      <c r="T41" s="152"/>
      <c r="U41" s="152"/>
      <c r="V41" s="152"/>
      <c r="W41" s="152"/>
      <c r="X41" s="152"/>
      <c r="Y41" s="152"/>
      <c r="AA41" s="152"/>
    </row>
    <row r="42" spans="1:27" x14ac:dyDescent="0.35">
      <c r="A42" s="147">
        <f t="shared" si="11"/>
        <v>35</v>
      </c>
      <c r="B42" s="136"/>
      <c r="C42" s="136"/>
      <c r="D42" s="136"/>
      <c r="E42" s="148"/>
      <c r="F42" s="149"/>
      <c r="G42" s="150"/>
      <c r="H42" s="150"/>
      <c r="I42" s="150"/>
      <c r="J42" s="151"/>
      <c r="K42" s="151"/>
      <c r="L42" s="151"/>
      <c r="M42" s="152"/>
      <c r="N42" s="155"/>
      <c r="O42" s="154"/>
      <c r="P42" s="155"/>
      <c r="Q42" s="154"/>
      <c r="R42" s="156"/>
      <c r="S42" s="154"/>
      <c r="T42" s="152"/>
      <c r="U42" s="152"/>
      <c r="V42" s="152"/>
      <c r="W42" s="152"/>
      <c r="X42" s="152"/>
      <c r="Y42" s="152"/>
      <c r="AA42" s="152"/>
    </row>
    <row r="43" spans="1:27" x14ac:dyDescent="0.35">
      <c r="A43" s="147">
        <f t="shared" si="11"/>
        <v>36</v>
      </c>
      <c r="B43" s="136"/>
      <c r="C43" s="136"/>
      <c r="D43" s="136"/>
      <c r="E43" s="148"/>
      <c r="F43" s="149"/>
      <c r="G43" s="150"/>
      <c r="H43" s="150"/>
      <c r="I43" s="150"/>
      <c r="J43" s="151"/>
      <c r="K43" s="151"/>
      <c r="L43" s="151"/>
      <c r="M43" s="152"/>
      <c r="N43" s="155"/>
      <c r="O43" s="154"/>
      <c r="P43" s="155"/>
      <c r="Q43" s="154"/>
      <c r="R43" s="156"/>
      <c r="S43" s="154"/>
      <c r="T43" s="152"/>
      <c r="U43" s="152"/>
      <c r="V43" s="152"/>
      <c r="W43" s="152"/>
      <c r="X43" s="152"/>
      <c r="Y43" s="152"/>
      <c r="AA43" s="152"/>
    </row>
    <row r="44" spans="1:27" x14ac:dyDescent="0.35">
      <c r="A44" s="147">
        <f t="shared" si="11"/>
        <v>37</v>
      </c>
      <c r="B44" s="136"/>
      <c r="C44" s="136"/>
      <c r="D44" s="136"/>
      <c r="E44" s="148"/>
      <c r="F44" s="149"/>
      <c r="G44" s="150"/>
      <c r="H44" s="150"/>
      <c r="I44" s="150"/>
      <c r="J44" s="151"/>
      <c r="K44" s="151"/>
      <c r="L44" s="151"/>
      <c r="M44" s="152"/>
      <c r="N44" s="155"/>
      <c r="O44" s="154"/>
      <c r="P44" s="155"/>
      <c r="Q44" s="154"/>
      <c r="R44" s="156"/>
      <c r="S44" s="154"/>
      <c r="T44" s="152"/>
      <c r="U44" s="152"/>
      <c r="V44" s="152"/>
      <c r="W44" s="152"/>
      <c r="X44" s="152"/>
      <c r="Y44" s="152"/>
      <c r="AA44" s="152"/>
    </row>
    <row r="45" spans="1:27" x14ac:dyDescent="0.35">
      <c r="A45" s="147">
        <f t="shared" si="11"/>
        <v>38</v>
      </c>
      <c r="B45" s="136"/>
      <c r="C45" s="136"/>
      <c r="D45" s="136"/>
      <c r="E45" s="148"/>
      <c r="F45" s="149"/>
      <c r="G45" s="150"/>
      <c r="H45" s="150"/>
      <c r="I45" s="150"/>
      <c r="J45" s="151"/>
      <c r="K45" s="151"/>
      <c r="L45" s="151"/>
      <c r="M45" s="152"/>
      <c r="N45" s="155"/>
      <c r="O45" s="154"/>
      <c r="P45" s="155"/>
      <c r="Q45" s="154"/>
      <c r="R45" s="156"/>
      <c r="S45" s="154"/>
      <c r="T45" s="152"/>
      <c r="U45" s="152"/>
      <c r="V45" s="152"/>
      <c r="W45" s="152"/>
      <c r="X45" s="152"/>
      <c r="Y45" s="152"/>
      <c r="AA45" s="152"/>
    </row>
    <row r="46" spans="1:27" x14ac:dyDescent="0.35">
      <c r="A46" s="169"/>
      <c r="B46" s="170"/>
      <c r="C46" s="170"/>
      <c r="D46" s="170"/>
      <c r="E46" s="171"/>
      <c r="F46" s="172"/>
      <c r="G46" s="173"/>
      <c r="H46" s="173"/>
      <c r="I46" s="173"/>
      <c r="J46" s="174"/>
      <c r="K46" s="174"/>
      <c r="L46" s="174"/>
      <c r="M46" s="175"/>
      <c r="N46" s="176"/>
      <c r="O46" s="177"/>
      <c r="P46" s="176"/>
      <c r="Q46" s="177"/>
      <c r="R46" s="178"/>
      <c r="S46" s="177"/>
      <c r="T46" s="175"/>
      <c r="U46" s="175"/>
      <c r="V46" s="175"/>
      <c r="W46" s="175"/>
      <c r="X46" s="175"/>
      <c r="Y46" s="175"/>
      <c r="AA46" s="175"/>
    </row>
    <row r="47" spans="1:27" x14ac:dyDescent="0.35">
      <c r="A47" s="147">
        <f>+A45+1</f>
        <v>39</v>
      </c>
      <c r="B47" s="136"/>
      <c r="C47" s="136"/>
      <c r="D47" s="136"/>
      <c r="E47" s="148"/>
      <c r="F47" s="181"/>
      <c r="G47" s="150"/>
      <c r="H47" s="150"/>
      <c r="I47" s="150"/>
      <c r="J47" s="151"/>
      <c r="K47" s="151"/>
      <c r="L47" s="151"/>
      <c r="M47" s="152"/>
      <c r="N47" s="155"/>
      <c r="O47" s="154"/>
      <c r="P47" s="155"/>
      <c r="Q47" s="154"/>
      <c r="R47" s="156"/>
      <c r="S47" s="154"/>
      <c r="T47" s="152"/>
      <c r="U47" s="152"/>
      <c r="V47" s="152"/>
      <c r="W47" s="152"/>
      <c r="X47" s="152"/>
      <c r="Y47" s="152"/>
      <c r="AA47" s="152"/>
    </row>
    <row r="48" spans="1:27" x14ac:dyDescent="0.35">
      <c r="A48" s="147">
        <f t="shared" si="11"/>
        <v>40</v>
      </c>
      <c r="B48" s="136"/>
      <c r="C48" s="136"/>
      <c r="D48" s="136"/>
      <c r="E48" s="148"/>
      <c r="F48" s="181"/>
      <c r="G48" s="150"/>
      <c r="H48" s="150"/>
      <c r="I48" s="150"/>
      <c r="J48" s="151"/>
      <c r="K48" s="151"/>
      <c r="L48" s="151"/>
      <c r="M48" s="152"/>
      <c r="N48" s="155"/>
      <c r="O48" s="154"/>
      <c r="P48" s="155"/>
      <c r="Q48" s="154"/>
      <c r="R48" s="156"/>
      <c r="S48" s="154"/>
      <c r="T48" s="152"/>
      <c r="U48" s="152"/>
      <c r="V48" s="152"/>
      <c r="W48" s="152"/>
      <c r="X48" s="152"/>
      <c r="Y48" s="152"/>
      <c r="AA48" s="152"/>
    </row>
    <row r="49" spans="1:27" x14ac:dyDescent="0.35">
      <c r="A49" s="169"/>
      <c r="B49" s="170"/>
      <c r="C49" s="170"/>
      <c r="D49" s="170"/>
      <c r="E49" s="171"/>
      <c r="F49" s="172"/>
      <c r="G49" s="173"/>
      <c r="H49" s="173"/>
      <c r="I49" s="173"/>
      <c r="J49" s="174"/>
      <c r="K49" s="174"/>
      <c r="L49" s="174"/>
      <c r="M49" s="175"/>
      <c r="N49" s="176"/>
      <c r="O49" s="177"/>
      <c r="P49" s="176"/>
      <c r="Q49" s="177"/>
      <c r="R49" s="178"/>
      <c r="S49" s="177"/>
      <c r="T49" s="175"/>
      <c r="U49" s="175"/>
      <c r="V49" s="175"/>
      <c r="W49" s="175"/>
      <c r="X49" s="175"/>
      <c r="Y49" s="175"/>
      <c r="AA49" s="175"/>
    </row>
    <row r="50" spans="1:27" x14ac:dyDescent="0.35">
      <c r="A50" s="147">
        <f>+A48+1</f>
        <v>41</v>
      </c>
      <c r="B50" s="136"/>
      <c r="C50" s="136"/>
      <c r="D50" s="136"/>
      <c r="E50" s="148"/>
      <c r="F50" s="149"/>
      <c r="G50" s="150"/>
      <c r="H50" s="150"/>
      <c r="I50" s="150"/>
      <c r="J50" s="151"/>
      <c r="K50" s="151"/>
      <c r="L50" s="151"/>
      <c r="M50" s="152"/>
      <c r="N50" s="155"/>
      <c r="O50" s="154"/>
      <c r="P50" s="155"/>
      <c r="Q50" s="154"/>
      <c r="R50" s="156"/>
      <c r="S50" s="154"/>
      <c r="T50" s="152"/>
      <c r="U50" s="152"/>
      <c r="V50" s="152"/>
      <c r="W50" s="152"/>
      <c r="X50" s="152"/>
      <c r="Y50" s="152"/>
      <c r="AA50" s="152"/>
    </row>
    <row r="51" spans="1:27" x14ac:dyDescent="0.35">
      <c r="A51" s="147">
        <f t="shared" si="11"/>
        <v>42</v>
      </c>
      <c r="B51" s="136"/>
      <c r="C51" s="136"/>
      <c r="D51" s="136"/>
      <c r="E51" s="148"/>
      <c r="F51" s="149"/>
      <c r="G51" s="150"/>
      <c r="H51" s="150"/>
      <c r="I51" s="150"/>
      <c r="J51" s="151"/>
      <c r="K51" s="151"/>
      <c r="L51" s="151"/>
      <c r="M51" s="152"/>
      <c r="N51" s="155"/>
      <c r="O51" s="154"/>
      <c r="P51" s="155"/>
      <c r="Q51" s="154"/>
      <c r="R51" s="156"/>
      <c r="S51" s="154"/>
      <c r="T51" s="152"/>
      <c r="U51" s="152"/>
      <c r="V51" s="152"/>
      <c r="W51" s="152"/>
      <c r="X51" s="152"/>
      <c r="Y51" s="152"/>
      <c r="AA51" s="152"/>
    </row>
    <row r="52" spans="1:27" x14ac:dyDescent="0.35">
      <c r="A52" s="147">
        <f t="shared" si="11"/>
        <v>43</v>
      </c>
      <c r="B52" s="136"/>
      <c r="C52" s="136"/>
      <c r="D52" s="136"/>
      <c r="E52" s="182"/>
      <c r="F52" s="149"/>
      <c r="G52" s="183"/>
      <c r="H52" s="183"/>
      <c r="I52" s="183"/>
      <c r="J52" s="151"/>
      <c r="K52" s="183"/>
      <c r="L52" s="183"/>
      <c r="M52" s="118"/>
      <c r="N52" s="155"/>
      <c r="O52" s="154"/>
      <c r="P52" s="155"/>
      <c r="Q52" s="154"/>
      <c r="R52" s="156"/>
      <c r="S52" s="154"/>
      <c r="T52" s="118"/>
      <c r="U52" s="118"/>
      <c r="V52" s="152"/>
      <c r="W52" s="152"/>
      <c r="X52" s="152"/>
      <c r="Y52" s="152"/>
      <c r="AA52" s="152"/>
    </row>
    <row r="53" spans="1:27" x14ac:dyDescent="0.35">
      <c r="E53" s="184"/>
      <c r="F53" s="172"/>
      <c r="G53" s="185"/>
      <c r="H53" s="185"/>
      <c r="I53" s="185"/>
      <c r="J53" s="185"/>
      <c r="K53" s="185"/>
      <c r="L53" s="185"/>
      <c r="M53" s="134"/>
      <c r="N53" s="186"/>
      <c r="O53" s="187"/>
      <c r="P53" s="186"/>
      <c r="Q53" s="187"/>
      <c r="R53" s="188"/>
      <c r="S53" s="187"/>
      <c r="T53" s="134"/>
      <c r="U53" s="134"/>
      <c r="V53" s="134"/>
      <c r="W53" s="134"/>
      <c r="X53" s="175"/>
      <c r="Y53" s="175"/>
      <c r="AA53" s="175"/>
    </row>
    <row r="54" spans="1:27" x14ac:dyDescent="0.35">
      <c r="A54" s="147">
        <f>+A52+1</f>
        <v>44</v>
      </c>
      <c r="B54" s="136"/>
      <c r="C54" s="136"/>
      <c r="D54" s="136"/>
      <c r="E54" s="182"/>
      <c r="F54" s="181"/>
      <c r="G54" s="183"/>
      <c r="H54" s="183"/>
      <c r="I54" s="183"/>
      <c r="J54" s="151"/>
      <c r="K54" s="183"/>
      <c r="L54" s="183"/>
      <c r="M54" s="118"/>
      <c r="N54" s="155"/>
      <c r="O54" s="154"/>
      <c r="P54" s="155"/>
      <c r="Q54" s="154"/>
      <c r="R54" s="156"/>
      <c r="S54" s="154"/>
      <c r="T54" s="118"/>
      <c r="U54" s="118"/>
      <c r="V54" s="152"/>
      <c r="W54" s="152"/>
      <c r="X54" s="152"/>
      <c r="Y54" s="152"/>
      <c r="AA54" s="152"/>
    </row>
    <row r="55" spans="1:27" x14ac:dyDescent="0.35">
      <c r="A55" s="147">
        <f t="shared" ref="A55:A58" si="15">+A54+1</f>
        <v>45</v>
      </c>
      <c r="B55" s="136"/>
      <c r="C55" s="136"/>
      <c r="D55" s="136"/>
      <c r="E55" s="182"/>
      <c r="F55" s="181"/>
      <c r="G55" s="183"/>
      <c r="H55" s="183"/>
      <c r="I55" s="183"/>
      <c r="J55" s="151"/>
      <c r="K55" s="183"/>
      <c r="L55" s="183"/>
      <c r="M55" s="118"/>
      <c r="N55" s="155"/>
      <c r="O55" s="154"/>
      <c r="P55" s="155"/>
      <c r="Q55" s="154"/>
      <c r="R55" s="156"/>
      <c r="S55" s="154"/>
      <c r="T55" s="118"/>
      <c r="U55" s="118"/>
      <c r="V55" s="152"/>
      <c r="W55" s="152"/>
      <c r="X55" s="152"/>
      <c r="Y55" s="152"/>
      <c r="AA55" s="152"/>
    </row>
    <row r="56" spans="1:27" x14ac:dyDescent="0.35">
      <c r="A56" s="147">
        <f t="shared" si="15"/>
        <v>46</v>
      </c>
      <c r="B56" s="136"/>
      <c r="C56" s="136"/>
      <c r="D56" s="136"/>
      <c r="E56" s="182"/>
      <c r="F56" s="181"/>
      <c r="G56" s="183"/>
      <c r="H56" s="183"/>
      <c r="I56" s="183"/>
      <c r="J56" s="151"/>
      <c r="K56" s="183"/>
      <c r="L56" s="183"/>
      <c r="M56" s="118"/>
      <c r="N56" s="155"/>
      <c r="O56" s="154"/>
      <c r="P56" s="155"/>
      <c r="Q56" s="154"/>
      <c r="R56" s="156"/>
      <c r="S56" s="154"/>
      <c r="T56" s="118"/>
      <c r="U56" s="118"/>
      <c r="V56" s="152"/>
      <c r="W56" s="152"/>
      <c r="X56" s="152"/>
      <c r="Y56" s="152"/>
      <c r="AA56" s="152"/>
    </row>
    <row r="57" spans="1:27" x14ac:dyDescent="0.35">
      <c r="A57" s="147">
        <f t="shared" si="15"/>
        <v>47</v>
      </c>
      <c r="B57" s="136"/>
      <c r="C57" s="136"/>
      <c r="D57" s="136"/>
      <c r="E57" s="182"/>
      <c r="F57" s="181"/>
      <c r="G57" s="183"/>
      <c r="H57" s="183"/>
      <c r="I57" s="183"/>
      <c r="J57" s="151"/>
      <c r="K57" s="183"/>
      <c r="L57" s="183"/>
      <c r="M57" s="118"/>
      <c r="N57" s="155"/>
      <c r="O57" s="154"/>
      <c r="P57" s="155"/>
      <c r="Q57" s="154"/>
      <c r="R57" s="156"/>
      <c r="S57" s="154"/>
      <c r="T57" s="118"/>
      <c r="U57" s="118"/>
      <c r="V57" s="152"/>
      <c r="W57" s="152"/>
      <c r="X57" s="152"/>
      <c r="Y57" s="152"/>
      <c r="AA57" s="152"/>
    </row>
    <row r="58" spans="1:27" x14ac:dyDescent="0.35">
      <c r="A58" s="147">
        <f t="shared" si="15"/>
        <v>48</v>
      </c>
      <c r="B58" s="136"/>
      <c r="C58" s="136"/>
      <c r="D58" s="136"/>
      <c r="E58" s="182"/>
      <c r="F58" s="181"/>
      <c r="G58" s="183"/>
      <c r="H58" s="183"/>
      <c r="I58" s="183"/>
      <c r="J58" s="151"/>
      <c r="K58" s="183"/>
      <c r="L58" s="183"/>
      <c r="M58" s="118"/>
      <c r="N58" s="155"/>
      <c r="O58" s="154"/>
      <c r="P58" s="155"/>
      <c r="Q58" s="154"/>
      <c r="R58" s="156"/>
      <c r="S58" s="154"/>
      <c r="T58" s="118"/>
      <c r="U58" s="118"/>
      <c r="V58" s="152"/>
      <c r="W58" s="152"/>
      <c r="X58" s="152"/>
      <c r="Y58" s="152"/>
      <c r="AA58" s="152"/>
    </row>
    <row r="59" spans="1:27" x14ac:dyDescent="0.35"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</row>
    <row r="60" spans="1:27" s="191" customFormat="1" x14ac:dyDescent="0.35">
      <c r="A60" s="147">
        <f>+A58+1</f>
        <v>49</v>
      </c>
      <c r="B60" s="136"/>
      <c r="C60" s="136"/>
      <c r="D60" s="136"/>
      <c r="E60" s="148"/>
      <c r="F60" s="189"/>
      <c r="G60" s="150"/>
      <c r="H60" s="150"/>
      <c r="I60" s="150"/>
      <c r="J60" s="151"/>
      <c r="K60" s="151"/>
      <c r="L60" s="151"/>
      <c r="M60" s="152"/>
      <c r="N60" s="155"/>
      <c r="O60" s="154"/>
      <c r="P60" s="155"/>
      <c r="Q60" s="154"/>
      <c r="R60" s="156"/>
      <c r="S60" s="154"/>
      <c r="T60" s="152"/>
      <c r="U60" s="152"/>
      <c r="V60" s="152"/>
      <c r="W60" s="152"/>
      <c r="X60" s="152"/>
      <c r="Y60" s="152"/>
      <c r="Z60" s="190"/>
      <c r="AA60" s="152"/>
    </row>
    <row r="61" spans="1:27" s="191" customFormat="1" x14ac:dyDescent="0.35">
      <c r="A61" s="147">
        <f>+A60+1</f>
        <v>50</v>
      </c>
      <c r="B61" s="136"/>
      <c r="C61" s="136"/>
      <c r="D61" s="136"/>
      <c r="E61" s="148"/>
      <c r="F61" s="189"/>
      <c r="G61" s="150"/>
      <c r="H61" s="150"/>
      <c r="I61" s="150"/>
      <c r="J61" s="151"/>
      <c r="K61" s="151"/>
      <c r="L61" s="151"/>
      <c r="M61" s="152"/>
      <c r="N61" s="155"/>
      <c r="O61" s="154"/>
      <c r="P61" s="155"/>
      <c r="Q61" s="154"/>
      <c r="R61" s="156"/>
      <c r="S61" s="154"/>
      <c r="T61" s="152"/>
      <c r="U61" s="152"/>
      <c r="V61" s="152"/>
      <c r="W61" s="152"/>
      <c r="X61" s="152"/>
      <c r="Y61" s="152"/>
      <c r="Z61" s="190"/>
      <c r="AA61" s="152"/>
    </row>
    <row r="62" spans="1:27" s="191" customFormat="1" x14ac:dyDescent="0.35">
      <c r="A62" s="147">
        <f t="shared" ref="A62:A66" si="16">+A61+1</f>
        <v>51</v>
      </c>
      <c r="B62" s="136"/>
      <c r="C62" s="136"/>
      <c r="D62" s="136"/>
      <c r="E62" s="148"/>
      <c r="F62" s="189"/>
      <c r="G62" s="150"/>
      <c r="H62" s="150"/>
      <c r="I62" s="150"/>
      <c r="J62" s="151"/>
      <c r="K62" s="151"/>
      <c r="L62" s="151"/>
      <c r="M62" s="152"/>
      <c r="N62" s="155"/>
      <c r="O62" s="154"/>
      <c r="P62" s="155"/>
      <c r="Q62" s="154"/>
      <c r="R62" s="156"/>
      <c r="S62" s="154"/>
      <c r="T62" s="152"/>
      <c r="U62" s="152"/>
      <c r="V62" s="152"/>
      <c r="W62" s="152"/>
      <c r="X62" s="152"/>
      <c r="Y62" s="152"/>
      <c r="Z62" s="190"/>
      <c r="AA62" s="152"/>
    </row>
    <row r="63" spans="1:27" s="191" customFormat="1" x14ac:dyDescent="0.35">
      <c r="A63" s="147">
        <f t="shared" si="16"/>
        <v>52</v>
      </c>
      <c r="B63" s="136"/>
      <c r="C63" s="136"/>
      <c r="D63" s="136"/>
      <c r="E63" s="148"/>
      <c r="F63" s="189"/>
      <c r="G63" s="150"/>
      <c r="H63" s="150"/>
      <c r="I63" s="150"/>
      <c r="J63" s="151"/>
      <c r="K63" s="151"/>
      <c r="L63" s="151"/>
      <c r="M63" s="152"/>
      <c r="N63" s="155"/>
      <c r="O63" s="154"/>
      <c r="P63" s="155"/>
      <c r="Q63" s="154"/>
      <c r="R63" s="156"/>
      <c r="S63" s="154"/>
      <c r="T63" s="152"/>
      <c r="U63" s="152"/>
      <c r="V63" s="152"/>
      <c r="W63" s="152"/>
      <c r="X63" s="152"/>
      <c r="Y63" s="152"/>
      <c r="Z63" s="190"/>
      <c r="AA63" s="152"/>
    </row>
    <row r="64" spans="1:27" s="191" customFormat="1" x14ac:dyDescent="0.35">
      <c r="A64" s="147">
        <f t="shared" si="16"/>
        <v>53</v>
      </c>
      <c r="B64" s="136"/>
      <c r="C64" s="136"/>
      <c r="D64" s="136"/>
      <c r="E64" s="148"/>
      <c r="F64" s="189"/>
      <c r="G64" s="150"/>
      <c r="H64" s="150"/>
      <c r="I64" s="150"/>
      <c r="J64" s="151"/>
      <c r="K64" s="151"/>
      <c r="L64" s="151"/>
      <c r="M64" s="152"/>
      <c r="N64" s="155"/>
      <c r="O64" s="154"/>
      <c r="P64" s="155"/>
      <c r="Q64" s="154"/>
      <c r="R64" s="156"/>
      <c r="S64" s="154"/>
      <c r="T64" s="152"/>
      <c r="U64" s="152"/>
      <c r="V64" s="152"/>
      <c r="W64" s="152"/>
      <c r="X64" s="152"/>
      <c r="Y64" s="152"/>
      <c r="Z64" s="190"/>
      <c r="AA64" s="152"/>
    </row>
    <row r="65" spans="1:27" s="191" customFormat="1" x14ac:dyDescent="0.35">
      <c r="A65" s="147">
        <f t="shared" si="16"/>
        <v>54</v>
      </c>
      <c r="B65" s="136"/>
      <c r="C65" s="136"/>
      <c r="D65" s="136"/>
      <c r="E65" s="148"/>
      <c r="F65" s="189"/>
      <c r="G65" s="150"/>
      <c r="H65" s="150"/>
      <c r="I65" s="151"/>
      <c r="J65" s="151"/>
      <c r="K65" s="151"/>
      <c r="L65" s="151"/>
      <c r="M65" s="152"/>
      <c r="N65" s="155"/>
      <c r="O65" s="154"/>
      <c r="P65" s="155"/>
      <c r="Q65" s="154"/>
      <c r="R65" s="156"/>
      <c r="S65" s="154"/>
      <c r="T65" s="152"/>
      <c r="U65" s="152"/>
      <c r="V65" s="152"/>
      <c r="W65" s="152"/>
      <c r="X65" s="152"/>
      <c r="Y65" s="152"/>
      <c r="Z65" s="190"/>
      <c r="AA65" s="152"/>
    </row>
    <row r="66" spans="1:27" s="191" customFormat="1" x14ac:dyDescent="0.35">
      <c r="A66" s="147">
        <f t="shared" si="16"/>
        <v>55</v>
      </c>
      <c r="B66" s="136"/>
      <c r="C66" s="136"/>
      <c r="D66" s="136"/>
      <c r="E66" s="148"/>
      <c r="F66" s="192"/>
      <c r="G66" s="150"/>
      <c r="H66" s="150"/>
      <c r="I66" s="150"/>
      <c r="J66" s="151"/>
      <c r="K66" s="151"/>
      <c r="L66" s="151"/>
      <c r="M66" s="152"/>
      <c r="N66" s="155"/>
      <c r="O66" s="154"/>
      <c r="P66" s="155"/>
      <c r="Q66" s="154"/>
      <c r="R66" s="156"/>
      <c r="S66" s="154"/>
      <c r="T66" s="152"/>
      <c r="U66" s="152"/>
      <c r="V66" s="152"/>
      <c r="W66" s="152"/>
      <c r="X66" s="152"/>
      <c r="Y66" s="152"/>
      <c r="AA66" s="152"/>
    </row>
    <row r="67" spans="1:27" x14ac:dyDescent="0.35">
      <c r="L67" s="193"/>
    </row>
    <row r="68" spans="1:27" x14ac:dyDescent="0.35">
      <c r="A68" s="147">
        <f>+A66+1</f>
        <v>56</v>
      </c>
      <c r="B68" s="194"/>
      <c r="C68" s="136"/>
      <c r="D68" s="136"/>
      <c r="E68" s="148"/>
      <c r="F68" s="195"/>
      <c r="G68" s="150"/>
      <c r="H68" s="150"/>
      <c r="I68" s="150"/>
      <c r="J68" s="151"/>
      <c r="K68" s="151"/>
      <c r="L68" s="151"/>
      <c r="M68" s="196"/>
      <c r="N68" s="155"/>
      <c r="O68" s="154"/>
      <c r="P68" s="155"/>
      <c r="Q68" s="154"/>
      <c r="R68" s="156"/>
      <c r="S68" s="154"/>
      <c r="T68" s="152"/>
      <c r="U68" s="152"/>
      <c r="V68" s="152"/>
      <c r="W68" s="152"/>
      <c r="X68" s="152"/>
      <c r="Y68" s="152"/>
      <c r="AA68" s="152"/>
    </row>
    <row r="69" spans="1:27" x14ac:dyDescent="0.35">
      <c r="A69" s="147">
        <f t="shared" ref="A69:A70" si="17">+A68+1</f>
        <v>57</v>
      </c>
      <c r="B69" s="194"/>
      <c r="C69" s="136"/>
      <c r="D69" s="136"/>
      <c r="E69" s="148"/>
      <c r="F69" s="195"/>
      <c r="G69" s="150"/>
      <c r="H69" s="150"/>
      <c r="I69" s="150"/>
      <c r="J69" s="151"/>
      <c r="K69" s="151"/>
      <c r="L69" s="151"/>
      <c r="M69" s="196"/>
      <c r="N69" s="155"/>
      <c r="O69" s="154"/>
      <c r="P69" s="155"/>
      <c r="Q69" s="154"/>
      <c r="R69" s="156"/>
      <c r="S69" s="154"/>
      <c r="T69" s="152"/>
      <c r="U69" s="152"/>
      <c r="V69" s="152"/>
      <c r="W69" s="152"/>
      <c r="X69" s="152"/>
      <c r="Y69" s="152"/>
      <c r="AA69" s="152"/>
    </row>
    <row r="70" spans="1:27" x14ac:dyDescent="0.35">
      <c r="A70" s="147">
        <f t="shared" si="17"/>
        <v>58</v>
      </c>
      <c r="B70" s="194"/>
      <c r="C70" s="136"/>
      <c r="D70" s="136"/>
      <c r="E70" s="148"/>
      <c r="F70" s="195"/>
      <c r="G70" s="150"/>
      <c r="H70" s="150"/>
      <c r="I70" s="150"/>
      <c r="J70" s="151"/>
      <c r="K70" s="151"/>
      <c r="L70" s="151"/>
      <c r="M70" s="196"/>
      <c r="N70" s="155"/>
      <c r="O70" s="154"/>
      <c r="P70" s="155"/>
      <c r="Q70" s="154"/>
      <c r="R70" s="156"/>
      <c r="S70" s="154"/>
      <c r="T70" s="152"/>
      <c r="U70" s="152"/>
      <c r="V70" s="152"/>
      <c r="W70" s="152"/>
      <c r="X70" s="152"/>
      <c r="Y70" s="152"/>
      <c r="AA70" s="152"/>
    </row>
    <row r="71" spans="1:27" x14ac:dyDescent="0.35">
      <c r="B71" s="19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6" priority="7" stopIfTrue="1" operator="lessThan">
      <formula>1</formula>
    </cfRule>
  </conditionalFormatting>
  <conditionalFormatting sqref="A6:D67">
    <cfRule type="cellIs" dxfId="5" priority="4" stopIfTrue="1" operator="lessThan">
      <formula>1</formula>
    </cfRule>
  </conditionalFormatting>
  <conditionalFormatting sqref="A68:D70">
    <cfRule type="cellIs" dxfId="4" priority="1" stopIfTrue="1" operator="lessThan">
      <formula>1</formula>
    </cfRule>
  </conditionalFormatting>
  <conditionalFormatting sqref="A159:D163">
    <cfRule type="cellIs" dxfId="3" priority="6" stopIfTrue="1" operator="lessThan">
      <formula>1</formula>
    </cfRule>
  </conditionalFormatting>
  <conditionalFormatting sqref="A170:D172">
    <cfRule type="cellIs" dxfId="2" priority="5" stopIfTrue="1" operator="lessThan">
      <formula>1</formula>
    </cfRule>
  </conditionalFormatting>
  <conditionalFormatting sqref="D1:D3 D71:D1048576 D6:D67">
    <cfRule type="duplicateValues" dxfId="1" priority="2"/>
  </conditionalFormatting>
  <conditionalFormatting sqref="D6:D66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EV37"/>
  <sheetViews>
    <sheetView topLeftCell="A11" workbookViewId="0">
      <selection activeCell="A16" sqref="A16:A22"/>
    </sheetView>
  </sheetViews>
  <sheetFormatPr defaultColWidth="29.81640625" defaultRowHeight="14.5" x14ac:dyDescent="0.35"/>
  <cols>
    <col min="1" max="1" width="12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81640625" style="61" customWidth="1"/>
    <col min="10" max="10" width="8.54296875" bestFit="1" customWidth="1"/>
    <col min="11" max="12" width="7.54296875" bestFit="1" customWidth="1"/>
    <col min="13" max="13" width="8" customWidth="1"/>
    <col min="14" max="14" width="11.453125" style="61" customWidth="1"/>
    <col min="15" max="15" width="9.54296875" customWidth="1"/>
    <col min="16" max="16" width="9.54296875" bestFit="1" customWidth="1"/>
    <col min="17" max="17" width="6.1796875" customWidth="1"/>
    <col min="18" max="18" width="9.1796875" bestFit="1" customWidth="1"/>
    <col min="19" max="21" width="6.1796875" style="61" customWidth="1"/>
    <col min="22" max="22" width="7.26953125" customWidth="1"/>
    <col min="23" max="23" width="10.1796875" bestFit="1" customWidth="1"/>
  </cols>
  <sheetData>
    <row r="2" spans="1:23 16375:16376" ht="21" x14ac:dyDescent="0.5">
      <c r="A2" s="363" t="s">
        <v>142</v>
      </c>
      <c r="B2" s="363"/>
      <c r="C2" s="363"/>
    </row>
    <row r="3" spans="1:23 16375:16376" ht="15" customHeight="1" x14ac:dyDescent="0.35">
      <c r="A3" s="331" t="s">
        <v>89</v>
      </c>
      <c r="B3" s="331"/>
      <c r="C3" s="331"/>
      <c r="F3" s="83"/>
      <c r="G3" s="1"/>
      <c r="K3" s="330" t="s">
        <v>43</v>
      </c>
      <c r="L3" s="330"/>
      <c r="M3" s="330"/>
      <c r="N3" s="331"/>
      <c r="O3" s="331"/>
      <c r="P3" s="331"/>
      <c r="R3" s="83"/>
      <c r="S3" s="216"/>
      <c r="XEU3" t="s">
        <v>78</v>
      </c>
      <c r="XEV3" s="122">
        <v>5.0000000000000001E-3</v>
      </c>
    </row>
    <row r="4" spans="1:23 16375:16376" ht="15" customHeight="1" x14ac:dyDescent="0.35">
      <c r="A4" s="331" t="s">
        <v>65</v>
      </c>
      <c r="B4" s="331"/>
      <c r="C4" s="331"/>
      <c r="F4" s="83"/>
      <c r="G4" s="1"/>
      <c r="K4" s="330" t="s">
        <v>44</v>
      </c>
      <c r="L4" s="330"/>
      <c r="M4" s="330"/>
      <c r="N4" s="332">
        <f ca="1">TODAY()+1</f>
        <v>46320</v>
      </c>
      <c r="O4" s="332"/>
      <c r="P4" s="332"/>
      <c r="R4" s="83"/>
      <c r="S4" s="216"/>
      <c r="XEU4" s="85" t="s">
        <v>79</v>
      </c>
      <c r="XEV4" s="122">
        <v>2.5000000000000001E-2</v>
      </c>
    </row>
    <row r="5" spans="1:23 16375:16376" ht="15" customHeight="1" x14ac:dyDescent="0.35">
      <c r="A5" s="364" t="s">
        <v>136</v>
      </c>
      <c r="B5" s="364"/>
      <c r="C5" s="364"/>
      <c r="F5" s="83"/>
      <c r="G5" s="1"/>
      <c r="K5" s="330" t="s">
        <v>45</v>
      </c>
      <c r="L5" s="330"/>
      <c r="M5" s="330"/>
      <c r="N5" s="332">
        <f ca="1">N4-1</f>
        <v>46319</v>
      </c>
      <c r="O5" s="331"/>
      <c r="P5" s="331"/>
      <c r="R5" s="83"/>
      <c r="S5" s="216"/>
    </row>
    <row r="6" spans="1:23 16375:16376" ht="15" customHeight="1" x14ac:dyDescent="0.35">
      <c r="A6" s="364" t="s">
        <v>90</v>
      </c>
      <c r="B6" s="364"/>
      <c r="C6" s="364"/>
      <c r="F6" s="83"/>
      <c r="G6" s="84"/>
      <c r="K6" s="330" t="s">
        <v>69</v>
      </c>
      <c r="L6" s="330"/>
      <c r="M6" s="330"/>
      <c r="N6" s="329" t="s">
        <v>62</v>
      </c>
      <c r="O6" s="329"/>
      <c r="P6" s="329"/>
      <c r="R6" s="83"/>
      <c r="S6" s="217"/>
      <c r="XEU6" t="s">
        <v>77</v>
      </c>
      <c r="XEV6" s="120">
        <v>0.18</v>
      </c>
    </row>
    <row r="7" spans="1:23 16375:16376" s="85" customFormat="1" x14ac:dyDescent="0.35">
      <c r="A7" s="330" t="s">
        <v>73</v>
      </c>
      <c r="B7" s="330"/>
      <c r="C7" s="330"/>
      <c r="F7" s="83"/>
      <c r="G7" s="84"/>
      <c r="I7" s="218"/>
      <c r="K7" s="330" t="s">
        <v>66</v>
      </c>
      <c r="L7" s="330"/>
      <c r="M7" s="330"/>
      <c r="N7" s="329" t="s">
        <v>70</v>
      </c>
      <c r="O7" s="329"/>
      <c r="P7" s="329"/>
      <c r="R7" s="83"/>
      <c r="S7" s="217"/>
      <c r="T7" s="218"/>
      <c r="U7" s="218"/>
      <c r="XEU7" t="s">
        <v>76</v>
      </c>
      <c r="XEV7" s="120">
        <v>0.22</v>
      </c>
    </row>
    <row r="8" spans="1:23 16375:16376" ht="15" customHeight="1" x14ac:dyDescent="0.35">
      <c r="A8" s="371" t="s">
        <v>91</v>
      </c>
      <c r="B8" s="371"/>
      <c r="C8" s="371"/>
      <c r="F8" s="83"/>
      <c r="G8" s="84"/>
      <c r="K8" s="330" t="s">
        <v>67</v>
      </c>
      <c r="L8" s="330"/>
      <c r="M8" s="330"/>
      <c r="N8" s="329" t="s">
        <v>71</v>
      </c>
      <c r="O8" s="329"/>
      <c r="P8" s="329"/>
      <c r="R8" s="83"/>
      <c r="S8" s="217"/>
    </row>
    <row r="9" spans="1:23 16375:16376" x14ac:dyDescent="0.35">
      <c r="A9" s="371" t="s">
        <v>92</v>
      </c>
      <c r="B9" s="371"/>
      <c r="C9" s="371"/>
      <c r="F9" s="83"/>
      <c r="G9" s="84"/>
      <c r="K9" s="330" t="s">
        <v>68</v>
      </c>
      <c r="L9" s="330"/>
      <c r="M9" s="330"/>
      <c r="N9" s="329" t="s">
        <v>94</v>
      </c>
      <c r="O9" s="329"/>
      <c r="P9" s="329"/>
      <c r="R9" s="83"/>
      <c r="S9" s="217"/>
      <c r="XEV9" t="s">
        <v>49</v>
      </c>
    </row>
    <row r="10" spans="1:23 16375:16376" x14ac:dyDescent="0.35">
      <c r="A10" s="371" t="s">
        <v>93</v>
      </c>
      <c r="B10" s="371"/>
      <c r="C10" s="371"/>
      <c r="F10" s="83"/>
      <c r="G10" s="1"/>
      <c r="K10" s="330" t="s">
        <v>46</v>
      </c>
      <c r="L10" s="330"/>
      <c r="M10" s="330"/>
      <c r="N10" s="331" t="s">
        <v>47</v>
      </c>
      <c r="O10" s="331"/>
      <c r="P10" s="331"/>
      <c r="R10" s="83"/>
      <c r="S10" s="216"/>
      <c r="XEV10" t="s">
        <v>80</v>
      </c>
    </row>
    <row r="11" spans="1:23 16375:16376" s="85" customFormat="1" ht="15" thickBot="1" x14ac:dyDescent="0.4">
      <c r="A11" s="224" t="s">
        <v>134</v>
      </c>
      <c r="B11" s="225" t="s">
        <v>78</v>
      </c>
      <c r="C11" s="226" t="str">
        <f>IF($O34&gt;2.49%,"No","Yes")</f>
        <v>Yes</v>
      </c>
      <c r="F11" s="83"/>
      <c r="G11" s="84"/>
      <c r="I11" s="218"/>
      <c r="K11" s="330" t="s">
        <v>48</v>
      </c>
      <c r="L11" s="330"/>
      <c r="M11" s="330"/>
      <c r="N11" s="329" t="s">
        <v>49</v>
      </c>
      <c r="O11" s="329"/>
      <c r="P11" s="329"/>
      <c r="Q11" s="227"/>
      <c r="R11" s="83"/>
      <c r="S11" s="217"/>
      <c r="T11" s="218"/>
      <c r="U11" s="218"/>
    </row>
    <row r="12" spans="1:23 16375:16376" ht="14.5" hidden="1" customHeight="1" x14ac:dyDescent="0.35">
      <c r="A12" s="211" t="s">
        <v>135</v>
      </c>
      <c r="B12" s="208" t="s">
        <v>76</v>
      </c>
      <c r="C12" s="81" t="str">
        <f>IF($O32&gt;21.99%,"No","Yes")</f>
        <v>Yes</v>
      </c>
      <c r="F12" s="83"/>
      <c r="G12" s="1"/>
      <c r="K12" s="330" t="s">
        <v>50</v>
      </c>
      <c r="L12" s="330"/>
      <c r="M12" s="330"/>
      <c r="N12" s="331"/>
      <c r="O12" s="331"/>
      <c r="P12" s="331"/>
      <c r="R12" s="83"/>
      <c r="S12" s="216"/>
      <c r="XEV12" t="s">
        <v>94</v>
      </c>
    </row>
    <row r="13" spans="1:23 16375:16376" ht="15" thickBot="1" x14ac:dyDescent="0.4">
      <c r="J13" s="81"/>
      <c r="K13" s="93"/>
      <c r="L13" s="214"/>
      <c r="S13" s="326" t="s">
        <v>140</v>
      </c>
      <c r="T13" s="327"/>
      <c r="U13" s="328"/>
      <c r="XEV13" t="s">
        <v>95</v>
      </c>
    </row>
    <row r="14" spans="1:23 16375:16376" ht="20.5" customHeight="1" thickBot="1" x14ac:dyDescent="0.4">
      <c r="A14" s="352" t="s">
        <v>51</v>
      </c>
      <c r="B14" s="353"/>
      <c r="C14" s="369" t="s">
        <v>88</v>
      </c>
      <c r="D14" s="106" t="s">
        <v>52</v>
      </c>
      <c r="E14" s="372" t="s">
        <v>58</v>
      </c>
      <c r="F14" s="373"/>
      <c r="G14" s="350" t="s">
        <v>54</v>
      </c>
      <c r="H14" s="351"/>
      <c r="I14" s="356" t="s">
        <v>75</v>
      </c>
      <c r="J14" s="367" t="s">
        <v>55</v>
      </c>
      <c r="K14" s="350"/>
      <c r="L14" s="351"/>
      <c r="M14" s="353" t="s">
        <v>82</v>
      </c>
      <c r="N14" s="368" t="s">
        <v>139</v>
      </c>
      <c r="O14" s="95" t="s">
        <v>87</v>
      </c>
      <c r="P14" s="86" t="s">
        <v>56</v>
      </c>
      <c r="XEV14" t="s">
        <v>96</v>
      </c>
    </row>
    <row r="15" spans="1:23 16375:16376" ht="20.5" thickBot="1" x14ac:dyDescent="0.4">
      <c r="A15" s="354"/>
      <c r="B15" s="355"/>
      <c r="C15" s="370"/>
      <c r="D15" s="103" t="s">
        <v>57</v>
      </c>
      <c r="E15" s="129" t="s">
        <v>138</v>
      </c>
      <c r="F15" s="131" t="s">
        <v>53</v>
      </c>
      <c r="G15" s="215" t="s">
        <v>52</v>
      </c>
      <c r="H15" s="132" t="s">
        <v>41</v>
      </c>
      <c r="I15" s="357"/>
      <c r="J15" s="129" t="s">
        <v>59</v>
      </c>
      <c r="K15" s="130" t="s">
        <v>39</v>
      </c>
      <c r="L15" s="131" t="s">
        <v>141</v>
      </c>
      <c r="M15" s="355"/>
      <c r="N15" s="357"/>
      <c r="O15" s="198">
        <f>IF(B11="Filer",0.5%,2.5%)</f>
        <v>5.0000000000000001E-3</v>
      </c>
      <c r="P15" s="87" t="s">
        <v>38</v>
      </c>
      <c r="S15" s="241" t="s">
        <v>59</v>
      </c>
      <c r="T15" s="90" t="s">
        <v>39</v>
      </c>
      <c r="U15" s="242" t="s">
        <v>137</v>
      </c>
      <c r="W15" s="249"/>
      <c r="XEV15" t="s">
        <v>72</v>
      </c>
    </row>
    <row r="16" spans="1:23 16375:16376" x14ac:dyDescent="0.35">
      <c r="A16" s="82" t="s">
        <v>120</v>
      </c>
      <c r="B16" s="100" t="str">
        <f>VLOOKUP($A16,'Cust. Price List'!$D$6:$O$14,2,0)</f>
        <v xml:space="preserve">Meat Masala </v>
      </c>
      <c r="C16" s="97">
        <f>VLOOKUP(A16,'Cust. Price List'!D6:M14,3,0)</f>
        <v>70</v>
      </c>
      <c r="D16" s="228">
        <f>VLOOKUP(A16,'Cust. Price List'!D6:M14,4,0)</f>
        <v>40</v>
      </c>
      <c r="E16" s="234">
        <f>VLOOKUP(A16,'Cust. Price List'!D6:M14,6,0)</f>
        <v>65</v>
      </c>
      <c r="F16" s="235">
        <f>VLOOKUP(A16,'Cust. Price List'!D6:M14,10,0)</f>
        <v>52.462499999999999</v>
      </c>
      <c r="G16" s="231">
        <v>1</v>
      </c>
      <c r="H16" s="104"/>
      <c r="I16" s="257">
        <f>(G16*D16)*F16+H16*F16</f>
        <v>2098.5</v>
      </c>
      <c r="J16" s="254">
        <f>$I16*S16</f>
        <v>304.28249999999997</v>
      </c>
      <c r="K16" s="117">
        <f>$I16*T16</f>
        <v>73.447500000000005</v>
      </c>
      <c r="L16" s="108">
        <f>$I16*U16</f>
        <v>0</v>
      </c>
      <c r="M16" s="199">
        <f>I16-SUM(J16:L16)</f>
        <v>1720.77</v>
      </c>
      <c r="N16" s="210">
        <f>(G16*D16+H16)*(E16-E16/1.18)</f>
        <v>396.61016949152526</v>
      </c>
      <c r="O16" s="205">
        <f>(N16+M16)*$O$15</f>
        <v>10.586900847457626</v>
      </c>
      <c r="P16" s="108">
        <f>M16+N16+O16</f>
        <v>2127.9670703389825</v>
      </c>
      <c r="Q16" s="128"/>
      <c r="R16" s="128"/>
      <c r="S16" s="244">
        <v>0.14499999999999999</v>
      </c>
      <c r="T16" s="245">
        <v>3.5000000000000003E-2</v>
      </c>
      <c r="U16" s="246"/>
      <c r="W16" s="128"/>
      <c r="XEV16" t="s">
        <v>97</v>
      </c>
    </row>
    <row r="17" spans="1:23 16376:16376" x14ac:dyDescent="0.35">
      <c r="A17" s="82" t="s">
        <v>118</v>
      </c>
      <c r="B17" s="101" t="str">
        <f>VLOOKUP($A17,'Cust. Price List'!$D$6:$O$14,2,0)</f>
        <v>Lemon Tarka</v>
      </c>
      <c r="C17" s="98">
        <f>VLOOKUP(B17,'Cust. Price List'!E7:P15,2,0)</f>
        <v>70</v>
      </c>
      <c r="D17" s="229">
        <f>VLOOKUP(A17,'Cust. Price List'!D7:M15,4,0)</f>
        <v>40</v>
      </c>
      <c r="E17" s="236">
        <f>VLOOKUP(A17,'Cust. Price List'!D7:M15,6,0)</f>
        <v>65</v>
      </c>
      <c r="F17" s="237">
        <f>VLOOKUP(A17,'Cust. Price List'!D7:M15,10,0)</f>
        <v>52.462499999999999</v>
      </c>
      <c r="G17" s="232">
        <v>1</v>
      </c>
      <c r="H17" s="91"/>
      <c r="I17" s="258">
        <f t="shared" ref="I17:I23" si="0">(G17*D17)*F17+H17*F17</f>
        <v>2098.5</v>
      </c>
      <c r="J17" s="255">
        <f t="shared" ref="J17:L24" si="1">$I17*S17</f>
        <v>304.28249999999997</v>
      </c>
      <c r="K17" s="118">
        <f>$I17*T17</f>
        <v>73.447500000000005</v>
      </c>
      <c r="L17" s="109">
        <f>$I17*U17</f>
        <v>0</v>
      </c>
      <c r="M17" s="200">
        <f t="shared" ref="M17:M24" si="2">I17-SUM(J17:L17)</f>
        <v>1720.77</v>
      </c>
      <c r="N17" s="222">
        <f t="shared" ref="N17:N24" si="3">(G17*D17+H17)*(E17-E17/1.18)</f>
        <v>396.61016949152526</v>
      </c>
      <c r="O17" s="206">
        <f t="shared" ref="O17:O24" si="4">(N17+M17)*$O$15</f>
        <v>10.586900847457626</v>
      </c>
      <c r="P17" s="109">
        <f t="shared" ref="P17:P24" si="5">M17+N17+O17</f>
        <v>2127.9670703389825</v>
      </c>
      <c r="Q17" s="128"/>
      <c r="R17" s="128"/>
      <c r="S17" s="247">
        <f>+S16</f>
        <v>0.14499999999999999</v>
      </c>
      <c r="T17" s="209">
        <f>+T16</f>
        <v>3.5000000000000003E-2</v>
      </c>
      <c r="U17" s="243"/>
      <c r="W17" s="128"/>
      <c r="XEV17" t="s">
        <v>98</v>
      </c>
    </row>
    <row r="18" spans="1:23 16376:16376" x14ac:dyDescent="0.35">
      <c r="A18" s="82" t="s">
        <v>116</v>
      </c>
      <c r="B18" s="101" t="str">
        <f>VLOOKUP($A18,'Cust. Price List'!$D$6:$O$14,2,0)</f>
        <v>Chicken Chatkhara</v>
      </c>
      <c r="C18" s="98" t="e">
        <f>VLOOKUP(B18,'Cust. Price List'!E8:P16,2,0)</f>
        <v>#N/A</v>
      </c>
      <c r="D18" s="229" t="e">
        <f>VLOOKUP(A18,'Cust. Price List'!D8:M16,4,0)</f>
        <v>#N/A</v>
      </c>
      <c r="E18" s="236" t="e">
        <f>VLOOKUP(A18,'Cust. Price List'!D8:M16,6,0)</f>
        <v>#N/A</v>
      </c>
      <c r="F18" s="237" t="e">
        <f>VLOOKUP(A18,'Cust. Price List'!D8:M16,10,0)</f>
        <v>#N/A</v>
      </c>
      <c r="G18" s="232">
        <v>1</v>
      </c>
      <c r="H18" s="91"/>
      <c r="I18" s="258" t="e">
        <f t="shared" ref="I18:I21" si="6">(G18*D18)*F18+H18*F18</f>
        <v>#N/A</v>
      </c>
      <c r="J18" s="255" t="e">
        <f t="shared" si="1"/>
        <v>#N/A</v>
      </c>
      <c r="K18" s="118" t="e">
        <f t="shared" si="1"/>
        <v>#N/A</v>
      </c>
      <c r="L18" s="109" t="e">
        <f t="shared" si="1"/>
        <v>#N/A</v>
      </c>
      <c r="M18" s="200" t="e">
        <f>I18-SUM(J18:L18)</f>
        <v>#N/A</v>
      </c>
      <c r="N18" s="222" t="e">
        <f>(G18*D18+H18)*(E18-E18/1.18)</f>
        <v>#N/A</v>
      </c>
      <c r="O18" s="206" t="e">
        <f t="shared" si="4"/>
        <v>#N/A</v>
      </c>
      <c r="P18" s="109" t="e">
        <f>M18+N18+O18</f>
        <v>#N/A</v>
      </c>
      <c r="Q18" s="128"/>
      <c r="R18" s="128"/>
      <c r="S18" s="247">
        <f t="shared" ref="S18:S24" si="7">+S17</f>
        <v>0.14499999999999999</v>
      </c>
      <c r="T18" s="209">
        <f>+T17</f>
        <v>3.5000000000000003E-2</v>
      </c>
      <c r="U18" s="243"/>
      <c r="W18" s="128"/>
    </row>
    <row r="19" spans="1:23 16376:16376" x14ac:dyDescent="0.35">
      <c r="A19" s="82" t="s">
        <v>126</v>
      </c>
      <c r="B19" s="101" t="str">
        <f>VLOOKUP($A19,'Cust. Price List'!$D$6:$O$14,2,0)</f>
        <v>Meat Masala (Jumbo)</v>
      </c>
      <c r="C19" s="98">
        <f>VLOOKUP(B19,'Cust. Price List'!E9:P17,2,0)</f>
        <v>120</v>
      </c>
      <c r="D19" s="229">
        <f>VLOOKUP(A19,'Cust. Price List'!D9:M17,4,0)</f>
        <v>40</v>
      </c>
      <c r="E19" s="236">
        <f>VLOOKUP(A19,'Cust. Price List'!D9:M17,6,0)</f>
        <v>90</v>
      </c>
      <c r="F19" s="237">
        <f>VLOOKUP(A19,'Cust. Price List'!D9:M17,10,0)</f>
        <v>72.64</v>
      </c>
      <c r="G19" s="232">
        <v>1</v>
      </c>
      <c r="H19" s="91"/>
      <c r="I19" s="258">
        <f t="shared" si="6"/>
        <v>2905.6</v>
      </c>
      <c r="J19" s="255">
        <f>$I19*S19</f>
        <v>421.31199999999995</v>
      </c>
      <c r="K19" s="118">
        <f t="shared" si="1"/>
        <v>101.69600000000001</v>
      </c>
      <c r="L19" s="109">
        <f t="shared" si="1"/>
        <v>0</v>
      </c>
      <c r="M19" s="200">
        <f t="shared" si="2"/>
        <v>2382.5920000000001</v>
      </c>
      <c r="N19" s="222">
        <f t="shared" si="3"/>
        <v>549.15254237288138</v>
      </c>
      <c r="O19" s="206">
        <f t="shared" si="4"/>
        <v>14.658722711864407</v>
      </c>
      <c r="P19" s="109">
        <f t="shared" si="5"/>
        <v>2946.4032650847457</v>
      </c>
      <c r="Q19" s="128"/>
      <c r="R19" s="128"/>
      <c r="S19" s="247">
        <f t="shared" si="7"/>
        <v>0.14499999999999999</v>
      </c>
      <c r="T19" s="209">
        <v>3.5000000000000003E-2</v>
      </c>
      <c r="U19" s="243"/>
      <c r="W19" s="128"/>
    </row>
    <row r="20" spans="1:23 16376:16376" x14ac:dyDescent="0.35">
      <c r="A20" s="82" t="s">
        <v>124</v>
      </c>
      <c r="B20" s="101" t="str">
        <f>VLOOKUP($A20,'Cust. Price List'!$D$6:$O$14,2,0)</f>
        <v>Lemon Tarka (Jumbo)</v>
      </c>
      <c r="C20" s="98">
        <f>VLOOKUP(B20,'Cust. Price List'!E10:P18,2,0)</f>
        <v>120</v>
      </c>
      <c r="D20" s="229">
        <f>VLOOKUP(A20,'Cust. Price List'!D10:M18,4,0)</f>
        <v>40</v>
      </c>
      <c r="E20" s="236">
        <f>VLOOKUP(A20,'Cust. Price List'!D10:M18,6,0)</f>
        <v>90</v>
      </c>
      <c r="F20" s="237">
        <f>VLOOKUP(A20,'Cust. Price List'!D10:M18,10,0)</f>
        <v>72.64</v>
      </c>
      <c r="G20" s="232">
        <v>1</v>
      </c>
      <c r="H20" s="91"/>
      <c r="I20" s="258">
        <f t="shared" si="6"/>
        <v>2905.6</v>
      </c>
      <c r="J20" s="255">
        <f t="shared" si="1"/>
        <v>421.31199999999995</v>
      </c>
      <c r="K20" s="118">
        <f t="shared" si="1"/>
        <v>101.69600000000001</v>
      </c>
      <c r="L20" s="109">
        <f t="shared" si="1"/>
        <v>0</v>
      </c>
      <c r="M20" s="200">
        <f t="shared" si="2"/>
        <v>2382.5920000000001</v>
      </c>
      <c r="N20" s="222">
        <f t="shared" si="3"/>
        <v>549.15254237288138</v>
      </c>
      <c r="O20" s="206">
        <f t="shared" si="4"/>
        <v>14.658722711864407</v>
      </c>
      <c r="P20" s="109">
        <f t="shared" si="5"/>
        <v>2946.4032650847457</v>
      </c>
      <c r="Q20" s="128"/>
      <c r="R20" s="128"/>
      <c r="S20" s="247">
        <f t="shared" si="7"/>
        <v>0.14499999999999999</v>
      </c>
      <c r="T20" s="209">
        <f>+T19</f>
        <v>3.5000000000000003E-2</v>
      </c>
      <c r="U20" s="243"/>
      <c r="V20" s="128"/>
      <c r="W20" s="253"/>
    </row>
    <row r="21" spans="1:23 16376:16376" x14ac:dyDescent="0.35">
      <c r="A21" s="82" t="s">
        <v>122</v>
      </c>
      <c r="B21" s="101" t="str">
        <f>VLOOKUP($A21,'Cust. Price List'!$D$6:$O$14,2,0)</f>
        <v>Chicken Chatkhara (Jumbo)</v>
      </c>
      <c r="C21" s="98" t="e">
        <f>VLOOKUP(B21,'Cust. Price List'!E11:P19,2,0)</f>
        <v>#N/A</v>
      </c>
      <c r="D21" s="229" t="e">
        <f>VLOOKUP(A21,'Cust. Price List'!D11:M19,4,0)</f>
        <v>#N/A</v>
      </c>
      <c r="E21" s="236" t="e">
        <f>VLOOKUP(A21,'Cust. Price List'!D11:M19,6,0)</f>
        <v>#N/A</v>
      </c>
      <c r="F21" s="237" t="e">
        <f>VLOOKUP(A21,'Cust. Price List'!D11:M19,10,0)</f>
        <v>#N/A</v>
      </c>
      <c r="G21" s="232">
        <v>1</v>
      </c>
      <c r="H21" s="91"/>
      <c r="I21" s="258" t="e">
        <f t="shared" si="6"/>
        <v>#N/A</v>
      </c>
      <c r="J21" s="255" t="e">
        <f t="shared" si="1"/>
        <v>#N/A</v>
      </c>
      <c r="K21" s="118" t="e">
        <f t="shared" si="1"/>
        <v>#N/A</v>
      </c>
      <c r="L21" s="109" t="e">
        <f t="shared" si="1"/>
        <v>#N/A</v>
      </c>
      <c r="M21" s="200" t="e">
        <f t="shared" si="2"/>
        <v>#N/A</v>
      </c>
      <c r="N21" s="222" t="e">
        <f t="shared" si="3"/>
        <v>#N/A</v>
      </c>
      <c r="O21" s="206" t="e">
        <f t="shared" si="4"/>
        <v>#N/A</v>
      </c>
      <c r="P21" s="109" t="e">
        <f t="shared" si="5"/>
        <v>#N/A</v>
      </c>
      <c r="Q21" s="128"/>
      <c r="R21" s="128"/>
      <c r="S21" s="247">
        <f t="shared" si="7"/>
        <v>0.14499999999999999</v>
      </c>
      <c r="T21" s="209">
        <f>+T20</f>
        <v>3.5000000000000003E-2</v>
      </c>
      <c r="U21" s="243"/>
      <c r="W21" s="128"/>
    </row>
    <row r="22" spans="1:23 16376:16376" x14ac:dyDescent="0.35">
      <c r="A22" s="82" t="s">
        <v>128</v>
      </c>
      <c r="B22" s="101" t="str">
        <f>VLOOKUP($A22,'Cust. Price List'!$D$6:$O$14,2,0)</f>
        <v>Chicken Chatkhara  (ECO)</v>
      </c>
      <c r="C22" s="98">
        <f>VLOOKUP(B22,'Cust. Price List'!E12:P20,2,0)</f>
        <v>60</v>
      </c>
      <c r="D22" s="229">
        <f>VLOOKUP(A22,'Cust. Price List'!D12:M20,4,0)</f>
        <v>40</v>
      </c>
      <c r="E22" s="236">
        <f>VLOOKUP(A22,'Cust. Price List'!D12:M20,6,0)</f>
        <v>50</v>
      </c>
      <c r="F22" s="237">
        <f>VLOOKUP(A22,'Cust. Price List'!D12:M20,10,0)</f>
        <v>39.230000000000004</v>
      </c>
      <c r="G22" s="232">
        <v>1</v>
      </c>
      <c r="H22" s="91"/>
      <c r="I22" s="258">
        <f t="shared" si="0"/>
        <v>1569.2000000000003</v>
      </c>
      <c r="J22" s="255">
        <f t="shared" si="1"/>
        <v>0</v>
      </c>
      <c r="K22" s="118">
        <f t="shared" si="1"/>
        <v>54.922000000000011</v>
      </c>
      <c r="L22" s="109">
        <f t="shared" si="1"/>
        <v>80.029200000000003</v>
      </c>
      <c r="M22" s="200">
        <f t="shared" si="2"/>
        <v>1434.2488000000003</v>
      </c>
      <c r="N22" s="222">
        <f t="shared" si="3"/>
        <v>305.08474576271169</v>
      </c>
      <c r="O22" s="206">
        <f t="shared" si="4"/>
        <v>8.6966677288135603</v>
      </c>
      <c r="P22" s="109">
        <f t="shared" si="5"/>
        <v>1748.0302134915255</v>
      </c>
      <c r="Q22" s="128"/>
      <c r="R22" s="128"/>
      <c r="S22" s="247"/>
      <c r="T22" s="209">
        <v>3.5000000000000003E-2</v>
      </c>
      <c r="U22" s="209">
        <v>5.0999999999999997E-2</v>
      </c>
      <c r="W22" s="128"/>
    </row>
    <row r="23" spans="1:23 16376:16376" hidden="1" x14ac:dyDescent="0.35">
      <c r="A23" s="82" t="s">
        <v>130</v>
      </c>
      <c r="B23" s="101" t="str">
        <f>VLOOKUP($A23,'Cust. Price List'!$D$6:$O$14,2,0)</f>
        <v>Lemon Tarka (ECO)</v>
      </c>
      <c r="C23" s="98">
        <f>VLOOKUP(B23,'Cust. Price List'!E13:P21,2,0)</f>
        <v>60</v>
      </c>
      <c r="D23" s="229">
        <f>VLOOKUP(A23,'Cust. Price List'!D13:M21,4,0)</f>
        <v>40</v>
      </c>
      <c r="E23" s="236">
        <f>VLOOKUP(A23,'Cust. Price List'!D13:M21,6,0)</f>
        <v>50</v>
      </c>
      <c r="F23" s="237">
        <f>VLOOKUP(A23,'Cust. Price List'!D13:M21,10,0)</f>
        <v>39.230000000000004</v>
      </c>
      <c r="G23" s="232"/>
      <c r="H23" s="91"/>
      <c r="I23" s="258">
        <f t="shared" si="0"/>
        <v>0</v>
      </c>
      <c r="J23" s="255">
        <f t="shared" si="1"/>
        <v>0</v>
      </c>
      <c r="K23" s="118">
        <f t="shared" si="1"/>
        <v>0</v>
      </c>
      <c r="L23" s="109">
        <f t="shared" si="1"/>
        <v>0</v>
      </c>
      <c r="M23" s="200">
        <f t="shared" si="2"/>
        <v>0</v>
      </c>
      <c r="N23" s="222">
        <f t="shared" si="3"/>
        <v>0</v>
      </c>
      <c r="O23" s="206">
        <f t="shared" si="4"/>
        <v>0</v>
      </c>
      <c r="P23" s="109">
        <f t="shared" si="5"/>
        <v>0</v>
      </c>
      <c r="S23" s="247">
        <f t="shared" si="7"/>
        <v>0</v>
      </c>
      <c r="T23" s="209">
        <f>+T22</f>
        <v>3.5000000000000003E-2</v>
      </c>
      <c r="U23" s="209">
        <f>+U22</f>
        <v>5.0999999999999997E-2</v>
      </c>
      <c r="W23" s="128"/>
    </row>
    <row r="24" spans="1:23 16376:16376" ht="15" hidden="1" thickBot="1" x14ac:dyDescent="0.4">
      <c r="A24" s="80" t="s">
        <v>132</v>
      </c>
      <c r="B24" s="102" t="str">
        <f>VLOOKUP($A24,'Cust. Price List'!$D$6:$O$14,2,0)</f>
        <v>Meat Masala (ECO)</v>
      </c>
      <c r="C24" s="99">
        <f>VLOOKUP(B24,'Cust. Price List'!E14:P22,2,0)</f>
        <v>60</v>
      </c>
      <c r="D24" s="230">
        <f>VLOOKUP(A24,'Cust. Price List'!D14:M22,4,0)</f>
        <v>40</v>
      </c>
      <c r="E24" s="238">
        <f>VLOOKUP(A24,'Cust. Price List'!D14:M22,6,0)</f>
        <v>50</v>
      </c>
      <c r="F24" s="239">
        <f>VLOOKUP(A24,'Cust. Price List'!D14:M22,10,0)</f>
        <v>39.230000000000004</v>
      </c>
      <c r="G24" s="233"/>
      <c r="H24" s="92"/>
      <c r="I24" s="259">
        <f>(G24*D24)*F24+H24*F24</f>
        <v>0</v>
      </c>
      <c r="J24" s="256">
        <f t="shared" si="1"/>
        <v>0</v>
      </c>
      <c r="K24" s="119">
        <f t="shared" si="1"/>
        <v>0</v>
      </c>
      <c r="L24" s="110">
        <f t="shared" si="1"/>
        <v>0</v>
      </c>
      <c r="M24" s="201">
        <f t="shared" si="2"/>
        <v>0</v>
      </c>
      <c r="N24" s="223">
        <f t="shared" si="3"/>
        <v>0</v>
      </c>
      <c r="O24" s="207">
        <f t="shared" si="4"/>
        <v>0</v>
      </c>
      <c r="P24" s="110">
        <f t="shared" si="5"/>
        <v>0</v>
      </c>
      <c r="R24" s="128"/>
      <c r="S24" s="247">
        <f t="shared" si="7"/>
        <v>0</v>
      </c>
      <c r="T24" s="248">
        <f>+T23</f>
        <v>3.5000000000000003E-2</v>
      </c>
      <c r="U24" s="248">
        <f>+U23</f>
        <v>5.0999999999999997E-2</v>
      </c>
      <c r="W24" s="252"/>
    </row>
    <row r="25" spans="1:23 16376:16376" ht="15" thickBot="1" x14ac:dyDescent="0.4">
      <c r="A25" s="362"/>
      <c r="B25" s="360"/>
      <c r="C25" s="360" t="s">
        <v>40</v>
      </c>
      <c r="D25" s="360"/>
      <c r="E25" s="360"/>
      <c r="F25" s="361"/>
      <c r="G25" s="107">
        <f t="shared" ref="G25" si="8">SUM(G16:G24)</f>
        <v>7</v>
      </c>
      <c r="H25" s="105">
        <f t="shared" ref="H25" si="9">SUM(H16:H24)</f>
        <v>0</v>
      </c>
      <c r="I25" s="260" t="e">
        <f t="shared" ref="I25:M25" si="10">SUM(I16:I24)</f>
        <v>#N/A</v>
      </c>
      <c r="J25" s="219" t="e">
        <f>SUM(J16:J24)</f>
        <v>#N/A</v>
      </c>
      <c r="K25" s="220" t="e">
        <f t="shared" si="10"/>
        <v>#N/A</v>
      </c>
      <c r="L25" s="221" t="e">
        <f t="shared" si="10"/>
        <v>#N/A</v>
      </c>
      <c r="M25" s="202" t="e">
        <f t="shared" si="10"/>
        <v>#N/A</v>
      </c>
      <c r="N25" s="203" t="e">
        <f>SUM(N16:N24)</f>
        <v>#N/A</v>
      </c>
      <c r="O25" s="94" t="e">
        <f>SUM(O16:O24)</f>
        <v>#N/A</v>
      </c>
      <c r="P25" s="204" t="e">
        <f>SUM(P16:P24)</f>
        <v>#N/A</v>
      </c>
      <c r="R25" s="113"/>
    </row>
    <row r="26" spans="1:23 16376:16376" x14ac:dyDescent="0.35">
      <c r="A26" s="112"/>
      <c r="B26" s="112"/>
      <c r="C26" s="112"/>
      <c r="D26" s="112"/>
      <c r="E26" s="112"/>
      <c r="F26" s="112"/>
      <c r="G26" s="113"/>
      <c r="H26" s="113"/>
      <c r="I26" s="114"/>
      <c r="K26" s="115"/>
      <c r="L26" s="115"/>
      <c r="M26" s="115"/>
      <c r="N26" s="115"/>
      <c r="O26" s="116"/>
      <c r="P26" s="115"/>
      <c r="R26" s="250"/>
    </row>
    <row r="27" spans="1:23 16376:16376" ht="15" thickBot="1" x14ac:dyDescent="0.4">
      <c r="A27" s="61"/>
      <c r="B27" s="61"/>
      <c r="C27" s="88"/>
      <c r="D27" s="88"/>
      <c r="E27" s="88"/>
      <c r="F27" s="88"/>
      <c r="G27" s="89"/>
      <c r="H27" s="89"/>
      <c r="R27" s="251"/>
      <c r="S27" s="134">
        <f>+F22*22%</f>
        <v>8.6306000000000012</v>
      </c>
    </row>
    <row r="28" spans="1:23 16376:16376" x14ac:dyDescent="0.35">
      <c r="B28" s="337" t="s">
        <v>64</v>
      </c>
      <c r="C28" s="338"/>
      <c r="D28" s="338"/>
      <c r="E28" s="338"/>
      <c r="F28" s="338"/>
      <c r="G28" s="338"/>
      <c r="H28" s="338"/>
      <c r="I28" s="338"/>
      <c r="J28" s="338"/>
      <c r="K28" s="338"/>
      <c r="L28" s="339"/>
      <c r="N28" s="358" t="s">
        <v>60</v>
      </c>
      <c r="O28" s="359"/>
      <c r="P28" s="126" t="e">
        <f>I25</f>
        <v>#N/A</v>
      </c>
      <c r="S28" s="134">
        <v>7.63</v>
      </c>
    </row>
    <row r="29" spans="1:23 16376:16376" ht="15" customHeight="1" x14ac:dyDescent="0.35">
      <c r="B29" s="340"/>
      <c r="C29" s="341"/>
      <c r="D29" s="341"/>
      <c r="E29" s="341"/>
      <c r="F29" s="341"/>
      <c r="G29" s="341"/>
      <c r="H29" s="341"/>
      <c r="I29" s="341"/>
      <c r="J29" s="341"/>
      <c r="K29" s="341"/>
      <c r="L29" s="342"/>
      <c r="N29" s="346" t="s">
        <v>83</v>
      </c>
      <c r="O29" s="347"/>
      <c r="P29" s="127" t="e">
        <f>+J25</f>
        <v>#N/A</v>
      </c>
    </row>
    <row r="30" spans="1:23 16376:16376" ht="15" customHeight="1" x14ac:dyDescent="0.35">
      <c r="B30" s="340"/>
      <c r="C30" s="341"/>
      <c r="D30" s="341"/>
      <c r="E30" s="341"/>
      <c r="F30" s="341"/>
      <c r="G30" s="341"/>
      <c r="H30" s="341"/>
      <c r="I30" s="341"/>
      <c r="J30" s="341"/>
      <c r="K30" s="341"/>
      <c r="L30" s="342"/>
      <c r="N30" s="346" t="s">
        <v>84</v>
      </c>
      <c r="O30" s="347"/>
      <c r="P30" s="127" t="e">
        <f>+K25+L25</f>
        <v>#N/A</v>
      </c>
    </row>
    <row r="31" spans="1:23 16376:16376" ht="15" customHeight="1" x14ac:dyDescent="0.35">
      <c r="B31" s="340"/>
      <c r="C31" s="341"/>
      <c r="D31" s="341"/>
      <c r="E31" s="341"/>
      <c r="F31" s="341"/>
      <c r="G31" s="341"/>
      <c r="H31" s="341"/>
      <c r="I31" s="341"/>
      <c r="J31" s="341"/>
      <c r="K31" s="341"/>
      <c r="L31" s="342"/>
      <c r="M31" s="120"/>
      <c r="N31" s="346" t="s">
        <v>85</v>
      </c>
      <c r="O31" s="347"/>
      <c r="P31" s="127" t="e">
        <f>P28-P29-P30</f>
        <v>#N/A</v>
      </c>
    </row>
    <row r="32" spans="1:23 16376:16376" ht="15" customHeight="1" x14ac:dyDescent="0.35">
      <c r="B32" s="340"/>
      <c r="C32" s="341"/>
      <c r="D32" s="341"/>
      <c r="E32" s="341"/>
      <c r="F32" s="341"/>
      <c r="G32" s="341"/>
      <c r="H32" s="341"/>
      <c r="I32" s="341"/>
      <c r="J32" s="341"/>
      <c r="K32" s="341"/>
      <c r="L32" s="342"/>
      <c r="M32" s="120"/>
      <c r="N32" s="123" t="s">
        <v>61</v>
      </c>
      <c r="O32" s="121">
        <v>0.18</v>
      </c>
      <c r="P32" s="127" t="e">
        <f>+N25</f>
        <v>#N/A</v>
      </c>
    </row>
    <row r="33" spans="2:16" ht="15" customHeight="1" x14ac:dyDescent="0.35">
      <c r="B33" s="340"/>
      <c r="C33" s="341"/>
      <c r="D33" s="341"/>
      <c r="E33" s="341"/>
      <c r="F33" s="341"/>
      <c r="G33" s="341"/>
      <c r="H33" s="341"/>
      <c r="I33" s="341"/>
      <c r="J33" s="341"/>
      <c r="K33" s="341"/>
      <c r="L33" s="342"/>
      <c r="M33" s="120"/>
      <c r="N33" s="365" t="s">
        <v>74</v>
      </c>
      <c r="O33" s="366"/>
      <c r="P33" s="127" t="e">
        <f>P31+P32</f>
        <v>#N/A</v>
      </c>
    </row>
    <row r="34" spans="2:16" ht="15" customHeight="1" thickBot="1" x14ac:dyDescent="0.4">
      <c r="B34" s="343"/>
      <c r="C34" s="344"/>
      <c r="D34" s="344"/>
      <c r="E34" s="344"/>
      <c r="F34" s="344"/>
      <c r="G34" s="344"/>
      <c r="H34" s="344"/>
      <c r="I34" s="344"/>
      <c r="J34" s="344"/>
      <c r="K34" s="344"/>
      <c r="L34" s="345"/>
      <c r="M34" s="93"/>
      <c r="N34" s="125" t="s">
        <v>81</v>
      </c>
      <c r="O34" s="124">
        <f>IF(B11="Filer",0.5%,2.5%)</f>
        <v>5.0000000000000001E-3</v>
      </c>
      <c r="P34" s="127" t="e">
        <f>O34*P33</f>
        <v>#N/A</v>
      </c>
    </row>
    <row r="35" spans="2:16" ht="15.75" customHeight="1" thickBot="1" x14ac:dyDescent="0.4">
      <c r="N35" s="348" t="s">
        <v>86</v>
      </c>
      <c r="O35" s="349"/>
      <c r="P35" s="240" t="e">
        <f>+P33+P34</f>
        <v>#N/A</v>
      </c>
    </row>
    <row r="36" spans="2:16" ht="15" thickBot="1" x14ac:dyDescent="0.4">
      <c r="B36" s="111" t="s">
        <v>63</v>
      </c>
      <c r="C36" s="333"/>
      <c r="D36" s="333"/>
      <c r="E36" s="333"/>
      <c r="F36" s="333"/>
      <c r="G36" s="333"/>
      <c r="H36" s="333"/>
      <c r="I36" s="334"/>
      <c r="J36" s="335"/>
      <c r="K36" s="336"/>
    </row>
    <row r="37" spans="2:16" ht="15.75" customHeight="1" x14ac:dyDescent="0.35"/>
  </sheetData>
  <dataConsolidate/>
  <mergeCells count="49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S13:U13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1" type="noConversion"/>
  <dataValidations count="4">
    <dataValidation type="list" allowBlank="1" showInputMessage="1" showErrorMessage="1" sqref="B11" xr:uid="{00000000-0002-0000-0300-000000000000}">
      <formula1>$XEU$3:$XEU$4</formula1>
    </dataValidation>
    <dataValidation type="list" allowBlank="1" showInputMessage="1" showErrorMessage="1" sqref="B12" xr:uid="{00000000-0002-0000-0300-000001000000}">
      <formula1>$XEU$6:$XEU$7</formula1>
    </dataValidation>
    <dataValidation type="list" allowBlank="1" showInputMessage="1" showErrorMessage="1" sqref="N6:P6" xr:uid="{0FB08CBC-A4F6-48F1-B95C-2FE4880322CA}">
      <formula1>#REF!</formula1>
    </dataValidation>
    <dataValidation type="list" allowBlank="1" showInputMessage="1" showErrorMessage="1" sqref="N9:P9" xr:uid="{98B36601-F14A-4044-BBC2-6E1EEFFE7816}">
      <formula1>$XEV$12:$XFD$17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76DA8-3AD7-4F0C-BBC5-7C06CA059BDA}">
  <sheetPr>
    <pageSetUpPr fitToPage="1"/>
  </sheetPr>
  <dimension ref="A2:XEX40"/>
  <sheetViews>
    <sheetView tabSelected="1" topLeftCell="A21" workbookViewId="0">
      <selection activeCell="K35" sqref="K35"/>
    </sheetView>
  </sheetViews>
  <sheetFormatPr defaultColWidth="29.81640625" defaultRowHeight="14.5" x14ac:dyDescent="0.35"/>
  <cols>
    <col min="1" max="1" width="12" bestFit="1" customWidth="1"/>
    <col min="3" max="3" width="7.453125" customWidth="1"/>
    <col min="4" max="4" width="5.1796875" bestFit="1" customWidth="1"/>
    <col min="5" max="5" width="5.54296875" bestFit="1" customWidth="1"/>
    <col min="6" max="6" width="6.54296875" bestFit="1" customWidth="1"/>
    <col min="7" max="7" width="6.54296875" customWidth="1"/>
    <col min="8" max="8" width="4" bestFit="1" customWidth="1"/>
    <col min="9" max="9" width="5.453125" customWidth="1"/>
    <col min="10" max="10" width="9.81640625" style="61" customWidth="1"/>
    <col min="11" max="11" width="8.54296875" bestFit="1" customWidth="1"/>
    <col min="12" max="12" width="9.1796875" customWidth="1"/>
    <col min="13" max="13" width="8.453125" customWidth="1"/>
    <col min="14" max="14" width="8.7265625" customWidth="1"/>
    <col min="15" max="15" width="8" customWidth="1"/>
    <col min="16" max="16" width="11.453125" style="61" customWidth="1"/>
    <col min="17" max="17" width="9.54296875" customWidth="1"/>
    <col min="18" max="18" width="9.54296875" bestFit="1" customWidth="1"/>
    <col min="19" max="19" width="6.1796875" customWidth="1"/>
    <col min="20" max="20" width="9.1796875" bestFit="1" customWidth="1"/>
    <col min="21" max="23" width="6.1796875" style="61" customWidth="1"/>
    <col min="24" max="24" width="7.26953125" customWidth="1"/>
    <col min="25" max="25" width="10.1796875" bestFit="1" customWidth="1"/>
  </cols>
  <sheetData>
    <row r="2" spans="1:25 16377:16378" ht="21" x14ac:dyDescent="0.5">
      <c r="A2" s="363" t="s">
        <v>154</v>
      </c>
      <c r="B2" s="363"/>
      <c r="C2" s="363"/>
    </row>
    <row r="3" spans="1:25 16377:16378" ht="15" customHeight="1" x14ac:dyDescent="0.35">
      <c r="A3" s="331" t="s">
        <v>89</v>
      </c>
      <c r="B3" s="331"/>
      <c r="C3" s="331"/>
      <c r="F3" s="83"/>
      <c r="G3" s="83"/>
      <c r="H3" s="1"/>
      <c r="L3" s="330" t="s">
        <v>157</v>
      </c>
      <c r="M3" s="330"/>
      <c r="N3" s="330"/>
      <c r="O3" s="330"/>
      <c r="P3" s="331"/>
      <c r="Q3" s="331"/>
      <c r="R3" s="331"/>
      <c r="T3" s="83"/>
      <c r="U3" s="216"/>
      <c r="XEW3" t="s">
        <v>78</v>
      </c>
      <c r="XEX3" s="122">
        <v>5.0000000000000001E-3</v>
      </c>
    </row>
    <row r="4" spans="1:25 16377:16378" ht="15" customHeight="1" x14ac:dyDescent="0.35">
      <c r="A4" s="331" t="s">
        <v>65</v>
      </c>
      <c r="B4" s="331"/>
      <c r="C4" s="331"/>
      <c r="F4" s="83"/>
      <c r="G4" s="83"/>
      <c r="H4" s="1"/>
      <c r="L4" s="330" t="s">
        <v>44</v>
      </c>
      <c r="M4" s="330"/>
      <c r="N4" s="330"/>
      <c r="O4" s="330"/>
      <c r="P4" s="332">
        <v>46319</v>
      </c>
      <c r="Q4" s="332"/>
      <c r="R4" s="332"/>
      <c r="T4" s="83"/>
      <c r="U4" s="216"/>
      <c r="XEW4" s="85" t="s">
        <v>79</v>
      </c>
      <c r="XEX4" s="122">
        <v>2.5000000000000001E-2</v>
      </c>
    </row>
    <row r="5" spans="1:25 16377:16378" ht="15" customHeight="1" x14ac:dyDescent="0.35">
      <c r="A5" s="364" t="s">
        <v>136</v>
      </c>
      <c r="B5" s="364"/>
      <c r="C5" s="364"/>
      <c r="F5" s="83"/>
      <c r="G5" s="83"/>
      <c r="H5" s="1"/>
      <c r="L5" s="330" t="s">
        <v>45</v>
      </c>
      <c r="M5" s="330"/>
      <c r="N5" s="330"/>
      <c r="O5" s="330"/>
      <c r="P5" s="332">
        <f>P4-1</f>
        <v>46318</v>
      </c>
      <c r="Q5" s="331"/>
      <c r="R5" s="331"/>
      <c r="T5" s="83"/>
      <c r="U5" s="216"/>
    </row>
    <row r="6" spans="1:25 16377:16378" ht="15" customHeight="1" x14ac:dyDescent="0.35">
      <c r="A6" s="364" t="s">
        <v>90</v>
      </c>
      <c r="B6" s="364"/>
      <c r="C6" s="364"/>
      <c r="F6" s="83"/>
      <c r="G6" s="83"/>
      <c r="H6" s="84"/>
      <c r="L6" s="330" t="s">
        <v>69</v>
      </c>
      <c r="M6" s="330"/>
      <c r="N6" s="330"/>
      <c r="O6" s="330"/>
      <c r="P6" s="329" t="s">
        <v>158</v>
      </c>
      <c r="Q6" s="329"/>
      <c r="R6" s="329"/>
      <c r="T6" s="83"/>
      <c r="U6" s="217"/>
      <c r="XEW6" t="s">
        <v>77</v>
      </c>
      <c r="XEX6" s="120">
        <v>0.18</v>
      </c>
    </row>
    <row r="7" spans="1:25 16377:16378" s="85" customFormat="1" x14ac:dyDescent="0.35">
      <c r="A7" s="330" t="s">
        <v>155</v>
      </c>
      <c r="B7" s="330"/>
      <c r="C7" s="330"/>
      <c r="F7" s="83"/>
      <c r="G7" s="83"/>
      <c r="H7" s="84"/>
      <c r="J7" s="218"/>
      <c r="L7" s="330" t="s">
        <v>66</v>
      </c>
      <c r="M7" s="330"/>
      <c r="N7" s="330"/>
      <c r="O7" s="330"/>
      <c r="P7" s="329" t="s">
        <v>70</v>
      </c>
      <c r="Q7" s="329"/>
      <c r="R7" s="329"/>
      <c r="T7" s="83"/>
      <c r="U7" s="217"/>
      <c r="V7" s="218"/>
      <c r="W7" s="218"/>
      <c r="XEW7" t="s">
        <v>76</v>
      </c>
      <c r="XEX7" s="120">
        <v>0.22</v>
      </c>
    </row>
    <row r="8" spans="1:25 16377:16378" ht="15" customHeight="1" x14ac:dyDescent="0.35">
      <c r="A8" s="371" t="s">
        <v>156</v>
      </c>
      <c r="B8" s="371"/>
      <c r="C8" s="371"/>
      <c r="F8" s="83"/>
      <c r="G8" s="83"/>
      <c r="H8" s="84"/>
      <c r="L8" s="330" t="s">
        <v>67</v>
      </c>
      <c r="M8" s="330"/>
      <c r="N8" s="330"/>
      <c r="O8" s="330"/>
      <c r="P8" s="329" t="s">
        <v>71</v>
      </c>
      <c r="Q8" s="329"/>
      <c r="R8" s="329"/>
      <c r="T8" s="83"/>
      <c r="U8" s="217"/>
    </row>
    <row r="9" spans="1:25 16377:16378" x14ac:dyDescent="0.35">
      <c r="A9" s="371" t="s">
        <v>92</v>
      </c>
      <c r="B9" s="371"/>
      <c r="C9" s="371"/>
      <c r="F9" s="83"/>
      <c r="G9" s="83"/>
      <c r="H9" s="84"/>
      <c r="L9" s="330" t="s">
        <v>68</v>
      </c>
      <c r="M9" s="330"/>
      <c r="N9" s="330"/>
      <c r="O9" s="330"/>
      <c r="P9" s="329" t="s">
        <v>94</v>
      </c>
      <c r="Q9" s="329"/>
      <c r="R9" s="329"/>
      <c r="T9" s="83"/>
      <c r="U9" s="217"/>
      <c r="XEX9" t="s">
        <v>49</v>
      </c>
    </row>
    <row r="10" spans="1:25 16377:16378" x14ac:dyDescent="0.35">
      <c r="A10" s="371" t="s">
        <v>93</v>
      </c>
      <c r="B10" s="371"/>
      <c r="C10" s="371"/>
      <c r="F10" s="83"/>
      <c r="G10" s="83"/>
      <c r="H10" s="1"/>
      <c r="L10" s="330" t="s">
        <v>46</v>
      </c>
      <c r="M10" s="330"/>
      <c r="N10" s="330"/>
      <c r="O10" s="330"/>
      <c r="P10" s="331" t="s">
        <v>47</v>
      </c>
      <c r="Q10" s="331"/>
      <c r="R10" s="331"/>
      <c r="T10" s="83"/>
      <c r="U10" s="216"/>
      <c r="XEX10" t="s">
        <v>80</v>
      </c>
    </row>
    <row r="11" spans="1:25 16377:16378" s="85" customFormat="1" x14ac:dyDescent="0.35">
      <c r="A11" s="224" t="s">
        <v>134</v>
      </c>
      <c r="B11" s="225" t="s">
        <v>78</v>
      </c>
      <c r="C11" s="226" t="str">
        <f>IF($Q34&gt;2.49%,"No","Yes")</f>
        <v>Yes</v>
      </c>
      <c r="F11" s="83"/>
      <c r="G11" s="83"/>
      <c r="H11" s="84"/>
      <c r="J11" s="218"/>
      <c r="L11" s="330" t="s">
        <v>48</v>
      </c>
      <c r="M11" s="330"/>
      <c r="N11" s="330"/>
      <c r="O11" s="330"/>
      <c r="P11" s="329" t="s">
        <v>49</v>
      </c>
      <c r="Q11" s="329"/>
      <c r="R11" s="329"/>
      <c r="S11" s="227"/>
      <c r="T11" s="83"/>
      <c r="U11" s="217"/>
      <c r="V11" s="218"/>
      <c r="W11" s="218"/>
    </row>
    <row r="12" spans="1:25 16377:16378" ht="15" thickBot="1" x14ac:dyDescent="0.4">
      <c r="A12" s="211" t="s">
        <v>135</v>
      </c>
      <c r="B12" s="208" t="s">
        <v>77</v>
      </c>
      <c r="C12" s="81" t="str">
        <f>IF($Q32&gt;21.99%,"No","Yes")</f>
        <v>Yes</v>
      </c>
      <c r="F12" s="83"/>
      <c r="G12" s="83"/>
      <c r="H12" s="1"/>
      <c r="L12" s="330" t="s">
        <v>50</v>
      </c>
      <c r="M12" s="330"/>
      <c r="N12" s="330"/>
      <c r="O12" s="330"/>
      <c r="P12" s="331"/>
      <c r="Q12" s="331"/>
      <c r="R12" s="331"/>
      <c r="T12" s="83"/>
      <c r="U12" s="216"/>
      <c r="XEX12" t="s">
        <v>94</v>
      </c>
    </row>
    <row r="13" spans="1:25 16377:16378" ht="15" thickBot="1" x14ac:dyDescent="0.4">
      <c r="K13" s="81"/>
      <c r="L13" s="93"/>
      <c r="M13" s="93"/>
      <c r="N13" s="214"/>
      <c r="U13" s="326" t="s">
        <v>140</v>
      </c>
      <c r="V13" s="327"/>
      <c r="W13" s="328"/>
      <c r="XEX13" t="s">
        <v>95</v>
      </c>
    </row>
    <row r="14" spans="1:25 16377:16378" ht="20.5" customHeight="1" thickBot="1" x14ac:dyDescent="0.4">
      <c r="A14" s="352" t="s">
        <v>51</v>
      </c>
      <c r="B14" s="353"/>
      <c r="C14" s="369" t="s">
        <v>88</v>
      </c>
      <c r="D14" s="106" t="s">
        <v>52</v>
      </c>
      <c r="E14" s="352" t="s">
        <v>58</v>
      </c>
      <c r="F14" s="376"/>
      <c r="G14" s="376"/>
      <c r="H14" s="350" t="s">
        <v>54</v>
      </c>
      <c r="I14" s="351"/>
      <c r="J14" s="352" t="s">
        <v>75</v>
      </c>
      <c r="K14" s="367" t="s">
        <v>147</v>
      </c>
      <c r="L14" s="350"/>
      <c r="M14" s="350"/>
      <c r="N14" s="350"/>
      <c r="O14" s="351"/>
      <c r="P14" s="368" t="s">
        <v>139</v>
      </c>
      <c r="Q14" s="95" t="s">
        <v>87</v>
      </c>
      <c r="R14" s="86" t="s">
        <v>56</v>
      </c>
      <c r="XEX14" t="s">
        <v>96</v>
      </c>
    </row>
    <row r="15" spans="1:25 16377:16378" ht="30.5" thickBot="1" x14ac:dyDescent="0.4">
      <c r="A15" s="354"/>
      <c r="B15" s="355"/>
      <c r="C15" s="370"/>
      <c r="D15" s="103" t="s">
        <v>57</v>
      </c>
      <c r="E15" s="261" t="s">
        <v>138</v>
      </c>
      <c r="F15" s="269" t="s">
        <v>143</v>
      </c>
      <c r="G15" s="262" t="s">
        <v>144</v>
      </c>
      <c r="H15" s="215" t="s">
        <v>52</v>
      </c>
      <c r="I15" s="132" t="s">
        <v>41</v>
      </c>
      <c r="J15" s="354"/>
      <c r="K15" s="261" t="s">
        <v>146</v>
      </c>
      <c r="L15" s="269" t="s">
        <v>153</v>
      </c>
      <c r="M15" s="269" t="s">
        <v>148</v>
      </c>
      <c r="N15" s="262" t="s">
        <v>149</v>
      </c>
      <c r="O15" s="301" t="s">
        <v>82</v>
      </c>
      <c r="P15" s="357"/>
      <c r="Q15" s="198">
        <f>IF(B11="Filer",0.5%,2.5%)</f>
        <v>5.0000000000000001E-3</v>
      </c>
      <c r="R15" s="87" t="s">
        <v>38</v>
      </c>
      <c r="U15" s="241" t="s">
        <v>59</v>
      </c>
      <c r="V15" s="90" t="s">
        <v>39</v>
      </c>
      <c r="W15" s="242" t="s">
        <v>137</v>
      </c>
      <c r="Y15" s="249"/>
      <c r="XEX15" t="s">
        <v>72</v>
      </c>
    </row>
    <row r="16" spans="1:25 16377:16378" x14ac:dyDescent="0.35">
      <c r="A16" s="96" t="s">
        <v>116</v>
      </c>
      <c r="B16" s="100" t="str">
        <f>VLOOKUP($A16,'Cust. Price List'!$D$6:$O$14,2,0)</f>
        <v>Chicken Chatkhara</v>
      </c>
      <c r="C16" s="97">
        <f>VLOOKUP(A16,'Cust. Price List'!D6:M14,3,0)</f>
        <v>70</v>
      </c>
      <c r="D16" s="228">
        <f>VLOOKUP(A16,'Cust. Price List'!D6:M14,4,0)</f>
        <v>40</v>
      </c>
      <c r="E16" s="234">
        <f>VLOOKUP(A16,'Cust. Price List'!D6:M14,6,0)</f>
        <v>65</v>
      </c>
      <c r="F16" s="268">
        <f>VLOOKUP(A16,'Cust. Price List'!D6:M14,10,0)</f>
        <v>52.462499999999999</v>
      </c>
      <c r="G16" s="235">
        <f>+E16/1.18</f>
        <v>55.084745762711869</v>
      </c>
      <c r="H16" s="231"/>
      <c r="I16" s="104">
        <v>144</v>
      </c>
      <c r="J16" s="257">
        <f>(H16*D16)*F16+I16*F16</f>
        <v>7554.5999999999995</v>
      </c>
      <c r="K16" s="297">
        <f>$J16*$C$36</f>
        <v>604.36799999999994</v>
      </c>
      <c r="L16" s="299">
        <f>$J16*$C$37</f>
        <v>264.411</v>
      </c>
      <c r="M16" s="298">
        <f>+J16*$C$38</f>
        <v>151.09199999999998</v>
      </c>
      <c r="N16" s="300">
        <f>$J16*$C$39</f>
        <v>151.09199999999998</v>
      </c>
      <c r="O16" s="199">
        <f>J16-SUM(K16:N16)</f>
        <v>6383.6369999999997</v>
      </c>
      <c r="P16" s="210">
        <f>(H16*D16+I16)*(E16-E16/1.18)</f>
        <v>1427.796610169491</v>
      </c>
      <c r="Q16" s="205">
        <f>(P16+O16)*$Q$15</f>
        <v>39.057168050847451</v>
      </c>
      <c r="R16" s="108">
        <f>O16+P16+Q16</f>
        <v>7850.4907782203381</v>
      </c>
      <c r="S16" s="128"/>
      <c r="T16" s="128"/>
      <c r="U16" s="244">
        <v>0.08</v>
      </c>
      <c r="V16" s="245">
        <v>3.5000000000000003E-2</v>
      </c>
      <c r="W16" s="246"/>
      <c r="Y16" s="128"/>
      <c r="XEX16" t="s">
        <v>97</v>
      </c>
    </row>
    <row r="17" spans="1:25 16378:16378" x14ac:dyDescent="0.35">
      <c r="A17" s="82" t="s">
        <v>118</v>
      </c>
      <c r="B17" s="101" t="str">
        <f>VLOOKUP($A17,'Cust. Price List'!$D$6:$O$14,2,0)</f>
        <v>Lemon Tarka</v>
      </c>
      <c r="C17" s="98">
        <f>VLOOKUP(A17,'Cust. Price List'!D7:M15,3,0)</f>
        <v>70</v>
      </c>
      <c r="D17" s="229">
        <f>VLOOKUP(A17,'Cust. Price List'!D7:M15,4,0)</f>
        <v>40</v>
      </c>
      <c r="E17" s="236">
        <f>VLOOKUP(A17,'Cust. Price List'!D7:M15,6,0)</f>
        <v>65</v>
      </c>
      <c r="F17" s="266">
        <f>VLOOKUP(A17,'Cust. Price List'!D7:M15,10,0)</f>
        <v>52.462499999999999</v>
      </c>
      <c r="G17" s="237">
        <f t="shared" ref="G17:G22" si="0">+E17/1.18</f>
        <v>55.084745762711869</v>
      </c>
      <c r="H17" s="232"/>
      <c r="I17" s="91">
        <v>288</v>
      </c>
      <c r="J17" s="258">
        <f t="shared" ref="J17:J23" si="1">(H17*D17)*F17+I17*F17</f>
        <v>15109.199999999999</v>
      </c>
      <c r="K17" s="280">
        <f t="shared" ref="K17:K22" si="2">$J17*$C$36</f>
        <v>1208.7359999999999</v>
      </c>
      <c r="L17" s="282">
        <f t="shared" ref="L17:L22" si="3">$J17*$C$37</f>
        <v>528.822</v>
      </c>
      <c r="M17" s="285">
        <f t="shared" ref="M17:M22" si="4">+J17*$C$38</f>
        <v>302.18399999999997</v>
      </c>
      <c r="N17" s="283">
        <f t="shared" ref="N17:N22" si="5">$J17*$C$39</f>
        <v>302.18399999999997</v>
      </c>
      <c r="O17" s="200">
        <f t="shared" ref="O17:O24" si="6">J17-SUM(K17:N17)</f>
        <v>12767.273999999999</v>
      </c>
      <c r="P17" s="222">
        <f t="shared" ref="P17:P24" si="7">(H17*D17+I17)*(E17-E17/1.18)</f>
        <v>2855.5932203389821</v>
      </c>
      <c r="Q17" s="206">
        <f t="shared" ref="Q17:Q24" si="8">(P17+O17)*$Q$15</f>
        <v>78.114336101694903</v>
      </c>
      <c r="R17" s="109">
        <f t="shared" ref="R17:R24" si="9">O17+P17+Q17</f>
        <v>15700.981556440676</v>
      </c>
      <c r="S17" s="128"/>
      <c r="T17" s="128"/>
      <c r="U17" s="247">
        <f>+U16</f>
        <v>0.08</v>
      </c>
      <c r="V17" s="209">
        <f>+V16</f>
        <v>3.5000000000000003E-2</v>
      </c>
      <c r="W17" s="243"/>
      <c r="Y17" s="128"/>
      <c r="XEX17" t="s">
        <v>98</v>
      </c>
    </row>
    <row r="18" spans="1:25 16378:16378" x14ac:dyDescent="0.35">
      <c r="A18" s="82" t="s">
        <v>120</v>
      </c>
      <c r="B18" s="101" t="str">
        <f>VLOOKUP($A18,'Cust. Price List'!$D$6:$O$14,2,0)</f>
        <v xml:space="preserve">Meat Masala </v>
      </c>
      <c r="C18" s="98">
        <f>VLOOKUP(A18,'Cust. Price List'!D8:M16,3,0)</f>
        <v>70</v>
      </c>
      <c r="D18" s="229">
        <f>VLOOKUP(A18,'Cust. Price List'!D8:M16,4,0)</f>
        <v>40</v>
      </c>
      <c r="E18" s="236">
        <f>VLOOKUP(A18,'Cust. Price List'!D8:M16,6,0)</f>
        <v>65</v>
      </c>
      <c r="F18" s="266">
        <f>VLOOKUP(A18,'Cust. Price List'!D8:M16,10,0)</f>
        <v>52.462499999999999</v>
      </c>
      <c r="G18" s="237">
        <f t="shared" si="0"/>
        <v>55.084745762711869</v>
      </c>
      <c r="H18" s="232"/>
      <c r="I18" s="91">
        <v>288</v>
      </c>
      <c r="J18" s="258">
        <f t="shared" si="1"/>
        <v>15109.199999999999</v>
      </c>
      <c r="K18" s="280">
        <f t="shared" si="2"/>
        <v>1208.7359999999999</v>
      </c>
      <c r="L18" s="282">
        <f t="shared" si="3"/>
        <v>528.822</v>
      </c>
      <c r="M18" s="285">
        <f t="shared" si="4"/>
        <v>302.18399999999997</v>
      </c>
      <c r="N18" s="283">
        <f t="shared" si="5"/>
        <v>302.18399999999997</v>
      </c>
      <c r="O18" s="200">
        <f>J18-SUM(K18:N18)</f>
        <v>12767.273999999999</v>
      </c>
      <c r="P18" s="222">
        <f>(H18*D18+I18)*(E18-E18/1.18)</f>
        <v>2855.5932203389821</v>
      </c>
      <c r="Q18" s="206">
        <f t="shared" si="8"/>
        <v>78.114336101694903</v>
      </c>
      <c r="R18" s="109">
        <f>O18+P18+Q18</f>
        <v>15700.981556440676</v>
      </c>
      <c r="S18" s="128"/>
      <c r="T18" s="128"/>
      <c r="U18" s="247">
        <f t="shared" ref="U18:U24" si="10">+U17</f>
        <v>0.08</v>
      </c>
      <c r="V18" s="209">
        <f>+V17</f>
        <v>3.5000000000000003E-2</v>
      </c>
      <c r="W18" s="243"/>
      <c r="Y18" s="128"/>
    </row>
    <row r="19" spans="1:25 16378:16378" x14ac:dyDescent="0.35">
      <c r="A19" s="82" t="s">
        <v>122</v>
      </c>
      <c r="B19" s="101" t="str">
        <f>VLOOKUP($A19,'Cust. Price List'!$D$6:$O$14,2,0)</f>
        <v>Chicken Chatkhara (Jumbo)</v>
      </c>
      <c r="C19" s="98">
        <f>VLOOKUP(A19,'Cust. Price List'!D9:M17,3,0)</f>
        <v>120</v>
      </c>
      <c r="D19" s="229">
        <f>VLOOKUP(A19,'Cust. Price List'!D9:M17,4,0)</f>
        <v>40</v>
      </c>
      <c r="E19" s="236">
        <f>VLOOKUP(A19,'Cust. Price List'!D9:M17,6,0)</f>
        <v>90</v>
      </c>
      <c r="F19" s="266">
        <f>VLOOKUP(A19,'Cust. Price List'!D9:M17,10,0)</f>
        <v>72.64</v>
      </c>
      <c r="G19" s="237">
        <f t="shared" si="0"/>
        <v>76.271186440677965</v>
      </c>
      <c r="H19" s="232"/>
      <c r="I19" s="91">
        <v>432</v>
      </c>
      <c r="J19" s="258">
        <f>(H19*D19)*F19+I19*F19</f>
        <v>31380.48</v>
      </c>
      <c r="K19" s="280">
        <f t="shared" si="2"/>
        <v>2510.4384</v>
      </c>
      <c r="L19" s="282">
        <f t="shared" si="3"/>
        <v>1098.3168000000001</v>
      </c>
      <c r="M19" s="285">
        <f t="shared" si="4"/>
        <v>627.6096</v>
      </c>
      <c r="N19" s="283">
        <f t="shared" si="5"/>
        <v>627.6096</v>
      </c>
      <c r="O19" s="200">
        <f t="shared" si="6"/>
        <v>26516.5056</v>
      </c>
      <c r="P19" s="222">
        <f t="shared" si="7"/>
        <v>5930.8474576271192</v>
      </c>
      <c r="Q19" s="206">
        <f t="shared" si="8"/>
        <v>162.23676528813559</v>
      </c>
      <c r="R19" s="109">
        <f t="shared" si="9"/>
        <v>32609.589822915255</v>
      </c>
      <c r="S19" s="128"/>
      <c r="T19" s="128"/>
      <c r="U19" s="247">
        <f t="shared" si="10"/>
        <v>0.08</v>
      </c>
      <c r="V19" s="209">
        <v>3.5000000000000003E-2</v>
      </c>
      <c r="W19" s="243"/>
      <c r="Y19" s="128"/>
    </row>
    <row r="20" spans="1:25 16378:16378" x14ac:dyDescent="0.35">
      <c r="A20" s="82" t="s">
        <v>124</v>
      </c>
      <c r="B20" s="101" t="str">
        <f>VLOOKUP($A20,'Cust. Price List'!$D$6:$O$14,2,0)</f>
        <v>Lemon Tarka (Jumbo)</v>
      </c>
      <c r="C20" s="98">
        <f>VLOOKUP(A20,'Cust. Price List'!D10:M18,3,0)</f>
        <v>120</v>
      </c>
      <c r="D20" s="229">
        <f>VLOOKUP(A20,'Cust. Price List'!D10:M18,4,0)</f>
        <v>40</v>
      </c>
      <c r="E20" s="236">
        <f>VLOOKUP(A20,'Cust. Price List'!D10:M18,6,0)</f>
        <v>90</v>
      </c>
      <c r="F20" s="266">
        <f>VLOOKUP(A20,'Cust. Price List'!D10:M18,10,0)</f>
        <v>72.64</v>
      </c>
      <c r="G20" s="237">
        <f t="shared" si="0"/>
        <v>76.271186440677965</v>
      </c>
      <c r="H20" s="232"/>
      <c r="I20" s="91">
        <v>288</v>
      </c>
      <c r="J20" s="258">
        <f t="shared" si="1"/>
        <v>20920.32</v>
      </c>
      <c r="K20" s="280">
        <f t="shared" si="2"/>
        <v>1673.6256000000001</v>
      </c>
      <c r="L20" s="282">
        <f t="shared" si="3"/>
        <v>732.21120000000008</v>
      </c>
      <c r="M20" s="285">
        <f t="shared" si="4"/>
        <v>418.40640000000002</v>
      </c>
      <c r="N20" s="283">
        <f t="shared" si="5"/>
        <v>418.40640000000002</v>
      </c>
      <c r="O20" s="200">
        <f t="shared" si="6"/>
        <v>17677.670399999999</v>
      </c>
      <c r="P20" s="222">
        <f t="shared" si="7"/>
        <v>3953.898305084746</v>
      </c>
      <c r="Q20" s="206">
        <f t="shared" si="8"/>
        <v>108.15784352542373</v>
      </c>
      <c r="R20" s="109">
        <f t="shared" si="9"/>
        <v>21739.726548610168</v>
      </c>
      <c r="S20" s="128"/>
      <c r="T20" s="128"/>
      <c r="U20" s="247">
        <f t="shared" si="10"/>
        <v>0.08</v>
      </c>
      <c r="V20" s="209">
        <f>+V19</f>
        <v>3.5000000000000003E-2</v>
      </c>
      <c r="W20" s="243"/>
      <c r="X20" s="128"/>
      <c r="Y20" s="253"/>
    </row>
    <row r="21" spans="1:25 16378:16378" x14ac:dyDescent="0.35">
      <c r="A21" s="82" t="s">
        <v>126</v>
      </c>
      <c r="B21" s="101" t="str">
        <f>VLOOKUP($A21,'Cust. Price List'!$D$6:$O$14,2,0)</f>
        <v>Meat Masala (Jumbo)</v>
      </c>
      <c r="C21" s="98">
        <f>VLOOKUP(A21,'Cust. Price List'!D11:M19,3,0)</f>
        <v>120</v>
      </c>
      <c r="D21" s="229">
        <f>VLOOKUP(A21,'Cust. Price List'!D11:M19,4,0)</f>
        <v>40</v>
      </c>
      <c r="E21" s="236">
        <f>VLOOKUP(A21,'Cust. Price List'!D11:M19,6,0)</f>
        <v>90</v>
      </c>
      <c r="F21" s="266">
        <f>VLOOKUP(A21,'Cust. Price List'!D11:M19,10,0)</f>
        <v>72.64</v>
      </c>
      <c r="G21" s="237">
        <f t="shared" si="0"/>
        <v>76.271186440677965</v>
      </c>
      <c r="H21" s="232"/>
      <c r="I21" s="91">
        <v>432</v>
      </c>
      <c r="J21" s="258">
        <f t="shared" si="1"/>
        <v>31380.48</v>
      </c>
      <c r="K21" s="280">
        <f t="shared" si="2"/>
        <v>2510.4384</v>
      </c>
      <c r="L21" s="282">
        <f t="shared" si="3"/>
        <v>1098.3168000000001</v>
      </c>
      <c r="M21" s="285">
        <f t="shared" si="4"/>
        <v>627.6096</v>
      </c>
      <c r="N21" s="283">
        <f t="shared" si="5"/>
        <v>627.6096</v>
      </c>
      <c r="O21" s="200">
        <f t="shared" si="6"/>
        <v>26516.5056</v>
      </c>
      <c r="P21" s="222">
        <f t="shared" si="7"/>
        <v>5930.8474576271192</v>
      </c>
      <c r="Q21" s="206">
        <f t="shared" si="8"/>
        <v>162.23676528813559</v>
      </c>
      <c r="R21" s="109">
        <f t="shared" si="9"/>
        <v>32609.589822915255</v>
      </c>
      <c r="S21" s="128"/>
      <c r="T21" s="128"/>
      <c r="U21" s="247">
        <f t="shared" si="10"/>
        <v>0.08</v>
      </c>
      <c r="V21" s="209">
        <f>+V20</f>
        <v>3.5000000000000003E-2</v>
      </c>
      <c r="W21" s="243"/>
      <c r="Y21" s="128"/>
    </row>
    <row r="22" spans="1:25 16378:16378" ht="15" thickBot="1" x14ac:dyDescent="0.4">
      <c r="A22" s="82" t="s">
        <v>128</v>
      </c>
      <c r="B22" s="101" t="str">
        <f>VLOOKUP($A22,'Cust. Price List'!$D$6:$O$14,2,0)</f>
        <v>Chicken Chatkhara  (ECO)</v>
      </c>
      <c r="C22" s="98">
        <f>VLOOKUP(A22,'Cust. Price List'!D12:M20,3,0)</f>
        <v>60</v>
      </c>
      <c r="D22" s="229">
        <f>VLOOKUP(A22,'Cust. Price List'!D12:M20,4,0)</f>
        <v>40</v>
      </c>
      <c r="E22" s="238">
        <f>VLOOKUP(A22,'Cust. Price List'!D12:M20,6,0)</f>
        <v>50</v>
      </c>
      <c r="F22" s="267">
        <f>VLOOKUP(A22,'Cust. Price List'!D12:M20,10,0)</f>
        <v>39.230000000000004</v>
      </c>
      <c r="G22" s="239">
        <f t="shared" si="0"/>
        <v>42.372881355932208</v>
      </c>
      <c r="H22" s="232"/>
      <c r="I22" s="91"/>
      <c r="J22" s="258">
        <f t="shared" si="1"/>
        <v>0</v>
      </c>
      <c r="K22" s="280">
        <f t="shared" si="2"/>
        <v>0</v>
      </c>
      <c r="L22" s="282">
        <f t="shared" si="3"/>
        <v>0</v>
      </c>
      <c r="M22" s="285">
        <f t="shared" si="4"/>
        <v>0</v>
      </c>
      <c r="N22" s="283">
        <f t="shared" si="5"/>
        <v>0</v>
      </c>
      <c r="O22" s="281">
        <f t="shared" si="6"/>
        <v>0</v>
      </c>
      <c r="P22" s="222">
        <f t="shared" si="7"/>
        <v>0</v>
      </c>
      <c r="Q22" s="206">
        <f t="shared" si="8"/>
        <v>0</v>
      </c>
      <c r="R22" s="109">
        <f t="shared" si="9"/>
        <v>0</v>
      </c>
      <c r="S22" s="128"/>
      <c r="T22" s="128"/>
      <c r="U22" s="247">
        <v>0.05</v>
      </c>
      <c r="V22" s="209">
        <v>3.5000000000000003E-2</v>
      </c>
      <c r="W22" s="209">
        <v>5.0999999999999997E-2</v>
      </c>
      <c r="Y22" s="128"/>
    </row>
    <row r="23" spans="1:25 16378:16378" ht="15" hidden="1" thickBot="1" x14ac:dyDescent="0.4">
      <c r="A23" s="82" t="s">
        <v>130</v>
      </c>
      <c r="B23" s="101" t="str">
        <f>VLOOKUP($A23,'Cust. Price List'!$D$6:$O$14,2,0)</f>
        <v>Lemon Tarka (ECO)</v>
      </c>
      <c r="C23" s="98">
        <f>VLOOKUP(B23,'Cust. Price List'!E13:P21,2,0)</f>
        <v>60</v>
      </c>
      <c r="D23" s="229">
        <f>VLOOKUP(A23,'Cust. Price List'!D13:M21,4,0)</f>
        <v>40</v>
      </c>
      <c r="E23" s="234">
        <f>VLOOKUP(A23,'Cust. Price List'!D13:M21,6,0)</f>
        <v>50</v>
      </c>
      <c r="F23" s="235">
        <f>VLOOKUP(A23,'Cust. Price List'!D13:M21,10,0)</f>
        <v>39.230000000000004</v>
      </c>
      <c r="G23" s="263"/>
      <c r="H23" s="232"/>
      <c r="I23" s="91"/>
      <c r="J23" s="258">
        <f t="shared" si="1"/>
        <v>0</v>
      </c>
      <c r="K23" s="255">
        <f>$J23*U23</f>
        <v>0</v>
      </c>
      <c r="L23" s="118">
        <f>$J23*V23</f>
        <v>0</v>
      </c>
      <c r="M23" s="284"/>
      <c r="N23" s="109">
        <f t="shared" ref="N23:N24" si="11">$J23*W23</f>
        <v>0</v>
      </c>
      <c r="O23" s="200">
        <f t="shared" si="6"/>
        <v>0</v>
      </c>
      <c r="P23" s="222">
        <f t="shared" si="7"/>
        <v>0</v>
      </c>
      <c r="Q23" s="206">
        <f t="shared" si="8"/>
        <v>0</v>
      </c>
      <c r="R23" s="109">
        <f t="shared" si="9"/>
        <v>0</v>
      </c>
      <c r="U23" s="247">
        <f t="shared" si="10"/>
        <v>0.05</v>
      </c>
      <c r="V23" s="209">
        <f>+V22</f>
        <v>3.5000000000000003E-2</v>
      </c>
      <c r="W23" s="209">
        <f>+W22</f>
        <v>5.0999999999999997E-2</v>
      </c>
      <c r="Y23" s="128"/>
    </row>
    <row r="24" spans="1:25 16378:16378" ht="15" hidden="1" thickBot="1" x14ac:dyDescent="0.4">
      <c r="A24" s="80" t="s">
        <v>132</v>
      </c>
      <c r="B24" s="102" t="str">
        <f>VLOOKUP($A24,'Cust. Price List'!$D$6:$O$14,2,0)</f>
        <v>Meat Masala (ECO)</v>
      </c>
      <c r="C24" s="99">
        <f>VLOOKUP(B24,'Cust. Price List'!E14:P22,2,0)</f>
        <v>60</v>
      </c>
      <c r="D24" s="230">
        <f>VLOOKUP(A24,'Cust. Price List'!D14:M22,4,0)</f>
        <v>40</v>
      </c>
      <c r="E24" s="238">
        <f>VLOOKUP(A24,'Cust. Price List'!D14:M22,6,0)</f>
        <v>50</v>
      </c>
      <c r="F24" s="239">
        <f>VLOOKUP(A24,'Cust. Price List'!D14:M22,10,0)</f>
        <v>39.230000000000004</v>
      </c>
      <c r="G24" s="264"/>
      <c r="H24" s="233"/>
      <c r="I24" s="92"/>
      <c r="J24" s="259">
        <f>(H24*D24)*F24+I24*F24</f>
        <v>0</v>
      </c>
      <c r="K24" s="256">
        <f>$J24*U24</f>
        <v>0</v>
      </c>
      <c r="L24" s="119">
        <f>$J24*V24</f>
        <v>0</v>
      </c>
      <c r="M24" s="286"/>
      <c r="N24" s="110">
        <f t="shared" si="11"/>
        <v>0</v>
      </c>
      <c r="O24" s="201">
        <f t="shared" si="6"/>
        <v>0</v>
      </c>
      <c r="P24" s="223">
        <f t="shared" si="7"/>
        <v>0</v>
      </c>
      <c r="Q24" s="207">
        <f t="shared" si="8"/>
        <v>0</v>
      </c>
      <c r="R24" s="110">
        <f t="shared" si="9"/>
        <v>0</v>
      </c>
      <c r="T24" s="128"/>
      <c r="U24" s="247">
        <f t="shared" si="10"/>
        <v>0.05</v>
      </c>
      <c r="V24" s="248">
        <f>+V23</f>
        <v>3.5000000000000003E-2</v>
      </c>
      <c r="W24" s="248">
        <f>+W23</f>
        <v>5.0999999999999997E-2</v>
      </c>
      <c r="Y24" s="252"/>
    </row>
    <row r="25" spans="1:25 16378:16378" ht="15" thickBot="1" x14ac:dyDescent="0.4">
      <c r="A25" s="362"/>
      <c r="B25" s="360"/>
      <c r="C25" s="360" t="s">
        <v>40</v>
      </c>
      <c r="D25" s="360"/>
      <c r="E25" s="360"/>
      <c r="F25" s="361"/>
      <c r="G25" s="265"/>
      <c r="H25" s="270">
        <f t="shared" ref="H25" si="12">SUM(H16:H24)</f>
        <v>0</v>
      </c>
      <c r="I25" s="271">
        <f t="shared" ref="I25:O25" si="13">SUM(I16:I24)</f>
        <v>1872</v>
      </c>
      <c r="J25" s="272">
        <f t="shared" si="13"/>
        <v>121454.27999999998</v>
      </c>
      <c r="K25" s="273">
        <f>SUM(K16:K24)</f>
        <v>9716.3423999999995</v>
      </c>
      <c r="L25" s="274">
        <f t="shared" si="13"/>
        <v>4250.8998000000001</v>
      </c>
      <c r="M25" s="274">
        <f t="shared" si="13"/>
        <v>2429.0855999999999</v>
      </c>
      <c r="N25" s="275">
        <f t="shared" si="13"/>
        <v>2429.0855999999999</v>
      </c>
      <c r="O25" s="276">
        <f t="shared" si="13"/>
        <v>102628.86660000001</v>
      </c>
      <c r="P25" s="277">
        <f>SUM(P16:P24)</f>
        <v>22954.576271186437</v>
      </c>
      <c r="Q25" s="278">
        <f>SUM(Q16:Q24)</f>
        <v>627.91721435593217</v>
      </c>
      <c r="R25" s="279">
        <f>SUM(R16:R24)</f>
        <v>126211.36008554237</v>
      </c>
      <c r="T25" s="113"/>
    </row>
    <row r="26" spans="1:25 16378:16378" x14ac:dyDescent="0.35">
      <c r="A26" s="112"/>
      <c r="B26" s="112"/>
      <c r="C26" s="112"/>
      <c r="D26" s="112"/>
      <c r="E26" s="112"/>
      <c r="F26" s="112"/>
      <c r="G26" s="112"/>
      <c r="H26" s="113"/>
      <c r="I26" s="113"/>
      <c r="J26" s="114"/>
      <c r="L26" s="115"/>
      <c r="M26" s="115"/>
      <c r="N26" s="115"/>
      <c r="O26" s="115"/>
      <c r="P26" s="115"/>
      <c r="Q26" s="116"/>
      <c r="R26" s="115"/>
      <c r="T26" s="250"/>
    </row>
    <row r="27" spans="1:25 16378:16378" ht="15" thickBot="1" x14ac:dyDescent="0.4">
      <c r="A27" s="61"/>
      <c r="B27" s="61"/>
      <c r="C27" s="88"/>
      <c r="D27" s="88"/>
      <c r="E27" s="88"/>
      <c r="F27" s="88"/>
      <c r="G27" s="88"/>
      <c r="H27" s="89"/>
      <c r="I27" s="89"/>
      <c r="T27" s="251"/>
      <c r="U27" s="134">
        <f>+F22*22%</f>
        <v>8.6306000000000012</v>
      </c>
    </row>
    <row r="28" spans="1:25 16378:16378" x14ac:dyDescent="0.35">
      <c r="B28" s="337" t="s">
        <v>64</v>
      </c>
      <c r="C28" s="338"/>
      <c r="D28" s="338"/>
      <c r="E28" s="338"/>
      <c r="F28" s="338"/>
      <c r="G28" s="338"/>
      <c r="H28" s="338"/>
      <c r="I28" s="338"/>
      <c r="J28" s="338"/>
      <c r="K28" s="338"/>
      <c r="L28" s="338"/>
      <c r="M28" s="338"/>
      <c r="N28" s="339"/>
      <c r="P28" s="358" t="s">
        <v>60</v>
      </c>
      <c r="Q28" s="359"/>
      <c r="R28" s="126">
        <f>J25</f>
        <v>121454.27999999998</v>
      </c>
      <c r="U28" s="134">
        <v>7.63</v>
      </c>
    </row>
    <row r="29" spans="1:25 16378:16378" ht="15" customHeight="1" x14ac:dyDescent="0.35">
      <c r="B29" s="340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2"/>
      <c r="P29" s="346" t="s">
        <v>83</v>
      </c>
      <c r="Q29" s="347"/>
      <c r="R29" s="127">
        <f>+K25</f>
        <v>9716.3423999999995</v>
      </c>
    </row>
    <row r="30" spans="1:25 16378:16378" ht="15" customHeight="1" x14ac:dyDescent="0.35">
      <c r="B30" s="340"/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342"/>
      <c r="P30" s="346" t="s">
        <v>84</v>
      </c>
      <c r="Q30" s="347"/>
      <c r="R30" s="127">
        <f>+L25+N25</f>
        <v>6679.9853999999996</v>
      </c>
    </row>
    <row r="31" spans="1:25 16378:16378" ht="15" customHeight="1" x14ac:dyDescent="0.35">
      <c r="B31" s="340"/>
      <c r="C31" s="341"/>
      <c r="D31" s="341"/>
      <c r="E31" s="341"/>
      <c r="F31" s="341"/>
      <c r="G31" s="341"/>
      <c r="H31" s="341"/>
      <c r="I31" s="341"/>
      <c r="J31" s="341"/>
      <c r="K31" s="341"/>
      <c r="L31" s="341"/>
      <c r="M31" s="341"/>
      <c r="N31" s="342"/>
      <c r="O31" s="120"/>
      <c r="P31" s="346" t="s">
        <v>85</v>
      </c>
      <c r="Q31" s="347"/>
      <c r="R31" s="127">
        <f>R28-R29-R30</f>
        <v>105057.95219999999</v>
      </c>
    </row>
    <row r="32" spans="1:25 16378:16378" ht="15" customHeight="1" x14ac:dyDescent="0.35">
      <c r="B32" s="340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2"/>
      <c r="O32" s="120"/>
      <c r="P32" s="123" t="s">
        <v>145</v>
      </c>
      <c r="Q32" s="121">
        <v>0.18</v>
      </c>
      <c r="R32" s="127">
        <f>+P25</f>
        <v>22954.576271186437</v>
      </c>
    </row>
    <row r="33" spans="1:18" ht="15" customHeight="1" x14ac:dyDescent="0.35">
      <c r="B33" s="340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2"/>
      <c r="O33" s="120"/>
      <c r="P33" s="365" t="s">
        <v>74</v>
      </c>
      <c r="Q33" s="366"/>
      <c r="R33" s="127">
        <f>R31+R32</f>
        <v>128012.52847118642</v>
      </c>
    </row>
    <row r="34" spans="1:18" ht="15" customHeight="1" thickBot="1" x14ac:dyDescent="0.4">
      <c r="B34" s="343"/>
      <c r="C34" s="344"/>
      <c r="D34" s="344"/>
      <c r="E34" s="344"/>
      <c r="F34" s="344"/>
      <c r="G34" s="344"/>
      <c r="H34" s="344"/>
      <c r="I34" s="344"/>
      <c r="J34" s="344"/>
      <c r="K34" s="344"/>
      <c r="L34" s="344"/>
      <c r="M34" s="344"/>
      <c r="N34" s="345"/>
      <c r="O34" s="93"/>
      <c r="P34" s="125" t="s">
        <v>81</v>
      </c>
      <c r="Q34" s="124">
        <f>IF(B11="Filer",0.5%,2.5%)</f>
        <v>5.0000000000000001E-3</v>
      </c>
      <c r="R34" s="127">
        <f>Q34*R33</f>
        <v>640.0626423559321</v>
      </c>
    </row>
    <row r="35" spans="1:18" ht="15.75" customHeight="1" thickBot="1" x14ac:dyDescent="0.4">
      <c r="P35" s="348" t="s">
        <v>86</v>
      </c>
      <c r="Q35" s="349"/>
      <c r="R35" s="240">
        <f>+R33+R34</f>
        <v>128652.59111354235</v>
      </c>
    </row>
    <row r="36" spans="1:18" ht="15.75" customHeight="1" x14ac:dyDescent="0.35">
      <c r="A36" s="287">
        <v>1</v>
      </c>
      <c r="B36" s="288" t="s">
        <v>83</v>
      </c>
      <c r="C36" s="289">
        <v>0.08</v>
      </c>
    </row>
    <row r="37" spans="1:18" x14ac:dyDescent="0.35">
      <c r="A37" s="290">
        <v>2</v>
      </c>
      <c r="B37" s="291" t="s">
        <v>150</v>
      </c>
      <c r="C37" s="292">
        <v>3.5000000000000003E-2</v>
      </c>
    </row>
    <row r="38" spans="1:18" x14ac:dyDescent="0.35">
      <c r="A38" s="290">
        <v>3</v>
      </c>
      <c r="B38" s="291" t="s">
        <v>151</v>
      </c>
      <c r="C38" s="292">
        <v>0.02</v>
      </c>
    </row>
    <row r="39" spans="1:18" ht="15" thickBot="1" x14ac:dyDescent="0.4">
      <c r="A39" s="293">
        <v>4</v>
      </c>
      <c r="B39" s="294" t="s">
        <v>152</v>
      </c>
      <c r="C39" s="295">
        <v>0.02</v>
      </c>
    </row>
    <row r="40" spans="1:18" ht="15" thickBot="1" x14ac:dyDescent="0.4">
      <c r="A40" s="374" t="s">
        <v>40</v>
      </c>
      <c r="B40" s="375"/>
      <c r="C40" s="296">
        <f>SUM(C36:C39)</f>
        <v>0.155</v>
      </c>
    </row>
  </sheetData>
  <dataConsolidate/>
  <mergeCells count="47">
    <mergeCell ref="P35:Q35"/>
    <mergeCell ref="E14:G14"/>
    <mergeCell ref="P14:P15"/>
    <mergeCell ref="K14:O14"/>
    <mergeCell ref="U13:W13"/>
    <mergeCell ref="A25:B25"/>
    <mergeCell ref="C25:F25"/>
    <mergeCell ref="B28:N34"/>
    <mergeCell ref="P28:Q28"/>
    <mergeCell ref="P29:Q29"/>
    <mergeCell ref="P30:Q30"/>
    <mergeCell ref="P31:Q31"/>
    <mergeCell ref="P33:Q33"/>
    <mergeCell ref="A10:C10"/>
    <mergeCell ref="L10:O10"/>
    <mergeCell ref="P10:R10"/>
    <mergeCell ref="A14:B15"/>
    <mergeCell ref="C14:C15"/>
    <mergeCell ref="H14:I14"/>
    <mergeCell ref="J14:J15"/>
    <mergeCell ref="L11:O11"/>
    <mergeCell ref="P11:R11"/>
    <mergeCell ref="L12:O12"/>
    <mergeCell ref="P12:R12"/>
    <mergeCell ref="P7:R7"/>
    <mergeCell ref="A8:C8"/>
    <mergeCell ref="L8:O8"/>
    <mergeCell ref="P8:R8"/>
    <mergeCell ref="L9:O9"/>
    <mergeCell ref="P9:R9"/>
    <mergeCell ref="A9:C9"/>
    <mergeCell ref="A40:B40"/>
    <mergeCell ref="A2:C2"/>
    <mergeCell ref="A3:C3"/>
    <mergeCell ref="L3:O3"/>
    <mergeCell ref="P3:R3"/>
    <mergeCell ref="A4:C4"/>
    <mergeCell ref="L4:O4"/>
    <mergeCell ref="P4:R4"/>
    <mergeCell ref="A5:C5"/>
    <mergeCell ref="L5:O5"/>
    <mergeCell ref="P5:R5"/>
    <mergeCell ref="A6:C6"/>
    <mergeCell ref="L6:O6"/>
    <mergeCell ref="P6:R6"/>
    <mergeCell ref="A7:C7"/>
    <mergeCell ref="L7:O7"/>
  </mergeCells>
  <dataValidations count="3">
    <dataValidation type="list" allowBlank="1" showInputMessage="1" showErrorMessage="1" sqref="P9:R9" xr:uid="{A4DF4E50-7F57-41B9-BA19-A549C208AF7A}">
      <formula1>$XEX$12:$XFD$17</formula1>
    </dataValidation>
    <dataValidation type="list" allowBlank="1" showInputMessage="1" showErrorMessage="1" sqref="B12" xr:uid="{93C1294E-AEBD-4B9A-97C8-1A7956694BED}">
      <formula1>$XEW$6:$XEW$7</formula1>
    </dataValidation>
    <dataValidation type="list" allowBlank="1" showInputMessage="1" showErrorMessage="1" sqref="B11" xr:uid="{64319F39-F1B9-4441-98DF-FB62FBBA68CC}">
      <formula1>$XEW$3:$XEW$4</formula1>
    </dataValidation>
  </dataValidations>
  <pageMargins left="0.23622047244094491" right="0.23622047244094491" top="0.74803149606299213" bottom="0.74803149606299213" header="0.31496062992125984" footer="0.31496062992125984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 Price List</vt:lpstr>
      <vt:lpstr>Cust. Price List</vt:lpstr>
      <vt:lpstr>Customer Invoice</vt:lpstr>
      <vt:lpstr>Customer Invoice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2026-10-24T05:32:27Z</dcterms:modified>
</cp:coreProperties>
</file>