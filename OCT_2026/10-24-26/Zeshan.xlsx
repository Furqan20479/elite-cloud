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7F61374-D172-41B1-AEF8-DE87A347EF34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J20" i="43"/>
  <c r="M20" i="43" s="1"/>
  <c r="O20" i="43" s="1"/>
  <c r="P20" i="43" s="1"/>
  <c r="K20" i="57"/>
  <c r="J20" i="57"/>
  <c r="L20" i="57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57" l="1"/>
  <c r="O20" i="57" s="1"/>
  <c r="P20" i="57" s="1"/>
  <c r="M21" i="53"/>
  <c r="O21" i="53" s="1"/>
  <c r="P21" i="53" s="1"/>
  <c r="M21" i="52"/>
  <c r="O21" i="52" s="1"/>
  <c r="P21" i="52" s="1"/>
  <c r="M21" i="51"/>
  <c r="M21" i="44"/>
  <c r="O21" i="44" s="1"/>
  <c r="P21" i="44" s="1"/>
  <c r="J7" i="62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<sst xmlns="http://schemas.openxmlformats.org/spreadsheetml/2006/main" count="3948" uniqueCount="537">
  <si>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</si>
  <si>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</si>
  <si>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</si>
  <si>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</si>
  <si>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</si>
  <si>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</si>
  <si>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</si>
  <si>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</si>
  <si>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</si>
  <si>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</si>
  <si>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</si>
  <si>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</si>
  <si>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</si>
  <si>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</si>
  <si>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</si>
  <si>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</si>
  <si>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</si>
  <si>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</si>
  <si>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</si>
  <si>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</si>
  <si>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</si>
  <si>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</si>
  <si>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</si>
  <si>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</si>
  <si>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</si>
  <si>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</si>
  <si>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</si>
  <si>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</si>
  <si>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</si>
  <si>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</si>
  <si>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</si>
  <si>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</si>
  <si>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</si>
  <si>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</si>
  <si>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</si>
  <si>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</si>
  <si>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</si>
  <si>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</si>
  <si>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</si>
  <si>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</si>
  <si>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</si>
  <si>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</si>
  <si>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</si>
  <si>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</si>
  <si>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</si>
  <si>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</si>
  <si>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</si>
  <si>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</si>
  <si>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</si>
  <si>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</si>
  <si>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</si>
  <si>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</si>
  <si>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</si>
  <si>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</si>
  <si>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</si>
  <si>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</si>
  <si>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</si>
  <si>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</si>
  <si>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</si>
  <si>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</si>
  <si>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</si>
  <si>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</si>
  <si>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</si>
  <si>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</si>
  <si>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</si>
  <si>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</si>
  <si>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</si>
  <si>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</si>
  <si>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</si>
  <si>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</si>
  <si>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</si>
  <si>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</si>
  <si>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</si>
  <si>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</si>
  <si>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</si>
  <si>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</si>
  <si>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</si>
  <si>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</si>
  <si>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</si>
  <si>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</si>
  <si>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</si>
  <si>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</si>
  <si>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</si>
  <si>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</si>
  <si>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</si>
  <si>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</si>
  <si>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</si>
  <si>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</si>
  <si>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</si>
  <si>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</si>
  <si>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</si>
  <si>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</si>
  <si>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</si>
  <si>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</si>
  <si>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</si>
  <si>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</si>
  <si>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</si>
  <si>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</si>
  <si>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</si>
  <si>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</si>
  <si>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</si>
  <si>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</si>
  <si>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</si>
  <si>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</si>
  <si>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</si>
  <si>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</si>
  <si>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</si>
  <si>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</si>
  <si>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</si>
  <si>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</si>
  <si>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</si>
  <si>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</si>
  <si>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</si>
  <si>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</si>
  <si>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</si>
  <si>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</si>
  <si>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</si>
  <si>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</si>
  <si>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</si>
  <si>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</si>
  <si>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</si>
  <si>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</si>
  <si>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</si>
  <si>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</si>
  <si>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</si>
  <si>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</si>
  <si>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</si>
  <si>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</si>
  <si>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</si>
  <si>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</si>
  <si>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</si>
  <si>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</si>
  <si>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</si>
  <si>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</si>
  <si>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</si>
  <si>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</si>
  <si>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</si>
  <si>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</si>
  <si>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</si>
  <si>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</si>
  <si>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</si>
  <si>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</si>
  <si>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</si>
  <si>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</si>
  <si>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</si>
  <si>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</si>
  <si>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</si>
  <si>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</si>
  <si>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</si>
  <si>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</si>
  <si>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</si>
  <si>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</si>
  <si>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</si>
  <si>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</si>
  <si>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</si>
  <si>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</si>
  <si>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</si>
  <si>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</si>
  <si>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</si>
  <si>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</si>
  <si>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</si>
  <si>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</si>
  <si>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</si>
  <si>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</si>
  <si>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</si>
  <si>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</si>
  <si>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</si>
  <si>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</si>
  <si>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</si>
  <si>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</si>
  <si>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</si>
  <si>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</si>
  <si>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</si>
  <si>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</si>
  <si>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</si>
  <si>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</si>
  <si>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</si>
  <si>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</si>
  <si>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</si>
  <si>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</si>
  <si>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</si>
  <si>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</si>
  <si>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</si>
  <si>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</si>
  <si>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</si>
  <si>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</si>
  <si>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</si>
  <si>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</si>
  <si>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</si>
  <si>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</si>
  <si>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</si>
  <si>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</si>
  <si>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</si>
  <si>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</si>
  <si>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</si>
  <si>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</si>
  <si>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</si>
  <si>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</si>
  <si>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</si>
  <si>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</si>
  <si>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</si>
  <si>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</si>
  <si>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</si>
  <si>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</si>
  <si>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</si>
  <si>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</si>
  <si>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</si>
  <si>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</si>
  <si>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</si>
  <si>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</si>
  <si>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</si>
  <si>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</si>
  <si>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</si>
  <si>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</si>
  <si>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</si>
  <si>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</si>
  <si>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</si>
  <si>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</si>
  <si>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</si>
  <si>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</si>
  <si>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</si>
  <si>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</si>
  <si>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</si>
  <si>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</si>
  <si>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</si>
  <si>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</si>
  <si>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</si>
  <si>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</si>
  <si>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</si>
  <si>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</si>
  <si>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</si>
  <si>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</si>
  <si>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</si>
  <si>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</si>
  <si>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</si>
  <si>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</si>
  <si>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</si>
  <si>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</si>
  <si>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</si>
  <si>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</si>
  <si>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</si>
  <si>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</si>
  <si>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</si>
  <si>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</si>
  <si>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</si>
  <si>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</si>
  <si>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</si>
  <si>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</si>
  <si>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</si>
  <si>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</si>
  <si>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</si>
  <si>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</si>
  <si>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</si>
  <si>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</si>
  <si>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</si>
  <si>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</si>
  <si>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</si>
  <si>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</si>
  <si>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</si>
  <si>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</si>
  <si>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</si>
  <si>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</si>
  <si>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</si>
  <si>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</si>
  <si>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</si>
  <si>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</si>
  <si>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</si>
  <si>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</si>
  <si>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</si>
  <si>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</si>
  <si>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</si>
  <si>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</si>
  <si>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</si>
  <si>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</si>
  <si>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</si>
  <si>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</si>
  <si>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</si>
  <si>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</si>
  <si>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</si>
  <si>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</si>
  <si>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</si>
  <si>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</si>
  <si>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</si>
  <si>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</si>
  <si>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</si>
  <si>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</si>
  <si>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</si>
  <si>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</si>
  <si>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</si>
  <si>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</si>
  <si>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</si>
  <si>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</si>
  <si>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</si>
  <si>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</si>
  <si>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</si>
  <si>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</si>
  <si>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</si>
  <si>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</si>
  <si>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</si>
  <si>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</si>
  <si>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</si>
  <si>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</si>
  <si>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</si>
  <si>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</si>
  <si>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</si>
  <si>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</si>
  <si>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</si>
  <si>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</si>
  <si>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</si>
  <si>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</si>
  <si>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</si>
  <si>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</si>
  <si>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</si>
  <si>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</si>
  <si>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</si>
  <si>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</si>
  <si>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</si>
  <si>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</si>
  <si>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</si>
  <si>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</si>
  <si>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</si>
  <si>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</si>
  <si>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</si>
  <si>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</si>
  <si>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</si>
  <si>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</si>
  <si>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</si>
  <si>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</si>
  <si>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</si>
  <si>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</si>
  <si>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</si>
  <si>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</si>
  <si>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</si>
  <si>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</si>
  <si>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</si>
  <si>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</si>
  <si>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</si>
  <si>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</si>
  <si>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</si>
  <si>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</si>
  <si>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</si>
  <si>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</si>
  <si>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</si>
  <si>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</si>
  <si>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</si>
  <si>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</si>
  <si>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</si>
  <si>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</si>
  <si>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</si>
  <si>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</si>
  <si>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</si>
  <si>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</si>
  <si>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</si>
  <si>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</si>
  <si>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</si>
  <si>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</si>
  <si>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</si>
  <si>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</si>
  <si>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</si>
  <si>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</si>
  <si>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</si>
  <si>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</si>
  <si>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</si>
  <si>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</si>
  <si>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</si>
  <si>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</si>
  <si>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</si>
  <si>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</si>
  <si>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</si>
  <si>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</si>
  <si>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</si>
  <si>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</si>
  <si>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</si>
  <si>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</si>
  <si>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</si>
  <si>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</si>
  <si>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</si>
  <si>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</si>
  <si>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</si>
  <si>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</si>
  <si>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</si>
  <si>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</si>
  <si>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</si>
  <si>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</si>
  <si>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</si>
  <si>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</si>
  <si>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</si>
  <si>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</si>
  <si>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</si>
  <si>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</si>
  <si>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</si>
  <si>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</si>
  <si>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</si>
  <si>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</si>
  <si>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</si>
  <si>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</si>
  <si>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</si>
  <si>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</si>
  <si>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</si>
  <si>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</si>
  <si>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</si>
  <si>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</si>
  <si>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</si>
  <si>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</si>
  <si>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</si>
  <si>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</si>
  <si>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</si>
  <si>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</si>
  <si>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</si>
  <si>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</si>
  <si>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</si>
  <si>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</si>
  <si>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</si>
  <si>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</si>
  <si>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</si>
  <si>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</si>
  <si>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</si>
  <si>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</si>
  <si>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</si>
  <si>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</si>
  <si>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</si>
  <si>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</si>
  <si>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</si>
  <si>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</si>
  <si>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</si>
  <si>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</si>
  <si>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</si>
  <si>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</si>
  <si>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</si>
  <si>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</si>
  <si>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</si>
  <si>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</si>
  <si>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</si>
  <si>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</si>
  <si>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</si>
  <si>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</si>
  <si>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</si>
  <si>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</si>
  <si>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</si>
  <si>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</si>
  <si>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</si>
  <si>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</si>
  <si>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</si>
  <si>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</si>
  <si>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</si>
  <si>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</si>
  <si>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</si>
  <si>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</si>
  <si>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</si>
  <si>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</si>
  <si>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</si>
  <si>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</si>
  <si>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</si>
  <si>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</si>
  <si>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</si>
  <si>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</si>
  <si>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</si>
  <si>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</si>
  <si>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</si>
  <si>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</si>
  <si>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</si>
  <si>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</si>
  <si>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</si>
  <si>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</si>
  <si>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</si>
  <si>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</si>
  <si>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</si>
  <si>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</si>
  <si>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</si>
  <si>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</si>
  <si>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</si>
  <si>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</si>
  <si>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</si>
  <si>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</si>
  <si>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</si>
  <si>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</si>
  <si>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</si>
  <si>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</si>
  <si>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</si>
  <si>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</si>
  <si>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</si>
  <si>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</si>
  <si>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</si>
  <si>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</si>
  <si>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</si>
  <si>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</si>
  <si>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</si>
  <si>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</si>
  <si>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</si>
  <si>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</si>
  <si>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</si>
  <si>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</si>
  <si>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</si>
  <si>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</si>
  <si>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</si>
  <si>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</si>
  <si>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</si>
  <si>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</si>
  <si>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</si>
  <si>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</si>
  <si>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</si>
  <si>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</si>
  <si>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</si>
  <si>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</si>
  <si>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</si>
  <si>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</si>
  <si>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</si>
  <si>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</si>
  <si>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</si>
  <si>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</si>
  <si>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</si>
  <si>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</si>
  <si>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</si>
  <si>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</si>
  <si>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Booker</t>
  </si>
  <si>
    <t>Address: State Life</t>
  </si>
  <si>
    <t>Ali Store</t>
  </si>
  <si>
    <t>Usman store</t>
  </si>
  <si>
    <t xml:space="preserve">Address: Bhatta Chowk </t>
  </si>
  <si>
    <t xml:space="preserve">Al Ghani </t>
  </si>
  <si>
    <t>Address: DHA</t>
  </si>
  <si>
    <t>Groccer Stre</t>
  </si>
  <si>
    <t>Groccer 2</t>
  </si>
  <si>
    <t xml:space="preserve">Smart Mart </t>
  </si>
  <si>
    <t>24/7 Store</t>
  </si>
  <si>
    <t xml:space="preserve">C Mart </t>
  </si>
  <si>
    <t xml:space="preserve">Mega Mart </t>
  </si>
  <si>
    <t xml:space="preserve">Ali Mart </t>
  </si>
  <si>
    <t xml:space="preserve">Al Jalil Mart </t>
  </si>
  <si>
    <t>Afzal Mart</t>
  </si>
  <si>
    <t>Ajwa Store</t>
  </si>
  <si>
    <t>Hafiz Store</t>
  </si>
  <si>
    <t>CV Store</t>
  </si>
  <si>
    <t xml:space="preserve">Captan Mart </t>
  </si>
  <si>
    <t>AM Store</t>
  </si>
  <si>
    <t>S Mart</t>
  </si>
  <si>
    <t>Smart Mart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</si>
</sst>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Q37" sqref="Q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46319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Ali Store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Usman store</v>
      </c>
      <c r="T4" s="301">
        <f>+'2'!P35</f>
        <v>5401.2631679237293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Al Ghani </v>
      </c>
      <c r="T5" s="301">
        <f>+'3'!P35</f>
        <v>2918.4215845233057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Groccer Stre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105</v>
      </c>
      <c r="I7" s="235">
        <f>(G7*D7)*F7+H7*F7</f>
        <v>5508.5625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440.68499999999995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192.7996875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4875.0778124999997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1041.1016949152538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29.580897537076272</v>
      </c>
      <c r="P7" s="310">
        <f>M7+N7+O7</f>
        <v>5945.7604049523297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Groccer 2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55</v>
      </c>
      <c r="I8" s="236">
        <f t="shared" ref="I8:I14" si="0">(G8*D8)*F8+H8*F8</f>
        <v>2885.4375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230.83499999999998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100.99031250000002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2553.6121874999999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545.33898305084722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15.494755852754237</v>
      </c>
      <c r="P8" s="311">
        <f t="shared" ref="P8:P15" si="2">M8+N8+O8</f>
        <v>3114.4459264036013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Smart Mart </v>
      </c>
      <c r="T8" s="301">
        <f>+'6'!P35</f>
        <v>849.39434356461845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170</v>
      </c>
      <c r="I9" s="236">
        <f t="shared" si="0"/>
        <v>8918.625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713.4899999999999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312.15187500000002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7892.9831250000007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1685.5932203389821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47.89288172669491</v>
      </c>
      <c r="P9" s="311">
        <f t="shared" si="2"/>
        <v>9626.4692270656778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24/7 Store</v>
      </c>
      <c r="T9" s="301">
        <f>+'7'!P35</f>
        <v>566.26289570974575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46.809128135593227</v>
      </c>
      <c r="P10" s="311">
        <f t="shared" si="2"/>
        <v>9408.6347552542375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C Mart </v>
      </c>
      <c r="T10" s="301">
        <f>+'8'!P35</f>
        <v>5401.2631679237293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90</v>
      </c>
      <c r="I11" s="236">
        <f t="shared" si="0"/>
        <v>6537.6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523.00800000000004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228.81600000000003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5785.7759999999998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1235.593220338983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35.106846101694913</v>
      </c>
      <c r="P11" s="311">
        <f t="shared" si="2"/>
        <v>7056.4760664406776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Mega Mart </v>
      </c>
      <c r="T11" s="301">
        <f>+'9'!P35</f>
        <v>4530.103165677966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140</v>
      </c>
      <c r="I12" s="236">
        <f t="shared" si="0"/>
        <v>10169.6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813.56799999999987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355.93599999999998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9000.0960000000014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1922.0338983050851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54.610649491525436</v>
      </c>
      <c r="P12" s="311">
        <f t="shared" si="2"/>
        <v>10976.740547796613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Ali Mart </v>
      </c>
      <c r="T12" s="301">
        <f>+'10'!P35</f>
        <v>10802.526335847457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Al Jalil Mart </v>
      </c>
      <c r="T13" s="301">
        <f>+'11'!P35</f>
        <v>784.05289627118646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Afzal Mart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Ajwa Store</v>
      </c>
      <c r="T15" s="301">
        <f>+'13'!P35</f>
        <v>784.05289627118646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17</v>
      </c>
      <c r="H16" s="113">
        <f t="shared" ref="H16:M16" si="3">SUM(H7:H15)</f>
        <v>680</v>
      </c>
      <c r="I16" s="114">
        <f t="shared" si="3"/>
        <v>42736.625</v>
      </c>
      <c r="J16" s="274">
        <f>SUM(J7:J15)</f>
        <v>3418.93</v>
      </c>
      <c r="K16" s="275">
        <f t="shared" si="3"/>
        <v>1495.7818749999999</v>
      </c>
      <c r="L16" s="276">
        <f t="shared" si="3"/>
        <v>0</v>
      </c>
      <c r="M16" s="232">
        <f t="shared" si="3"/>
        <v>37821.913125000006</v>
      </c>
      <c r="N16" s="233">
        <f>SUM(N7:N15)</f>
        <v>8077.1186440677957</v>
      </c>
      <c r="O16" s="101">
        <f>SUM(O7:O15)</f>
        <v>229.49515884533901</v>
      </c>
      <c r="P16" s="113">
        <f>SUM(P7:P15)</f>
        <v>46128.526927913132</v>
      </c>
      <c r="Q16" s="128">
        <f>SUM(Q7:Q15)</f>
        <v>0</v>
      </c>
      <c r="R16" s="313">
        <v>14</v>
      </c>
      <c r="S16" s="315" t="str">
        <f>+'14'!A6:A6</f>
        <v>Hafiz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CV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Captan Mart </v>
      </c>
      <c r="T18" s="301">
        <f>+'16'!P35</f>
        <v>784.05289627118646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42736.625</v>
      </c>
      <c r="R19" s="299">
        <v>17</v>
      </c>
      <c r="S19" s="300" t="str">
        <f>+'17'!A6:A6</f>
        <v>AM Store</v>
      </c>
      <c r="T19" s="301">
        <f>+'17'!P35</f>
        <v>784.05289627118646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3418.93</v>
      </c>
      <c r="R20" s="299">
        <v>18</v>
      </c>
      <c r="S20" s="300" t="str">
        <f>+'18'!A6:A6</f>
        <v>S Mart</v>
      </c>
      <c r="T20" s="301">
        <f>+'18'!P35</f>
        <v>6272.4231701694916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1495.7818749999999</v>
      </c>
      <c r="R21" s="299">
        <v>19</v>
      </c>
      <c r="S21" s="300" t="str">
        <f>+'19'!A6:A6</f>
        <v>Smart Mart 2</v>
      </c>
      <c r="T21" s="301">
        <f>+'19'!P35</f>
        <v>784.05289627118646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37821.913124999999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8077.1186440677957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45899.031769067791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229.49515884533901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46128.526927913132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46128.526927913117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7.2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2098.5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167.88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73.447500000000005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1857.1724999999999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2253.7826694915252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74" t="s">
        <v>88</v>
      </c>
      <c r="O35" s="375"/>
      <c r="P35" s="297">
        <f>+P33+P34</f>
        <v>2265.051582838983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2703.8250000000003</v>
      </c>
      <c r="J25" s="274">
        <f>SUM(J16:J24)</f>
        <v>216.30599999999998</v>
      </c>
      <c r="K25" s="275">
        <f t="shared" si="7"/>
        <v>94.633875000000018</v>
      </c>
      <c r="L25" s="276">
        <f t="shared" si="7"/>
        <v>0</v>
      </c>
      <c r="M25" s="232">
        <f t="shared" si="7"/>
        <v>2392.8851250000002</v>
      </c>
      <c r="N25" s="233">
        <f>SUM(N16:N24)</f>
        <v>511.01694915254234</v>
      </c>
      <c r="O25" s="101">
        <f>SUM(O16:O24)</f>
        <v>14.519510370762713</v>
      </c>
      <c r="P25" s="234">
        <f>SUM(P16:P24)</f>
        <v>2918.4215845233052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2703.8250000000003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216.30599999999998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94.633875000000018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2392.8851250000002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511.01694915254234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2903.9020741525428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14.519510370762715</v>
      </c>
    </row>
    <row r="35" spans="2:16" ht="15.75" customHeight="1" thickBot="1" x14ac:dyDescent="0.4">
      <c r="N35" s="374" t="s">
        <v>88</v>
      </c>
      <c r="O35" s="375"/>
      <c r="P35" s="297">
        <f>+P33+P34</f>
        <v>2918.4215845233057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4428.6285000000007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5374.3912118644075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5401.2631679237293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4197</v>
      </c>
      <c r="J25" s="274">
        <f>SUM(J16:J24)</f>
        <v>335.76</v>
      </c>
      <c r="K25" s="275">
        <f t="shared" si="7"/>
        <v>146.89500000000001</v>
      </c>
      <c r="L25" s="276">
        <f t="shared" si="7"/>
        <v>0</v>
      </c>
      <c r="M25" s="232">
        <f t="shared" si="7"/>
        <v>3714.3450000000003</v>
      </c>
      <c r="N25" s="233">
        <f>SUM(N16:N24)</f>
        <v>793.22033898305051</v>
      </c>
      <c r="O25" s="101">
        <f>SUM(O16:O24)</f>
        <v>22.537826694915253</v>
      </c>
      <c r="P25" s="234">
        <f>SUM(P16:P24)</f>
        <v>4530.103165677966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4197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335.76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146.89500000000001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3714.3449999999998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793.22033898305051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4507.5653389830504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22.537826694915253</v>
      </c>
    </row>
    <row r="35" spans="2:16" ht="15.75" customHeight="1" thickBot="1" x14ac:dyDescent="0.4">
      <c r="N35" s="374" t="s">
        <v>88</v>
      </c>
      <c r="O35" s="375"/>
      <c r="P35" s="297">
        <f>+P33+P34</f>
        <v>4530.103165677966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125.91</v>
      </c>
      <c r="K18" s="128">
        <f t="shared" si="1"/>
        <v>55.085625000000007</v>
      </c>
      <c r="L18" s="119">
        <f t="shared" si="1"/>
        <v>0</v>
      </c>
      <c r="M18" s="230">
        <f t="shared" si="2"/>
        <v>1392.879375</v>
      </c>
      <c r="N18" s="277">
        <f t="shared" si="3"/>
        <v>297.45762711864393</v>
      </c>
      <c r="O18" s="239">
        <f t="shared" si="4"/>
        <v>8.45168501059322</v>
      </c>
      <c r="P18" s="119">
        <f t="shared" si="5"/>
        <v>1698.7886871292369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10008.200000000001</v>
      </c>
      <c r="J25" s="274">
        <f>SUM(J16:J24)</f>
        <v>800.65600000000006</v>
      </c>
      <c r="K25" s="275">
        <f t="shared" si="7"/>
        <v>350.28700000000003</v>
      </c>
      <c r="L25" s="276">
        <f t="shared" si="7"/>
        <v>0</v>
      </c>
      <c r="M25" s="232">
        <f t="shared" si="7"/>
        <v>8857.2569999999996</v>
      </c>
      <c r="N25" s="233">
        <f>SUM(N16:N24)</f>
        <v>1891.5254237288132</v>
      </c>
      <c r="O25" s="101">
        <f>SUM(O16:O24)</f>
        <v>53.743912118644069</v>
      </c>
      <c r="P25" s="234">
        <f>SUM(P16:P24)</f>
        <v>10802.526335847457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10008.200000000001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800.65600000000006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350.28700000000003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8857.2569999999996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10748.782423728813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53.743912118644069</v>
      </c>
    </row>
    <row r="35" spans="2:16" ht="15.75" customHeight="1" thickBot="1" x14ac:dyDescent="0.4">
      <c r="N35" s="374" t="s">
        <v>88</v>
      </c>
      <c r="O35" s="375"/>
      <c r="P35" s="297">
        <f>+P33+P34</f>
        <v>10802.526335847457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30</v>
      </c>
      <c r="I19" s="236">
        <f t="shared" si="0"/>
        <v>2179.1999999999998</v>
      </c>
      <c r="J19" s="272">
        <f t="shared" si="1"/>
        <v>174.33599999999998</v>
      </c>
      <c r="K19" s="128">
        <f t="shared" si="1"/>
        <v>76.272000000000006</v>
      </c>
      <c r="L19" s="119">
        <f t="shared" si="1"/>
        <v>0</v>
      </c>
      <c r="M19" s="230">
        <f t="shared" si="2"/>
        <v>1928.5919999999999</v>
      </c>
      <c r="N19" s="277">
        <f t="shared" si="3"/>
        <v>411.86440677966107</v>
      </c>
      <c r="O19" s="239">
        <f t="shared" si="4"/>
        <v>11.702282033898305</v>
      </c>
      <c r="P19" s="119">
        <f t="shared" si="5"/>
        <v>2352.1586888135594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30</v>
      </c>
      <c r="I21" s="236">
        <f t="shared" si="0"/>
        <v>2179.1999999999998</v>
      </c>
      <c r="J21" s="272">
        <f t="shared" si="1"/>
        <v>174.33599999999998</v>
      </c>
      <c r="K21" s="128">
        <f t="shared" si="1"/>
        <v>76.272000000000006</v>
      </c>
      <c r="L21" s="119">
        <f t="shared" si="1"/>
        <v>0</v>
      </c>
      <c r="M21" s="230">
        <f t="shared" si="2"/>
        <v>1928.5919999999999</v>
      </c>
      <c r="N21" s="277">
        <f t="shared" si="3"/>
        <v>411.86440677966107</v>
      </c>
      <c r="O21" s="239">
        <f t="shared" si="4"/>
        <v>11.702282033898305</v>
      </c>
      <c r="P21" s="119">
        <f t="shared" si="5"/>
        <v>2352.1586888135594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464.89599999999996</v>
      </c>
      <c r="K25" s="275">
        <f t="shared" si="7"/>
        <v>203.392</v>
      </c>
      <c r="L25" s="276">
        <f t="shared" si="7"/>
        <v>0</v>
      </c>
      <c r="M25" s="232">
        <f t="shared" si="7"/>
        <v>5142.9119999999994</v>
      </c>
      <c r="N25" s="233">
        <f>SUM(N16:N24)</f>
        <v>1098.3050847457628</v>
      </c>
      <c r="O25" s="101">
        <f>SUM(O16:O24)</f>
        <v>31.206085423728815</v>
      </c>
      <c r="P25" s="234">
        <f>SUM(P16:P24)</f>
        <v>6272.4231701694916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5811.2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464.89599999999996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203.392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5142.9120000000003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6241.2170847457628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74" t="s">
        <v>88</v>
      </c>
      <c r="O35" s="375"/>
      <c r="P35" s="297">
        <f>+P33+P34</f>
        <v>6272.4231701694916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46319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46318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Booker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46320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46319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2026-10-24T04:45:31Z</dcterms:modified>
</cp:coreProperties>
</file>