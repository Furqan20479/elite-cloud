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1B06B11-B174-462A-9BD2-4135351A4425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4">'1'!$A$1:$P$36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5" l="1"/>
  <c r="N5" i="65" s="1"/>
  <c r="N4" i="60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M20" i="43"/>
  <c r="O20" i="43" s="1"/>
  <c r="P20" i="43" s="1"/>
  <c r="J20" i="43"/>
  <c r="K20" i="57"/>
  <c r="J20" i="57"/>
  <c r="L20" i="57"/>
  <c r="M20" i="57" s="1"/>
  <c r="O20" i="57" s="1"/>
  <c r="P20" i="57" s="1"/>
  <c r="K20" i="61"/>
  <c r="J20" i="61"/>
  <c r="L20" i="61"/>
  <c r="M20" i="61"/>
  <c r="O20" i="61" s="1"/>
  <c r="P20" i="61" s="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59" l="1"/>
  <c r="M21" i="53"/>
  <c r="O21" i="53" s="1"/>
  <c r="P21" i="53" s="1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P16" i="53"/>
  <c r="P25" i="53" s="1"/>
  <c r="O25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<sst xmlns="http://schemas.openxmlformats.org/spreadsheetml/2006/main" count="3918" uniqueCount="517">
  <si>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</si>
  <si>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</si>
  <si>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</si>
  <si>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</si>
  <si>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</si>
  <si>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</si>
  <si>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</si>
  <si>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</si>
  <si>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</si>
  <si>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</si>
  <si>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</si>
  <si>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</si>
  <si>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</si>
  <si>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</si>
  <si>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</si>
  <si>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</si>
  <si>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</si>
  <si>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</si>
  <si>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</si>
  <si>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</si>
  <si>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</si>
  <si>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</si>
  <si>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</si>
  <si>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</si>
  <si>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</si>
  <si>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</si>
  <si>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</si>
  <si>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</si>
  <si>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</si>
  <si>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</si>
  <si>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</si>
  <si>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</si>
  <si>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</si>
  <si>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</si>
  <si>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</si>
  <si>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</si>
  <si>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</si>
  <si>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</si>
  <si>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</si>
  <si>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</si>
  <si>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</si>
  <si>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</si>
  <si>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</si>
  <si>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</si>
  <si>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</si>
  <si>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</si>
  <si>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</si>
  <si>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</si>
  <si>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</si>
  <si>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</si>
  <si>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</si>
  <si>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</si>
  <si>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</si>
  <si>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</si>
  <si>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</si>
  <si>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</si>
  <si>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</si>
  <si>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</si>
  <si>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</si>
  <si>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</si>
  <si>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</si>
  <si>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</si>
  <si>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</si>
  <si>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</si>
  <si>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</si>
  <si>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</si>
  <si>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</si>
  <si>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</si>
  <si>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</si>
  <si>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</si>
  <si>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</si>
  <si>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</si>
  <si>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</si>
  <si>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</si>
  <si>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</si>
  <si>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</si>
  <si>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</si>
  <si>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</si>
  <si>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</si>
  <si>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</si>
  <si>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</si>
  <si>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</si>
  <si>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</si>
  <si>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</si>
  <si>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</si>
  <si>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</si>
  <si>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</si>
  <si>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</si>
  <si>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</si>
  <si>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</si>
  <si>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</si>
  <si>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</si>
  <si>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</si>
  <si>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</si>
  <si>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</si>
  <si>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</si>
  <si>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</si>
  <si>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</si>
  <si>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</si>
  <si>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</si>
  <si>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</si>
  <si>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</si>
  <si>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</si>
  <si>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</si>
  <si>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</si>
  <si>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</si>
  <si>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</si>
  <si>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</si>
  <si>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</si>
  <si>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</si>
  <si>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</si>
  <si>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</si>
  <si>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</si>
  <si>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</si>
  <si>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</si>
  <si>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</si>
  <si>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</si>
  <si>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</si>
  <si>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</si>
  <si>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</si>
  <si>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</si>
  <si>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</si>
  <si>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</si>
  <si>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</si>
  <si>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</si>
  <si>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</si>
  <si>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</si>
  <si>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</si>
  <si>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</si>
  <si>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</si>
  <si>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</si>
  <si>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</si>
  <si>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</si>
  <si>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</si>
  <si>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</si>
  <si>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</si>
  <si>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</si>
  <si>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</si>
  <si>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</si>
  <si>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</si>
  <si>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</si>
  <si>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</si>
  <si>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</si>
  <si>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</si>
  <si>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</si>
  <si>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</si>
  <si>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</si>
  <si>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</si>
  <si>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</si>
  <si>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</si>
  <si>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</si>
  <si>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</si>
  <si>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</si>
  <si>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</si>
  <si>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</si>
  <si>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</si>
  <si>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</si>
  <si>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</si>
  <si>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</si>
  <si>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</si>
  <si>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</si>
  <si>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</si>
  <si>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</si>
  <si>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</si>
  <si>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</si>
  <si>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</si>
  <si>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</si>
  <si>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</si>
  <si>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</si>
  <si>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</si>
  <si>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</si>
  <si>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</si>
  <si>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</si>
  <si>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</si>
  <si>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</si>
  <si>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</si>
  <si>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</si>
  <si>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</si>
  <si>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</si>
  <si>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</si>
  <si>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</si>
  <si>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</si>
  <si>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</si>
  <si>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</si>
  <si>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</si>
  <si>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</si>
  <si>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</si>
  <si>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</si>
  <si>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</si>
  <si>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</si>
  <si>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</si>
  <si>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</si>
  <si>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</si>
  <si>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</si>
  <si>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</si>
  <si>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</si>
  <si>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</si>
  <si>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</si>
  <si>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</si>
  <si>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</si>
  <si>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</si>
  <si>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</si>
  <si>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</si>
  <si>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</si>
  <si>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</si>
  <si>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</si>
  <si>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</si>
  <si>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</si>
  <si>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</si>
  <si>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</si>
  <si>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</si>
  <si>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</si>
  <si>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</si>
  <si>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</si>
  <si>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</si>
  <si>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</si>
  <si>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</si>
  <si>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</si>
  <si>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</si>
  <si>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</si>
  <si>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</si>
  <si>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</si>
  <si>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</si>
  <si>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</si>
  <si>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</si>
  <si>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</si>
  <si>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</si>
  <si>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</si>
  <si>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</si>
  <si>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</si>
  <si>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</si>
  <si>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</si>
  <si>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</si>
  <si>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</si>
  <si>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</si>
  <si>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</si>
  <si>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</si>
  <si>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</si>
  <si>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</si>
  <si>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</si>
  <si>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</si>
  <si>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</si>
  <si>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</si>
  <si>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</si>
  <si>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</si>
  <si>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</si>
  <si>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</si>
  <si>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</si>
  <si>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</si>
  <si>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</si>
  <si>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</si>
  <si>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</si>
  <si>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</si>
  <si>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</si>
  <si>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</si>
  <si>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</si>
  <si>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</si>
  <si>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</si>
  <si>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</si>
  <si>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</si>
  <si>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</si>
  <si>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</si>
  <si>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</si>
  <si>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</si>
  <si>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</si>
  <si>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</si>
  <si>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</si>
  <si>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</si>
  <si>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</si>
  <si>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</si>
  <si>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</si>
  <si>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</si>
  <si>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</si>
  <si>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</si>
  <si>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</si>
  <si>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</si>
  <si>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</si>
  <si>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</si>
  <si>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</si>
  <si>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</si>
  <si>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</si>
  <si>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</si>
  <si>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</si>
  <si>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</si>
  <si>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</si>
  <si>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</si>
  <si>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</si>
  <si>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</si>
  <si>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</si>
  <si>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</si>
  <si>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</si>
  <si>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</si>
  <si>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</si>
  <si>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</si>
  <si>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</si>
  <si>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</si>
  <si>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</si>
  <si>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</si>
  <si>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</si>
  <si>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</si>
  <si>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</si>
  <si>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</si>
  <si>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</si>
  <si>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</si>
  <si>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</si>
  <si>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</si>
  <si>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</si>
  <si>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</si>
  <si>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</si>
  <si>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</si>
  <si>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</si>
  <si>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</si>
  <si>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</si>
  <si>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</si>
  <si>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</si>
  <si>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</si>
  <si>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</si>
  <si>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</si>
  <si>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</si>
  <si>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</si>
  <si>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</si>
  <si>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</si>
  <si>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</si>
  <si>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</si>
  <si>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</si>
  <si>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</si>
  <si>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</si>
  <si>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</si>
  <si>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</si>
  <si>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</si>
  <si>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</si>
  <si>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</si>
  <si>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</si>
  <si>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</si>
  <si>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</si>
  <si>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</si>
  <si>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</si>
  <si>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</si>
  <si>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</si>
  <si>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</si>
  <si>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</si>
  <si>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</si>
  <si>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</si>
  <si>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</si>
  <si>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</si>
  <si>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</si>
  <si>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</si>
  <si>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</si>
  <si>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</si>
  <si>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</si>
  <si>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</si>
  <si>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</si>
  <si>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</si>
  <si>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</si>
  <si>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</si>
  <si>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</si>
  <si>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</si>
  <si>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</si>
  <si>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</si>
  <si>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</si>
  <si>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</si>
  <si>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</si>
  <si>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</si>
  <si>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</si>
  <si>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</si>
  <si>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</si>
  <si>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</si>
  <si>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</si>
  <si>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</si>
  <si>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</si>
  <si>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</si>
  <si>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</si>
  <si>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</si>
  <si>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</si>
  <si>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</si>
  <si>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</si>
  <si>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</si>
  <si>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</si>
  <si>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</si>
  <si>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</si>
  <si>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</si>
  <si>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</si>
  <si>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</si>
  <si>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</si>
  <si>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</si>
  <si>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</si>
  <si>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</si>
  <si>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</si>
  <si>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</si>
  <si>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</si>
  <si>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</si>
  <si>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</si>
  <si>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</si>
  <si>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</si>
  <si>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</si>
  <si>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</si>
  <si>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</si>
  <si>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</si>
  <si>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</si>
  <si>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</si>
  <si>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</si>
  <si>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</si>
  <si>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</si>
  <si>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</si>
  <si>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</si>
  <si>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</si>
  <si>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</si>
  <si>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</si>
  <si>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</si>
  <si>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</si>
  <si>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</si>
  <si>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</si>
  <si>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</si>
  <si>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</si>
  <si>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</si>
  <si>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</si>
  <si>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</si>
  <si>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</si>
  <si>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</si>
  <si>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</si>
  <si>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</si>
  <si>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</si>
  <si>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</si>
  <si>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</si>
  <si>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</si>
  <si>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</si>
  <si>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</si>
  <si>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</si>
  <si>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</si>
  <si>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</si>
  <si>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</si>
  <si>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</si>
  <si>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</si>
  <si>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</si>
  <si>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</si>
  <si>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</si>
  <si>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</si>
  <si>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</si>
  <si>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</si>
  <si>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</si>
  <si>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</si>
  <si>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</si>
  <si>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</si>
  <si>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</si>
  <si>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</si>
  <si>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</si>
  <si>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</si>
  <si>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</si>
  <si>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</si>
  <si>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</si>
  <si>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</si>
  <si>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</si>
  <si>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</si>
  <si>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</si>
  <si>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</si>
  <si>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</si>
  <si>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</si>
  <si>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</si>
  <si>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</si>
  <si>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</si>
  <si>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</si>
  <si>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</si>
  <si>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</si>
  <si>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</si>
  <si>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</si>
  <si>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</si>
  <si>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</si>
  <si>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</si>
  <si>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</si>
  <si>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</si>
  <si>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</si>
  <si>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</si>
  <si>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</si>
  <si>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</si>
  <si>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</si>
  <si>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</si>
  <si>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</si>
  <si>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</si>
  <si>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</si>
  <si>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</si>
  <si>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</si>
  <si>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</si>
  <si>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</si>
  <si>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</si>
  <si>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</si>
  <si>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</si>
  <si>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</si>
  <si>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</si>
  <si>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</si>
  <si>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</si>
  <si>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</si>
  <si>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</si>
  <si>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</si>
  <si>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</si>
  <si>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</si>
  <si>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</si>
  <si>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</si>
  <si>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</si>
  <si>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</si>
  <si>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</si>
  <si>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</si>
  <si>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</si>
  <si>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</si>
  <si>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</si>
  <si>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</si>
  <si>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</si>
  <si>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</si>
  <si>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</si>
  <si>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</si>
  <si>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</si>
  <si>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</si>
  <si>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</si>
  <si>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Shakoor</t>
  </si>
  <si>
    <t xml:space="preserve">KK Mart </t>
  </si>
  <si>
    <t>NTN #: I978845-5</t>
  </si>
  <si>
    <t>Invoice No # :0001</t>
  </si>
  <si>
    <t>Address: Gullberg main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</si>
</sst>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10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70" t="s">
        <v>91</v>
      </c>
      <c r="B2" s="370"/>
      <c r="C2" s="370"/>
      <c r="E2" s="357" t="s">
        <v>498</v>
      </c>
      <c r="F2" s="358"/>
      <c r="G2" s="358"/>
      <c r="H2" s="355" t="s">
        <v>512</v>
      </c>
      <c r="I2" s="355"/>
      <c r="J2" s="356"/>
      <c r="R2" s="352" t="s">
        <v>497</v>
      </c>
      <c r="S2" s="353"/>
      <c r="T2" s="354"/>
    </row>
    <row r="3" spans="1:20 16377:16378" ht="21.75" customHeight="1" thickBot="1" x14ac:dyDescent="0.4">
      <c r="A3" s="371" t="s">
        <v>92</v>
      </c>
      <c r="B3" s="371"/>
      <c r="C3" s="371"/>
      <c r="E3" s="361" t="s">
        <v>508</v>
      </c>
      <c r="F3" s="362"/>
      <c r="G3" s="362"/>
      <c r="H3" s="359">
        <v>46319</v>
      </c>
      <c r="I3" s="359"/>
      <c r="J3" s="360"/>
      <c r="K3" s="372" t="s">
        <v>43</v>
      </c>
      <c r="L3" s="372"/>
      <c r="M3" s="372"/>
      <c r="N3" s="371"/>
      <c r="O3" s="371"/>
      <c r="P3" s="371"/>
      <c r="R3" s="299">
        <v>1</v>
      </c>
      <c r="S3" s="300" t="str">
        <f>+'1'!A6:A6</f>
        <v xml:space="preserve">KK Mart </v>
      </c>
      <c r="T3" s="301">
        <f>+'1'!P35</f>
        <v>126156.84278847139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KK Mart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1" t="s">
        <v>51</v>
      </c>
      <c r="B5" s="363"/>
      <c r="C5" s="393" t="s">
        <v>90</v>
      </c>
      <c r="D5" s="115" t="s">
        <v>52</v>
      </c>
      <c r="E5" s="395" t="s">
        <v>58</v>
      </c>
      <c r="F5" s="396"/>
      <c r="G5" s="368" t="s">
        <v>54</v>
      </c>
      <c r="H5" s="369"/>
      <c r="I5" s="397" t="s">
        <v>77</v>
      </c>
      <c r="J5" s="367" t="s">
        <v>55</v>
      </c>
      <c r="K5" s="368"/>
      <c r="L5" s="369"/>
      <c r="M5" s="363" t="s">
        <v>84</v>
      </c>
      <c r="N5" s="365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KK Mart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2"/>
      <c r="B6" s="364"/>
      <c r="C6" s="394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6"/>
      <c r="J6" s="143" t="s">
        <v>59</v>
      </c>
      <c r="K6" s="144" t="s">
        <v>39</v>
      </c>
      <c r="L6" s="145" t="s">
        <v>493</v>
      </c>
      <c r="M6" s="364"/>
      <c r="N6" s="36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KK Mart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144</v>
      </c>
      <c r="I7" s="235">
        <f>(G7*D7)*F7+H7*F7</f>
        <v>7554.5999999999995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1170.963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6383.6369999999997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1427.796610169491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39.057168050847451</v>
      </c>
      <c r="P7" s="310">
        <f>M7+N7+O7</f>
        <v>7850.4907782203381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KK Mart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287</v>
      </c>
      <c r="I8" s="236">
        <f t="shared" ref="I8:I14" si="0">(G8*D8)*F8+H8*F8</f>
        <v>15056.737499999999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2333.7943124999997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12722.943187499999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2845.6779661016935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77.843105768008471</v>
      </c>
      <c r="P8" s="311">
        <f t="shared" ref="P8:P15" si="2">M8+N8+O8</f>
        <v>15646.464259369701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 xml:space="preserve">KK Mart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288</v>
      </c>
      <c r="I9" s="236">
        <f t="shared" si="0"/>
        <v>15109.199999999999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2341.9259999999999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12767.273999999999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2855.5932203389821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78.114336101694903</v>
      </c>
      <c r="P9" s="311">
        <f t="shared" si="2"/>
        <v>15700.981556440676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 xml:space="preserve">KK Mart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432</v>
      </c>
      <c r="I10" s="236">
        <f t="shared" si="0"/>
        <v>31380.48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4863.9744000000001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26516.5056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5930.8474576271192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162.23676528813559</v>
      </c>
      <c r="P10" s="311">
        <f t="shared" si="2"/>
        <v>32609.589822915255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 xml:space="preserve">KK Mart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288</v>
      </c>
      <c r="I11" s="236">
        <f t="shared" si="0"/>
        <v>20920.32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3242.6495999999997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17677.670399999999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3953.898305084746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108.15784352542373</v>
      </c>
      <c r="P11" s="311">
        <f t="shared" si="2"/>
        <v>21739.726548610168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 xml:space="preserve">KK Mart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432</v>
      </c>
      <c r="I12" s="236">
        <f t="shared" si="0"/>
        <v>31380.48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4863.9744000000001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26516.5056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5930.8474576271192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162.23676528813559</v>
      </c>
      <c r="P12" s="311">
        <f t="shared" si="2"/>
        <v>32609.589822915255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 xml:space="preserve">KK Mart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 xml:space="preserve">KK Mart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 xml:space="preserve">KK Mart 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 xml:space="preserve">KK Mart </v>
      </c>
      <c r="T15" s="301">
        <f>+'13'!P35</f>
        <v>0</v>
      </c>
    </row>
    <row r="16" spans="1:20 16377:16378" ht="21.75" customHeight="1" thickBot="1" x14ac:dyDescent="0.4">
      <c r="A16" s="373">
        <f>COUNT(A7:A15)</f>
        <v>0</v>
      </c>
      <c r="B16" s="374"/>
      <c r="C16" s="374" t="s">
        <v>40</v>
      </c>
      <c r="D16" s="374"/>
      <c r="E16" s="374"/>
      <c r="F16" s="375"/>
      <c r="G16" s="117">
        <f>H16/40</f>
        <v>46.774999999999999</v>
      </c>
      <c r="H16" s="113">
        <f t="shared" ref="H16:M16" si="3">SUM(H7:H15)</f>
        <v>1871</v>
      </c>
      <c r="I16" s="114">
        <f t="shared" si="3"/>
        <v>121401.81749999999</v>
      </c>
      <c r="J16" s="274">
        <f>SUM(J7:J15)</f>
        <v>18817.2817125</v>
      </c>
      <c r="K16" s="275">
        <f t="shared" si="3"/>
        <v>0</v>
      </c>
      <c r="L16" s="276">
        <f t="shared" si="3"/>
        <v>0</v>
      </c>
      <c r="M16" s="232">
        <f t="shared" si="3"/>
        <v>102584.5357875</v>
      </c>
      <c r="N16" s="233">
        <f>SUM(N7:N15)</f>
        <v>22944.661016949151</v>
      </c>
      <c r="O16" s="101">
        <f>SUM(O7:O15)</f>
        <v>627.64598402224578</v>
      </c>
      <c r="P16" s="113">
        <f>SUM(P7:P15)</f>
        <v>126156.84278847139</v>
      </c>
      <c r="Q16" s="128">
        <f>SUM(Q7:Q15)</f>
        <v>0</v>
      </c>
      <c r="R16" s="313">
        <v>14</v>
      </c>
      <c r="S16" s="315" t="str">
        <f>+'14'!A6:A6</f>
        <v xml:space="preserve">KK Mart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KK Mart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KK Mart </v>
      </c>
      <c r="T18" s="301">
        <f>+'16'!P35</f>
        <v>0</v>
      </c>
    </row>
    <row r="19" spans="1:20" ht="21.75" customHeight="1" x14ac:dyDescent="0.35">
      <c r="B19" s="376" t="s">
        <v>64</v>
      </c>
      <c r="C19" s="377"/>
      <c r="D19" s="377"/>
      <c r="E19" s="377"/>
      <c r="F19" s="377"/>
      <c r="G19" s="377"/>
      <c r="H19" s="377"/>
      <c r="I19" s="377"/>
      <c r="J19" s="377"/>
      <c r="K19" s="377"/>
      <c r="L19" s="378"/>
      <c r="N19" s="385" t="s">
        <v>60</v>
      </c>
      <c r="O19" s="386"/>
      <c r="P19" s="139">
        <f>I16</f>
        <v>121401.81749999999</v>
      </c>
      <c r="R19" s="299">
        <v>17</v>
      </c>
      <c r="S19" s="300" t="str">
        <f>+'17'!A6:A6</f>
        <v xml:space="preserve">KK Mart </v>
      </c>
      <c r="T19" s="301">
        <f>+'17'!P35</f>
        <v>0</v>
      </c>
    </row>
    <row r="20" spans="1:20" ht="21.75" customHeight="1" x14ac:dyDescent="0.35">
      <c r="B20" s="379"/>
      <c r="C20" s="380"/>
      <c r="D20" s="380"/>
      <c r="E20" s="380"/>
      <c r="F20" s="380"/>
      <c r="G20" s="380"/>
      <c r="H20" s="380"/>
      <c r="I20" s="380"/>
      <c r="J20" s="380"/>
      <c r="K20" s="380"/>
      <c r="L20" s="381"/>
      <c r="N20" s="387" t="s">
        <v>85</v>
      </c>
      <c r="O20" s="388"/>
      <c r="P20" s="140">
        <f>+J16</f>
        <v>18817.2817125</v>
      </c>
      <c r="R20" s="299">
        <v>18</v>
      </c>
      <c r="S20" s="300" t="str">
        <f>+'18'!A6:A6</f>
        <v xml:space="preserve">KK Mart </v>
      </c>
      <c r="T20" s="301">
        <f>+'18'!P35</f>
        <v>0</v>
      </c>
    </row>
    <row r="21" spans="1:20" ht="21.75" customHeight="1" x14ac:dyDescent="0.35">
      <c r="B21" s="379"/>
      <c r="C21" s="380"/>
      <c r="D21" s="380"/>
      <c r="E21" s="380"/>
      <c r="F21" s="380"/>
      <c r="G21" s="380"/>
      <c r="H21" s="380"/>
      <c r="I21" s="380"/>
      <c r="J21" s="380"/>
      <c r="K21" s="380"/>
      <c r="L21" s="381"/>
      <c r="N21" s="387" t="s">
        <v>86</v>
      </c>
      <c r="O21" s="388"/>
      <c r="P21" s="140">
        <f>+K16+L16</f>
        <v>0</v>
      </c>
      <c r="R21" s="299">
        <v>19</v>
      </c>
      <c r="S21" s="300" t="str">
        <f>+'19'!A6:A6</f>
        <v xml:space="preserve">KK Mart </v>
      </c>
      <c r="T21" s="301">
        <f>+'19'!P35</f>
        <v>0</v>
      </c>
    </row>
    <row r="22" spans="1:20" ht="21.75" customHeight="1" x14ac:dyDescent="0.35">
      <c r="B22" s="379"/>
      <c r="C22" s="380"/>
      <c r="D22" s="380"/>
      <c r="E22" s="380"/>
      <c r="F22" s="380"/>
      <c r="G22" s="380"/>
      <c r="H22" s="380"/>
      <c r="I22" s="380"/>
      <c r="J22" s="380"/>
      <c r="K22" s="380"/>
      <c r="L22" s="381"/>
      <c r="M22" s="131"/>
      <c r="N22" s="387" t="s">
        <v>87</v>
      </c>
      <c r="O22" s="388"/>
      <c r="P22" s="140">
        <f>P19-P20-P21</f>
        <v>102584.53578749999</v>
      </c>
      <c r="R22" s="299">
        <v>20</v>
      </c>
      <c r="S22" s="300" t="str">
        <f>+'20'!A6:A6</f>
        <v xml:space="preserve">KK Mart </v>
      </c>
      <c r="T22" s="301">
        <f>+'20'!P35</f>
        <v>0</v>
      </c>
    </row>
    <row r="23" spans="1:20" ht="21.75" customHeight="1" x14ac:dyDescent="0.35">
      <c r="B23" s="379"/>
      <c r="C23" s="380"/>
      <c r="D23" s="380"/>
      <c r="E23" s="380"/>
      <c r="F23" s="380"/>
      <c r="G23" s="380"/>
      <c r="H23" s="380"/>
      <c r="I23" s="380"/>
      <c r="J23" s="380"/>
      <c r="K23" s="380"/>
      <c r="L23" s="381"/>
      <c r="M23" s="131"/>
      <c r="N23" s="136" t="s">
        <v>61</v>
      </c>
      <c r="O23" s="133">
        <v>0.18</v>
      </c>
      <c r="P23" s="140">
        <f>+N16</f>
        <v>22944.661016949151</v>
      </c>
      <c r="R23" s="299">
        <v>21</v>
      </c>
      <c r="S23" s="300" t="str">
        <f>+'21'!A6:A6</f>
        <v xml:space="preserve">KK Mart </v>
      </c>
      <c r="T23" s="301">
        <f>+'21'!P35</f>
        <v>0</v>
      </c>
    </row>
    <row r="24" spans="1:20" ht="21.75" customHeight="1" x14ac:dyDescent="0.35">
      <c r="B24" s="379"/>
      <c r="C24" s="380"/>
      <c r="D24" s="380"/>
      <c r="E24" s="380"/>
      <c r="F24" s="380"/>
      <c r="G24" s="380"/>
      <c r="H24" s="380"/>
      <c r="I24" s="380"/>
      <c r="J24" s="380"/>
      <c r="K24" s="380"/>
      <c r="L24" s="381"/>
      <c r="M24" s="131"/>
      <c r="N24" s="389" t="s">
        <v>76</v>
      </c>
      <c r="O24" s="390"/>
      <c r="P24" s="140">
        <f>P22+P23</f>
        <v>125529.19680444914</v>
      </c>
      <c r="R24" s="299">
        <v>22</v>
      </c>
      <c r="S24" s="300" t="str">
        <f>+'22'!A6:A6</f>
        <v xml:space="preserve">KK Mart </v>
      </c>
      <c r="T24" s="301">
        <f>+'22'!P35</f>
        <v>0</v>
      </c>
    </row>
    <row r="25" spans="1:20" ht="21.75" customHeight="1" thickBot="1" x14ac:dyDescent="0.4">
      <c r="B25" s="382"/>
      <c r="C25" s="383"/>
      <c r="D25" s="383"/>
      <c r="E25" s="383"/>
      <c r="F25" s="383"/>
      <c r="G25" s="383"/>
      <c r="H25" s="383"/>
      <c r="I25" s="383"/>
      <c r="J25" s="383"/>
      <c r="K25" s="383"/>
      <c r="L25" s="384"/>
      <c r="M25" s="99"/>
      <c r="N25" s="138" t="s">
        <v>83</v>
      </c>
      <c r="O25" s="137" t="e">
        <f>IF(#REF!="Filer",0.5%,2.5%)</f>
        <v>#REF!</v>
      </c>
      <c r="P25" s="140">
        <f>+O16</f>
        <v>627.64598402224578</v>
      </c>
      <c r="R25" s="299">
        <v>23</v>
      </c>
      <c r="S25" s="300" t="str">
        <f>+'23'!A6:A6</f>
        <v xml:space="preserve">KK Mart </v>
      </c>
      <c r="T25" s="301">
        <f>+'23'!P35</f>
        <v>0</v>
      </c>
    </row>
    <row r="26" spans="1:20" ht="21.75" customHeight="1" thickBot="1" x14ac:dyDescent="0.4">
      <c r="N26" s="346" t="s">
        <v>88</v>
      </c>
      <c r="O26" s="347"/>
      <c r="P26" s="297">
        <f>+P24+P25</f>
        <v>126156.84278847139</v>
      </c>
      <c r="R26" s="299">
        <v>24</v>
      </c>
      <c r="S26" s="300" t="str">
        <f>+'24'!A6:A6</f>
        <v xml:space="preserve">KK Mart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8"/>
      <c r="D27" s="348"/>
      <c r="E27" s="348"/>
      <c r="F27" s="348"/>
      <c r="G27" s="348"/>
      <c r="H27" s="348"/>
      <c r="I27" s="349"/>
      <c r="J27" s="350"/>
      <c r="K27" s="351"/>
      <c r="R27" s="299">
        <v>25</v>
      </c>
      <c r="S27" s="300" t="str">
        <f>+'25'!A6:A6</f>
        <v xml:space="preserve">KK Mart 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KK Mart 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KK Mart 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KK Mart 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KK Mart 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KK Mart 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126156.84278847139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F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Summary!H3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7.2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144</v>
      </c>
      <c r="I16" s="235">
        <f>(G16*D16)*F16+H16*F16</f>
        <v>7554.5999999999995</v>
      </c>
      <c r="J16" s="271">
        <f>$I16*S16</f>
        <v>1170.963</v>
      </c>
      <c r="K16" s="127">
        <f>$I16*T16</f>
        <v>0</v>
      </c>
      <c r="L16" s="118">
        <f>$I16*U16</f>
        <v>0</v>
      </c>
      <c r="M16" s="229">
        <f>I16-SUM(J16:L16)</f>
        <v>6383.6369999999997</v>
      </c>
      <c r="N16" s="248">
        <f>+(G16*D16+H16)*V16</f>
        <v>1427.796610169491</v>
      </c>
      <c r="O16" s="238">
        <f>(N16+M16)*$O$15</f>
        <v>39.057168050847451</v>
      </c>
      <c r="P16" s="118">
        <f>M16+N16+O16</f>
        <v>7850.4907782203381</v>
      </c>
      <c r="Q16" s="318"/>
      <c r="S16" s="269">
        <v>0.155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287</v>
      </c>
      <c r="I17" s="236">
        <f t="shared" ref="I17:I23" si="0">(G17*D17)*F17+H17*F17</f>
        <v>15056.737499999999</v>
      </c>
      <c r="J17" s="272">
        <f t="shared" ref="J17:L24" si="1">$I17*S17</f>
        <v>2333.7943124999997</v>
      </c>
      <c r="K17" s="128">
        <f>$I17*T17</f>
        <v>0</v>
      </c>
      <c r="L17" s="119">
        <f>$I17*U17</f>
        <v>0</v>
      </c>
      <c r="M17" s="230">
        <f t="shared" ref="M17:M24" si="2">I17-SUM(J17:L17)</f>
        <v>12722.943187499999</v>
      </c>
      <c r="N17" s="277">
        <f t="shared" ref="N17:N24" si="3">+(G17*D17+H17)*V17</f>
        <v>2845.6779661016935</v>
      </c>
      <c r="O17" s="239">
        <f t="shared" ref="O17:O24" si="4">(N17+M17)*$O$15</f>
        <v>77.843105768008471</v>
      </c>
      <c r="P17" s="119">
        <f t="shared" ref="P17:P24" si="5">M17+N17+O17</f>
        <v>15646.464259369701</v>
      </c>
      <c r="Q17" s="319"/>
      <c r="S17" s="269">
        <f>+S16</f>
        <v>0.155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288</v>
      </c>
      <c r="I18" s="236">
        <f t="shared" ref="I18:I21" si="7">(G18*D18)*F18+H18*F18</f>
        <v>15109.199999999999</v>
      </c>
      <c r="J18" s="272">
        <f t="shared" si="1"/>
        <v>2341.9259999999999</v>
      </c>
      <c r="K18" s="128">
        <f t="shared" si="1"/>
        <v>0</v>
      </c>
      <c r="L18" s="119">
        <f t="shared" si="1"/>
        <v>0</v>
      </c>
      <c r="M18" s="230">
        <f t="shared" si="2"/>
        <v>12767.273999999999</v>
      </c>
      <c r="N18" s="277">
        <f t="shared" si="3"/>
        <v>2855.5932203389821</v>
      </c>
      <c r="O18" s="239">
        <f t="shared" si="4"/>
        <v>78.114336101694903</v>
      </c>
      <c r="P18" s="119">
        <f t="shared" si="5"/>
        <v>15700.981556440676</v>
      </c>
      <c r="Q18" s="319"/>
      <c r="S18" s="269">
        <f>+S17</f>
        <v>0.155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432</v>
      </c>
      <c r="I19" s="236">
        <f t="shared" si="7"/>
        <v>31380.48</v>
      </c>
      <c r="J19" s="272">
        <f t="shared" si="1"/>
        <v>4863.9744000000001</v>
      </c>
      <c r="K19" s="128">
        <f t="shared" si="1"/>
        <v>0</v>
      </c>
      <c r="L19" s="119">
        <f t="shared" si="1"/>
        <v>0</v>
      </c>
      <c r="M19" s="230">
        <f t="shared" si="2"/>
        <v>26516.5056</v>
      </c>
      <c r="N19" s="277">
        <f t="shared" si="3"/>
        <v>5930.8474576271192</v>
      </c>
      <c r="O19" s="239">
        <f t="shared" si="4"/>
        <v>162.23676528813559</v>
      </c>
      <c r="P19" s="119">
        <f t="shared" si="5"/>
        <v>32609.589822915255</v>
      </c>
      <c r="Q19" s="319"/>
      <c r="S19" s="269">
        <f>+S18</f>
        <v>0.155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288</v>
      </c>
      <c r="I20" s="236">
        <f t="shared" si="7"/>
        <v>20920.32</v>
      </c>
      <c r="J20" s="272">
        <f t="shared" si="1"/>
        <v>3242.6495999999997</v>
      </c>
      <c r="K20" s="128">
        <f t="shared" si="1"/>
        <v>0</v>
      </c>
      <c r="L20" s="119">
        <f t="shared" si="1"/>
        <v>0</v>
      </c>
      <c r="M20" s="230">
        <f t="shared" si="2"/>
        <v>17677.670399999999</v>
      </c>
      <c r="N20" s="277">
        <f t="shared" si="3"/>
        <v>3953.898305084746</v>
      </c>
      <c r="O20" s="239">
        <f t="shared" si="4"/>
        <v>108.15784352542373</v>
      </c>
      <c r="P20" s="119">
        <f t="shared" si="5"/>
        <v>21739.726548610168</v>
      </c>
      <c r="Q20" s="319"/>
      <c r="S20" s="269">
        <f>+S19</f>
        <v>0.155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432</v>
      </c>
      <c r="I21" s="236">
        <f t="shared" si="7"/>
        <v>31380.48</v>
      </c>
      <c r="J21" s="272">
        <f t="shared" si="1"/>
        <v>4863.9744000000001</v>
      </c>
      <c r="K21" s="128">
        <f t="shared" si="1"/>
        <v>0</v>
      </c>
      <c r="L21" s="119">
        <f t="shared" si="1"/>
        <v>0</v>
      </c>
      <c r="M21" s="230">
        <f t="shared" si="2"/>
        <v>26516.5056</v>
      </c>
      <c r="N21" s="277">
        <f t="shared" si="3"/>
        <v>5930.8474576271192</v>
      </c>
      <c r="O21" s="239">
        <f t="shared" si="4"/>
        <v>162.23676528813559</v>
      </c>
      <c r="P21" s="119">
        <f t="shared" si="5"/>
        <v>32609.589822915255</v>
      </c>
      <c r="Q21" s="319"/>
      <c r="S21" s="269">
        <f>+S20</f>
        <v>0.155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" si="8">SUM(G16:G24)</f>
        <v>0</v>
      </c>
      <c r="H25" s="113">
        <f t="shared" ref="H25" si="9">SUM(H16:H24)</f>
        <v>1871</v>
      </c>
      <c r="I25" s="114">
        <f t="shared" ref="I25:M25" si="10">SUM(I16:I24)</f>
        <v>121401.81749999999</v>
      </c>
      <c r="J25" s="274">
        <f>SUM(J16:J24)</f>
        <v>18817.2817125</v>
      </c>
      <c r="K25" s="275">
        <f t="shared" si="10"/>
        <v>0</v>
      </c>
      <c r="L25" s="276">
        <f t="shared" si="10"/>
        <v>0</v>
      </c>
      <c r="M25" s="232">
        <f t="shared" si="10"/>
        <v>102584.5357875</v>
      </c>
      <c r="N25" s="233">
        <f>SUM(N16:N24)</f>
        <v>22944.661016949151</v>
      </c>
      <c r="O25" s="101">
        <f>SUM(O16:O24)</f>
        <v>627.64598402224578</v>
      </c>
      <c r="P25" s="234">
        <f>SUM(P16:P24)</f>
        <v>126156.84278847139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121401.81749999999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18817.2817125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102584.53578749999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22944.661016949151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125529.19680444914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627.64598402224567</v>
      </c>
    </row>
    <row r="35" spans="2:16" ht="15.75" customHeight="1" thickBot="1" x14ac:dyDescent="0.4">
      <c r="N35" s="346" t="s">
        <v>88</v>
      </c>
      <c r="O35" s="347"/>
      <c r="P35" s="297">
        <f>+P33+P34</f>
        <v>126156.84278847139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88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8.7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'1'!N4:P5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8.7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515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46319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46318</v>
      </c>
      <c r="O5" s="371"/>
      <c r="P5" s="371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516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0.155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70" t="s">
        <v>91</v>
      </c>
      <c r="B2" s="370"/>
      <c r="C2" s="370"/>
    </row>
    <row r="3" spans="1:18 16382:16383" ht="15" customHeight="1" x14ac:dyDescent="0.35">
      <c r="A3" s="371" t="s">
        <v>92</v>
      </c>
      <c r="B3" s="371"/>
      <c r="C3" s="371"/>
      <c r="F3" s="85"/>
      <c r="G3" s="1"/>
      <c r="J3" s="372" t="s">
        <v>43</v>
      </c>
      <c r="K3" s="372"/>
      <c r="L3" s="372"/>
      <c r="M3" s="371"/>
      <c r="N3" s="371"/>
      <c r="O3" s="37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1" t="s">
        <v>65</v>
      </c>
      <c r="B4" s="371"/>
      <c r="C4" s="371"/>
      <c r="F4" s="85"/>
      <c r="G4" s="1"/>
      <c r="J4" s="372" t="s">
        <v>44</v>
      </c>
      <c r="K4" s="372"/>
      <c r="L4" s="372"/>
      <c r="M4" s="402">
        <f ca="1">TODAY()+1</f>
        <v>46323</v>
      </c>
      <c r="N4" s="402"/>
      <c r="O4" s="402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72" t="s">
        <v>45</v>
      </c>
      <c r="K5" s="372"/>
      <c r="L5" s="372"/>
      <c r="M5" s="402">
        <f ca="1">M4-1</f>
        <v>46322</v>
      </c>
      <c r="N5" s="371"/>
      <c r="O5" s="371"/>
      <c r="Q5" s="85"/>
      <c r="R5" s="1"/>
    </row>
    <row r="6" spans="1:18 16382:16383" ht="15" customHeight="1" x14ac:dyDescent="0.35">
      <c r="A6" s="372" t="s">
        <v>94</v>
      </c>
      <c r="B6" s="372"/>
      <c r="C6" s="372"/>
      <c r="F6" s="85"/>
      <c r="G6" s="86"/>
      <c r="J6" s="372" t="s">
        <v>69</v>
      </c>
      <c r="K6" s="372"/>
      <c r="L6" s="372"/>
      <c r="M6" s="401" t="s">
        <v>62</v>
      </c>
      <c r="N6" s="401"/>
      <c r="O6" s="401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2" t="s">
        <v>73</v>
      </c>
      <c r="B7" s="372"/>
      <c r="C7" s="372"/>
      <c r="F7" s="85"/>
      <c r="G7" s="86"/>
      <c r="J7" s="372" t="s">
        <v>66</v>
      </c>
      <c r="K7" s="372"/>
      <c r="L7" s="372"/>
      <c r="M7" s="401" t="s">
        <v>70</v>
      </c>
      <c r="N7" s="401"/>
      <c r="O7" s="401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72" t="s">
        <v>67</v>
      </c>
      <c r="K8" s="372"/>
      <c r="L8" s="372"/>
      <c r="M8" s="401" t="s">
        <v>71</v>
      </c>
      <c r="N8" s="401"/>
      <c r="O8" s="401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72" t="s">
        <v>68</v>
      </c>
      <c r="K9" s="372"/>
      <c r="L9" s="372"/>
      <c r="M9" s="401" t="s">
        <v>104</v>
      </c>
      <c r="N9" s="401"/>
      <c r="O9" s="401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72" t="s">
        <v>46</v>
      </c>
      <c r="K10" s="372"/>
      <c r="L10" s="372"/>
      <c r="M10" s="371" t="s">
        <v>47</v>
      </c>
      <c r="N10" s="371"/>
      <c r="O10" s="37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2" t="s">
        <v>48</v>
      </c>
      <c r="K11" s="372"/>
      <c r="L11" s="372"/>
      <c r="M11" s="371" t="s">
        <v>49</v>
      </c>
      <c r="N11" s="371"/>
      <c r="O11" s="37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2" t="s">
        <v>50</v>
      </c>
      <c r="K12" s="372"/>
      <c r="L12" s="372"/>
      <c r="M12" s="371"/>
      <c r="N12" s="371"/>
      <c r="O12" s="37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1" t="s">
        <v>51</v>
      </c>
      <c r="B14" s="363"/>
      <c r="C14" s="393" t="s">
        <v>90</v>
      </c>
      <c r="D14" s="88" t="s">
        <v>52</v>
      </c>
      <c r="E14" s="95" t="s">
        <v>74</v>
      </c>
      <c r="F14" s="115" t="s">
        <v>53</v>
      </c>
      <c r="G14" s="367" t="s">
        <v>54</v>
      </c>
      <c r="H14" s="369"/>
      <c r="I14" s="397" t="s">
        <v>77</v>
      </c>
      <c r="J14" s="368" t="s">
        <v>55</v>
      </c>
      <c r="K14" s="369"/>
      <c r="L14" s="397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2"/>
      <c r="B15" s="364"/>
      <c r="C15" s="394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6"/>
      <c r="J15" s="144" t="s">
        <v>39</v>
      </c>
      <c r="K15" s="145" t="s">
        <v>59</v>
      </c>
      <c r="L15" s="36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8"/>
      <c r="M28" s="385" t="s">
        <v>60</v>
      </c>
      <c r="N28" s="386"/>
      <c r="O28" s="139">
        <f>I25</f>
        <v>1452.8</v>
      </c>
    </row>
    <row r="29" spans="1:18 16383:16383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1"/>
      <c r="M29" s="387" t="s">
        <v>85</v>
      </c>
      <c r="N29" s="388"/>
      <c r="O29" s="140">
        <f>K25</f>
        <v>0</v>
      </c>
    </row>
    <row r="30" spans="1:18 16383:16383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1"/>
      <c r="M30" s="387" t="s">
        <v>86</v>
      </c>
      <c r="N30" s="388"/>
      <c r="O30" s="140">
        <f>J25</f>
        <v>50.848000000000006</v>
      </c>
    </row>
    <row r="31" spans="1:18 16383:16383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1"/>
      <c r="L31" s="131"/>
      <c r="M31" s="387" t="s">
        <v>87</v>
      </c>
      <c r="N31" s="388"/>
      <c r="O31" s="140">
        <f>O28-O29-O30</f>
        <v>1401.952</v>
      </c>
    </row>
    <row r="32" spans="1:18 16383:16383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1"/>
      <c r="L33" s="131"/>
      <c r="M33" s="389" t="s">
        <v>76</v>
      </c>
      <c r="N33" s="390"/>
      <c r="O33" s="140">
        <f>O31+O32</f>
        <v>1710.3814400000001</v>
      </c>
    </row>
    <row r="34" spans="2:15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6" t="s">
        <v>88</v>
      </c>
      <c r="N35" s="347"/>
      <c r="O35" s="141">
        <f>O28-O29+O31+O34</f>
        <v>2897.511536</v>
      </c>
    </row>
    <row r="36" spans="2:15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5" t="s">
        <v>439</v>
      </c>
      <c r="E1" s="338" t="s">
        <v>58</v>
      </c>
      <c r="F1" s="338"/>
      <c r="G1" s="339" t="s">
        <v>440</v>
      </c>
      <c r="H1" s="339"/>
      <c r="I1" s="412" t="s">
        <v>441</v>
      </c>
      <c r="J1" s="412"/>
      <c r="K1" s="412" t="s">
        <v>442</v>
      </c>
      <c r="L1" s="412"/>
      <c r="M1" s="407" t="s">
        <v>484</v>
      </c>
      <c r="N1" s="408"/>
      <c r="O1" s="409"/>
    </row>
    <row r="2" spans="3:24" ht="29" x14ac:dyDescent="0.35">
      <c r="C2" s="338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10" t="s">
        <v>476</v>
      </c>
      <c r="D6" s="410"/>
      <c r="E6" s="410"/>
      <c r="F6" s="410"/>
      <c r="G6" s="410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06" t="s">
        <v>58</v>
      </c>
      <c r="F7" s="406"/>
      <c r="G7" s="404" t="s">
        <v>440</v>
      </c>
      <c r="H7" s="339"/>
      <c r="I7" s="340" t="s">
        <v>441</v>
      </c>
      <c r="J7" s="341"/>
      <c r="K7" s="340" t="s">
        <v>442</v>
      </c>
      <c r="L7" s="341"/>
      <c r="M7" s="407" t="s">
        <v>484</v>
      </c>
      <c r="N7" s="408"/>
      <c r="O7" s="409"/>
      <c r="P7" s="256" t="s">
        <v>475</v>
      </c>
      <c r="Q7" s="242" t="s">
        <v>473</v>
      </c>
      <c r="R7" s="405" t="s">
        <v>475</v>
      </c>
      <c r="S7" s="405" t="s">
        <v>485</v>
      </c>
      <c r="T7" s="403" t="s">
        <v>486</v>
      </c>
      <c r="U7" s="403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04"/>
      <c r="U8" s="404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1" t="s">
        <v>477</v>
      </c>
      <c r="D12" s="411"/>
      <c r="E12" s="411"/>
      <c r="F12" s="411"/>
      <c r="G12" s="411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7" t="s">
        <v>484</v>
      </c>
      <c r="N13" s="408"/>
      <c r="O13" s="409"/>
      <c r="P13" s="256" t="s">
        <v>475</v>
      </c>
      <c r="Q13" s="242" t="s">
        <v>473</v>
      </c>
      <c r="R13" s="405" t="s">
        <v>475</v>
      </c>
      <c r="S13" s="405" t="s">
        <v>485</v>
      </c>
      <c r="T13" s="403" t="s">
        <v>486</v>
      </c>
      <c r="U13" s="403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04"/>
      <c r="U14" s="404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10" t="s">
        <v>478</v>
      </c>
      <c r="D19" s="410"/>
      <c r="E19" s="410"/>
      <c r="F19" s="410"/>
      <c r="G19" s="410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7" t="s">
        <v>484</v>
      </c>
      <c r="N20" s="408"/>
      <c r="O20" s="409"/>
      <c r="P20" s="256" t="s">
        <v>475</v>
      </c>
      <c r="Q20" s="242" t="s">
        <v>473</v>
      </c>
      <c r="R20" s="405" t="s">
        <v>475</v>
      </c>
      <c r="S20" s="405" t="s">
        <v>485</v>
      </c>
      <c r="T20" s="403" t="s">
        <v>486</v>
      </c>
      <c r="U20" s="403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04"/>
      <c r="U21" s="404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10" t="s">
        <v>479</v>
      </c>
      <c r="D26" s="410"/>
      <c r="E26" s="410"/>
      <c r="F26" s="410"/>
      <c r="G26" s="410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7" t="s">
        <v>484</v>
      </c>
      <c r="N27" s="408"/>
      <c r="O27" s="409"/>
      <c r="P27" s="256" t="s">
        <v>475</v>
      </c>
      <c r="Q27" s="242" t="s">
        <v>473</v>
      </c>
      <c r="R27" s="405" t="s">
        <v>475</v>
      </c>
      <c r="S27" s="405" t="s">
        <v>485</v>
      </c>
      <c r="T27" s="403" t="s">
        <v>486</v>
      </c>
      <c r="U27" s="403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04"/>
      <c r="U28" s="404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5" t="s">
        <v>439</v>
      </c>
      <c r="D1" s="338" t="s">
        <v>58</v>
      </c>
      <c r="E1" s="338"/>
      <c r="F1" s="339" t="s">
        <v>440</v>
      </c>
      <c r="G1" s="339"/>
      <c r="H1" s="412" t="s">
        <v>441</v>
      </c>
      <c r="I1" s="412"/>
      <c r="J1" s="412" t="s">
        <v>442</v>
      </c>
      <c r="K1" s="412"/>
      <c r="L1" s="407" t="s">
        <v>484</v>
      </c>
      <c r="M1" s="408"/>
      <c r="N1" s="409"/>
    </row>
    <row r="2" spans="2:17" ht="29" x14ac:dyDescent="0.35">
      <c r="B2" s="338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5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2026-10-27T07:05:58Z</dcterms:modified>
</cp:coreProperties>
</file>