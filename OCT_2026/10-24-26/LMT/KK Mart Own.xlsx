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1F1A9A-2FC9-4B2B-9FAC-48BB71910EF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O25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<sst xmlns="http://schemas.openxmlformats.org/spreadsheetml/2006/main" count="3918" uniqueCount="517">
  <si>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</si>
  <si>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</si>
  <si>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</si>
  <si>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</si>
  <si>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</si>
  <si>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</si>
  <si>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</si>
  <si>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</si>
  <si>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</si>
  <si>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</si>
  <si>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</si>
  <si>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</si>
  <si>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</si>
  <si>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</si>
  <si>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</si>
  <si>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</si>
  <si>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</si>
  <si>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</si>
  <si>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</si>
  <si>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</si>
  <si>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</si>
  <si>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</si>
  <si>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</si>
  <si>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</si>
  <si>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</si>
  <si>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</si>
  <si>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</si>
  <si>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</si>
  <si>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</si>
  <si>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</si>
  <si>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</si>
  <si>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</si>
  <si>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</si>
  <si>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</si>
  <si>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</si>
  <si>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</si>
  <si>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</si>
  <si>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</si>
  <si>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</si>
  <si>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</si>
  <si>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</si>
  <si>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</si>
  <si>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</si>
  <si>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</si>
  <si>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</si>
  <si>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</si>
  <si>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</si>
  <si>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</si>
  <si>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</si>
  <si>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</si>
  <si>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</si>
  <si>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</si>
  <si>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</si>
  <si>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</si>
  <si>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</si>
  <si>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</si>
  <si>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</si>
  <si>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</si>
  <si>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</si>
  <si>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</si>
  <si>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</si>
  <si>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</si>
  <si>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</si>
  <si>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</si>
  <si>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</si>
  <si>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</si>
  <si>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</si>
  <si>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</si>
  <si>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</si>
  <si>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</si>
  <si>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</si>
  <si>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</si>
  <si>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</si>
  <si>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</si>
  <si>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</si>
  <si>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</si>
  <si>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</si>
  <si>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</si>
  <si>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</si>
  <si>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</si>
  <si>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</si>
  <si>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</si>
  <si>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</si>
  <si>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</si>
  <si>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</si>
  <si>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</si>
  <si>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</si>
  <si>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</si>
  <si>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</si>
  <si>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</si>
  <si>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</si>
  <si>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</si>
  <si>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</si>
  <si>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</si>
  <si>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</si>
  <si>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</si>
  <si>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</si>
  <si>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</si>
  <si>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</si>
  <si>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</si>
  <si>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</si>
  <si>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</si>
  <si>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</si>
  <si>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</si>
  <si>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</si>
  <si>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</si>
  <si>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</si>
  <si>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</si>
  <si>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</si>
  <si>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</si>
  <si>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</si>
  <si>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</si>
  <si>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</si>
  <si>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</si>
  <si>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</si>
  <si>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</si>
  <si>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</si>
  <si>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</si>
  <si>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</si>
  <si>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</si>
  <si>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</si>
  <si>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</si>
  <si>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</si>
  <si>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</si>
  <si>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</si>
  <si>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</si>
  <si>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</si>
  <si>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</si>
  <si>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</si>
  <si>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</si>
  <si>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</si>
  <si>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</si>
  <si>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</si>
  <si>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</si>
  <si>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</si>
  <si>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</si>
  <si>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</si>
  <si>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</si>
  <si>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</si>
  <si>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</si>
  <si>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</si>
  <si>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</si>
  <si>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</si>
  <si>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</si>
  <si>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</si>
  <si>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</si>
  <si>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</si>
  <si>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</si>
  <si>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</si>
  <si>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</si>
  <si>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</si>
  <si>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</si>
  <si>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</si>
  <si>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</si>
  <si>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</si>
  <si>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</si>
  <si>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</si>
  <si>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</si>
  <si>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</si>
  <si>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</si>
  <si>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</si>
  <si>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</si>
  <si>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</si>
  <si>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</si>
  <si>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</si>
  <si>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</si>
  <si>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</si>
  <si>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</si>
  <si>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</si>
  <si>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</si>
  <si>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</si>
  <si>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</si>
  <si>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</si>
  <si>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</si>
  <si>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</si>
  <si>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</si>
  <si>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</si>
  <si>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</si>
  <si>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</si>
  <si>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</si>
  <si>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</si>
  <si>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</si>
  <si>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</si>
  <si>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</si>
  <si>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</si>
  <si>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</si>
  <si>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</si>
  <si>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</si>
  <si>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</si>
  <si>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</si>
  <si>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</si>
  <si>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</si>
  <si>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</si>
  <si>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</si>
  <si>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</si>
  <si>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</si>
  <si>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</si>
  <si>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</si>
  <si>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</si>
  <si>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</si>
  <si>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</si>
  <si>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</si>
  <si>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</si>
  <si>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</si>
  <si>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</si>
  <si>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</si>
  <si>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</si>
  <si>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</si>
  <si>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</si>
  <si>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</si>
  <si>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</si>
  <si>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</si>
  <si>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</si>
  <si>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</si>
  <si>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</si>
  <si>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</si>
  <si>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</si>
  <si>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</si>
  <si>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</si>
  <si>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</si>
  <si>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</si>
  <si>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</si>
  <si>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</si>
  <si>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</si>
  <si>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</si>
  <si>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</si>
  <si>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</si>
  <si>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</si>
  <si>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</si>
  <si>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</si>
  <si>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</si>
  <si>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</si>
  <si>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</si>
  <si>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</si>
  <si>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</si>
  <si>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</si>
  <si>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</si>
  <si>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</si>
  <si>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</si>
  <si>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</si>
  <si>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</si>
  <si>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</si>
  <si>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</si>
  <si>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</si>
  <si>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</si>
  <si>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</si>
  <si>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</si>
  <si>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</si>
  <si>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</si>
  <si>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</si>
  <si>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</si>
  <si>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</si>
  <si>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</si>
  <si>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</si>
  <si>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</si>
  <si>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</si>
  <si>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</si>
  <si>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</si>
  <si>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</si>
  <si>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</si>
  <si>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</si>
  <si>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</si>
  <si>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</si>
  <si>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</si>
  <si>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</si>
  <si>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</si>
  <si>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</si>
  <si>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</si>
  <si>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</si>
  <si>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</si>
  <si>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</si>
  <si>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</si>
  <si>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</si>
  <si>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</si>
  <si>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</si>
  <si>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</si>
  <si>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</si>
  <si>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</si>
  <si>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</si>
  <si>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</si>
  <si>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</si>
  <si>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</si>
  <si>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</si>
  <si>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</si>
  <si>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</si>
  <si>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</si>
  <si>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</si>
  <si>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</si>
  <si>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</si>
  <si>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</si>
  <si>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</si>
  <si>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</si>
  <si>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</si>
  <si>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</si>
  <si>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</si>
  <si>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</si>
  <si>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</si>
  <si>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</si>
  <si>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</si>
  <si>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</si>
  <si>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</si>
  <si>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</si>
  <si>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</si>
  <si>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</si>
  <si>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</si>
  <si>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</si>
  <si>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</si>
  <si>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</si>
  <si>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</si>
  <si>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</si>
  <si>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</si>
  <si>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</si>
  <si>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</si>
  <si>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</si>
  <si>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</si>
  <si>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</si>
  <si>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</si>
  <si>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</si>
  <si>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</si>
  <si>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</si>
  <si>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</si>
  <si>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</si>
  <si>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</si>
  <si>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</si>
  <si>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</si>
  <si>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</si>
  <si>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</si>
  <si>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</si>
  <si>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</si>
  <si>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</si>
  <si>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</si>
  <si>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</si>
  <si>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</si>
  <si>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</si>
  <si>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</si>
  <si>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</si>
  <si>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</si>
  <si>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</si>
  <si>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</si>
  <si>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</si>
  <si>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</si>
  <si>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</si>
  <si>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</si>
  <si>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</si>
  <si>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</si>
  <si>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</si>
  <si>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</si>
  <si>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</si>
  <si>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</si>
  <si>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</si>
  <si>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</si>
  <si>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</si>
  <si>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</si>
  <si>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</si>
  <si>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</si>
  <si>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</si>
  <si>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</si>
  <si>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</si>
  <si>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</si>
  <si>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</si>
  <si>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</si>
  <si>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</si>
  <si>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</si>
  <si>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</si>
  <si>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</si>
  <si>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</si>
  <si>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</si>
  <si>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</si>
  <si>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</si>
  <si>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</si>
  <si>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</si>
  <si>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</si>
  <si>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</si>
  <si>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</si>
  <si>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</si>
  <si>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</si>
  <si>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</si>
  <si>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</si>
  <si>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</si>
  <si>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</si>
  <si>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</si>
  <si>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</si>
  <si>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</si>
  <si>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</si>
  <si>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</si>
  <si>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</si>
  <si>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</si>
  <si>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</si>
  <si>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</si>
  <si>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</si>
  <si>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</si>
  <si>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</si>
  <si>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</si>
  <si>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</si>
  <si>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</si>
  <si>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</si>
  <si>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</si>
  <si>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</si>
  <si>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</si>
  <si>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</si>
  <si>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</si>
  <si>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</si>
  <si>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</si>
  <si>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</si>
  <si>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</si>
  <si>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</si>
  <si>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</si>
  <si>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</si>
  <si>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</si>
  <si>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</si>
  <si>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</si>
  <si>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</si>
  <si>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</si>
  <si>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</si>
  <si>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</si>
  <si>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</si>
  <si>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</si>
  <si>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</si>
  <si>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</si>
  <si>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</si>
  <si>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</si>
  <si>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</si>
  <si>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</si>
  <si>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</si>
  <si>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</si>
  <si>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</si>
  <si>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</si>
  <si>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</si>
  <si>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</si>
  <si>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</si>
  <si>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</si>
  <si>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</si>
  <si>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</si>
  <si>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</si>
  <si>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</si>
  <si>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</si>
  <si>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</si>
  <si>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</si>
  <si>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</si>
  <si>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</si>
  <si>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</si>
  <si>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</si>
  <si>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</si>
  <si>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</si>
  <si>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</si>
  <si>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</si>
  <si>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</si>
  <si>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</si>
  <si>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</si>
  <si>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</si>
  <si>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</si>
  <si>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</si>
  <si>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</si>
  <si>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</si>
  <si>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</si>
  <si>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</si>
  <si>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</si>
  <si>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</si>
  <si>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</si>
  <si>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</si>
  <si>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</si>
  <si>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</si>
  <si>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</si>
  <si>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</si>
  <si>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</si>
  <si>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</si>
  <si>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</si>
  <si>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</si>
  <si>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</si>
  <si>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</si>
  <si>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</si>
  <si>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</si>
  <si>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</si>
  <si>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</si>
  <si>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</si>
  <si>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</si>
  <si>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</si>
  <si>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</si>
  <si>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</si>
  <si>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</si>
  <si>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</si>
  <si>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</si>
  <si>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</si>
  <si>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</si>
  <si>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</si>
  <si>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</si>
  <si>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</si>
  <si>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</si>
  <si>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</si>
  <si>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</si>
  <si>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</si>
  <si>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</si>
  <si>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</si>
  <si>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</si>
  <si>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</si>
  <si>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</si>
  <si>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</si>
  <si>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</si>
  <si>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</si>
  <si>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</si>
  <si>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</si>
  <si>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</si>
  <si>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</si>
  <si>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</si>
  <si>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</si>
  <si>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</si>
  <si>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</si>
  <si>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</si>
  <si>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</si>
  <si>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</si>
  <si>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</si>
  <si>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</si>
  <si>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</si>
  <si>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KK Mart </t>
  </si>
  <si>
    <t>NTN #: I978845-5</t>
  </si>
  <si>
    <t>Invoice No # :0001</t>
  </si>
  <si>
    <t>Address: Gullberg main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</si>
</sst>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KK Mart </v>
      </c>
      <c r="T3" s="301">
        <f>+'1'!P35</f>
        <v>126156.84278847139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KK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KK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KK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144</v>
      </c>
      <c r="I7" s="235">
        <f>(G7*D7)*F7+H7*F7</f>
        <v>7554.5999999999995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1170.963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6383.6369999999997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1427.796610169491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39.057168050847451</v>
      </c>
      <c r="P7" s="310">
        <f>M7+N7+O7</f>
        <v>7850.4907782203381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KK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287</v>
      </c>
      <c r="I8" s="236">
        <f t="shared" ref="I8:I14" si="0">(G8*D8)*F8+H8*F8</f>
        <v>15056.737499999999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2333.7943124999997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12722.943187499999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2845.6779661016935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77.843105768008471</v>
      </c>
      <c r="P8" s="311">
        <f t="shared" ref="P8:P15" si="2">M8+N8+O8</f>
        <v>15646.464259369701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KK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288</v>
      </c>
      <c r="I9" s="236">
        <f t="shared" si="0"/>
        <v>15109.199999999999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2341.9259999999999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12767.273999999999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2855.5932203389821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78.114336101694903</v>
      </c>
      <c r="P9" s="311">
        <f t="shared" si="2"/>
        <v>15700.981556440676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KK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432</v>
      </c>
      <c r="I10" s="236">
        <f t="shared" si="0"/>
        <v>31380.48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4863.9744000000001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26516.5056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5930.8474576271192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162.23676528813559</v>
      </c>
      <c r="P10" s="311">
        <f t="shared" si="2"/>
        <v>32609.589822915255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KK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288</v>
      </c>
      <c r="I11" s="236">
        <f t="shared" si="0"/>
        <v>20920.32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3242.6495999999997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17677.670399999999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3953.898305084746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108.15784352542373</v>
      </c>
      <c r="P11" s="311">
        <f t="shared" si="2"/>
        <v>21739.726548610168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KK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432</v>
      </c>
      <c r="I12" s="236">
        <f t="shared" si="0"/>
        <v>31380.48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4863.9744000000001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26516.5056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5930.8474576271192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162.23676528813559</v>
      </c>
      <c r="P12" s="311">
        <f t="shared" si="2"/>
        <v>32609.589822915255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KK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KK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KK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KK Mart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46.774999999999999</v>
      </c>
      <c r="H16" s="113">
        <f t="shared" ref="H16:M16" si="3">SUM(H7:H15)</f>
        <v>1871</v>
      </c>
      <c r="I16" s="114">
        <f t="shared" si="3"/>
        <v>121401.81749999999</v>
      </c>
      <c r="J16" s="274">
        <f>SUM(J7:J15)</f>
        <v>18817.2817125</v>
      </c>
      <c r="K16" s="275">
        <f t="shared" si="3"/>
        <v>0</v>
      </c>
      <c r="L16" s="276">
        <f t="shared" si="3"/>
        <v>0</v>
      </c>
      <c r="M16" s="232">
        <f t="shared" si="3"/>
        <v>102584.5357875</v>
      </c>
      <c r="N16" s="233">
        <f>SUM(N7:N15)</f>
        <v>22944.661016949151</v>
      </c>
      <c r="O16" s="101">
        <f>SUM(O7:O15)</f>
        <v>627.64598402224578</v>
      </c>
      <c r="P16" s="113">
        <f>SUM(P7:P15)</f>
        <v>126156.84278847139</v>
      </c>
      <c r="Q16" s="128">
        <f>SUM(Q7:Q15)</f>
        <v>0</v>
      </c>
      <c r="R16" s="313">
        <v>14</v>
      </c>
      <c r="S16" s="315" t="str">
        <f>+'14'!A6:A6</f>
        <v xml:space="preserve">KK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KK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KK Mart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121401.81749999999</v>
      </c>
      <c r="R19" s="299">
        <v>17</v>
      </c>
      <c r="S19" s="300" t="str">
        <f>+'17'!A6:A6</f>
        <v xml:space="preserve">KK Mart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18817.2817125</v>
      </c>
      <c r="R20" s="299">
        <v>18</v>
      </c>
      <c r="S20" s="300" t="str">
        <f>+'18'!A6:A6</f>
        <v xml:space="preserve">KK Mart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 xml:space="preserve">KK Mart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102584.53578749999</v>
      </c>
      <c r="R22" s="299">
        <v>20</v>
      </c>
      <c r="S22" s="300" t="str">
        <f>+'20'!A6:A6</f>
        <v xml:space="preserve">KK Mart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22944.661016949151</v>
      </c>
      <c r="R23" s="299">
        <v>21</v>
      </c>
      <c r="S23" s="300" t="str">
        <f>+'21'!A6:A6</f>
        <v xml:space="preserve">KK Mart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125529.19680444914</v>
      </c>
      <c r="R24" s="299">
        <v>22</v>
      </c>
      <c r="S24" s="300" t="str">
        <f>+'22'!A6:A6</f>
        <v xml:space="preserve">KK Mart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627.64598402224578</v>
      </c>
      <c r="R25" s="299">
        <v>23</v>
      </c>
      <c r="S25" s="300" t="str">
        <f>+'23'!A6:A6</f>
        <v xml:space="preserve">KK Mart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126156.84278847139</v>
      </c>
      <c r="R26" s="299">
        <v>24</v>
      </c>
      <c r="S26" s="300" t="str">
        <f>+'24'!A6:A6</f>
        <v xml:space="preserve">KK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KK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KK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KK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KK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KK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KK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126156.84278847139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144</v>
      </c>
      <c r="I16" s="235">
        <f>(G16*D16)*F16+H16*F16</f>
        <v>7554.5999999999995</v>
      </c>
      <c r="J16" s="271">
        <f>$I16*S16</f>
        <v>1170.963</v>
      </c>
      <c r="K16" s="127">
        <f>$I16*T16</f>
        <v>0</v>
      </c>
      <c r="L16" s="118">
        <f>$I16*U16</f>
        <v>0</v>
      </c>
      <c r="M16" s="229">
        <f>I16-SUM(J16:L16)</f>
        <v>6383.6369999999997</v>
      </c>
      <c r="N16" s="248">
        <f>+(G16*D16+H16)*V16</f>
        <v>1427.796610169491</v>
      </c>
      <c r="O16" s="238">
        <f>(N16+M16)*$O$15</f>
        <v>39.057168050847451</v>
      </c>
      <c r="P16" s="118">
        <f>M16+N16+O16</f>
        <v>7850.4907782203381</v>
      </c>
      <c r="Q16" s="318"/>
      <c r="S16" s="269">
        <v>0.155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287</v>
      </c>
      <c r="I17" s="236">
        <f t="shared" ref="I17:I23" si="0">(G17*D17)*F17+H17*F17</f>
        <v>15056.737499999999</v>
      </c>
      <c r="J17" s="272">
        <f t="shared" ref="J17:L24" si="1">$I17*S17</f>
        <v>2333.7943124999997</v>
      </c>
      <c r="K17" s="128">
        <f>$I17*T17</f>
        <v>0</v>
      </c>
      <c r="L17" s="119">
        <f>$I17*U17</f>
        <v>0</v>
      </c>
      <c r="M17" s="230">
        <f t="shared" ref="M17:M24" si="2">I17-SUM(J17:L17)</f>
        <v>12722.943187499999</v>
      </c>
      <c r="N17" s="277">
        <f t="shared" ref="N17:N24" si="3">+(G17*D17+H17)*V17</f>
        <v>2845.6779661016935</v>
      </c>
      <c r="O17" s="239">
        <f t="shared" ref="O17:O24" si="4">(N17+M17)*$O$15</f>
        <v>77.843105768008471</v>
      </c>
      <c r="P17" s="119">
        <f t="shared" ref="P17:P24" si="5">M17+N17+O17</f>
        <v>15646.464259369701</v>
      </c>
      <c r="Q17" s="319"/>
      <c r="S17" s="269">
        <f>+S16</f>
        <v>0.155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288</v>
      </c>
      <c r="I18" s="236">
        <f t="shared" ref="I18:I21" si="7">(G18*D18)*F18+H18*F18</f>
        <v>15109.199999999999</v>
      </c>
      <c r="J18" s="272">
        <f t="shared" si="1"/>
        <v>2341.9259999999999</v>
      </c>
      <c r="K18" s="128">
        <f t="shared" si="1"/>
        <v>0</v>
      </c>
      <c r="L18" s="119">
        <f t="shared" si="1"/>
        <v>0</v>
      </c>
      <c r="M18" s="230">
        <f t="shared" si="2"/>
        <v>12767.273999999999</v>
      </c>
      <c r="N18" s="277">
        <f t="shared" si="3"/>
        <v>2855.5932203389821</v>
      </c>
      <c r="O18" s="239">
        <f t="shared" si="4"/>
        <v>78.114336101694903</v>
      </c>
      <c r="P18" s="119">
        <f t="shared" si="5"/>
        <v>15700.981556440676</v>
      </c>
      <c r="Q18" s="319"/>
      <c r="S18" s="269">
        <f>+S17</f>
        <v>0.155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432</v>
      </c>
      <c r="I19" s="236">
        <f t="shared" si="7"/>
        <v>31380.48</v>
      </c>
      <c r="J19" s="272">
        <f t="shared" si="1"/>
        <v>4863.9744000000001</v>
      </c>
      <c r="K19" s="128">
        <f t="shared" si="1"/>
        <v>0</v>
      </c>
      <c r="L19" s="119">
        <f t="shared" si="1"/>
        <v>0</v>
      </c>
      <c r="M19" s="230">
        <f t="shared" si="2"/>
        <v>26516.5056</v>
      </c>
      <c r="N19" s="277">
        <f t="shared" si="3"/>
        <v>5930.8474576271192</v>
      </c>
      <c r="O19" s="239">
        <f t="shared" si="4"/>
        <v>162.23676528813559</v>
      </c>
      <c r="P19" s="119">
        <f t="shared" si="5"/>
        <v>32609.589822915255</v>
      </c>
      <c r="Q19" s="319"/>
      <c r="S19" s="269">
        <f>+S18</f>
        <v>0.155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288</v>
      </c>
      <c r="I20" s="236">
        <f t="shared" si="7"/>
        <v>20920.32</v>
      </c>
      <c r="J20" s="272">
        <f t="shared" si="1"/>
        <v>3242.6495999999997</v>
      </c>
      <c r="K20" s="128">
        <f t="shared" si="1"/>
        <v>0</v>
      </c>
      <c r="L20" s="119">
        <f t="shared" si="1"/>
        <v>0</v>
      </c>
      <c r="M20" s="230">
        <f t="shared" si="2"/>
        <v>17677.670399999999</v>
      </c>
      <c r="N20" s="277">
        <f t="shared" si="3"/>
        <v>3953.898305084746</v>
      </c>
      <c r="O20" s="239">
        <f t="shared" si="4"/>
        <v>108.15784352542373</v>
      </c>
      <c r="P20" s="119">
        <f t="shared" si="5"/>
        <v>21739.726548610168</v>
      </c>
      <c r="Q20" s="319"/>
      <c r="S20" s="269">
        <f>+S19</f>
        <v>0.155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432</v>
      </c>
      <c r="I21" s="236">
        <f t="shared" si="7"/>
        <v>31380.48</v>
      </c>
      <c r="J21" s="272">
        <f t="shared" si="1"/>
        <v>4863.9744000000001</v>
      </c>
      <c r="K21" s="128">
        <f t="shared" si="1"/>
        <v>0</v>
      </c>
      <c r="L21" s="119">
        <f t="shared" si="1"/>
        <v>0</v>
      </c>
      <c r="M21" s="230">
        <f t="shared" si="2"/>
        <v>26516.5056</v>
      </c>
      <c r="N21" s="277">
        <f t="shared" si="3"/>
        <v>5930.8474576271192</v>
      </c>
      <c r="O21" s="239">
        <f t="shared" si="4"/>
        <v>162.23676528813559</v>
      </c>
      <c r="P21" s="119">
        <f t="shared" si="5"/>
        <v>32609.589822915255</v>
      </c>
      <c r="Q21" s="319"/>
      <c r="S21" s="269">
        <f>+S20</f>
        <v>0.155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1871</v>
      </c>
      <c r="I25" s="114">
        <f t="shared" ref="I25:M25" si="10">SUM(I16:I24)</f>
        <v>121401.81749999999</v>
      </c>
      <c r="J25" s="274">
        <f>SUM(J16:J24)</f>
        <v>18817.2817125</v>
      </c>
      <c r="K25" s="275">
        <f t="shared" si="10"/>
        <v>0</v>
      </c>
      <c r="L25" s="276">
        <f t="shared" si="10"/>
        <v>0</v>
      </c>
      <c r="M25" s="232">
        <f t="shared" si="10"/>
        <v>102584.5357875</v>
      </c>
      <c r="N25" s="233">
        <f>SUM(N16:N24)</f>
        <v>22944.661016949151</v>
      </c>
      <c r="O25" s="101">
        <f>SUM(O16:O24)</f>
        <v>627.64598402224578</v>
      </c>
      <c r="P25" s="234">
        <f>SUM(P16:P24)</f>
        <v>126156.84278847139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121401.81749999999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18817.2817125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102584.53578749999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22944.661016949151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125529.19680444914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627.64598402224567</v>
      </c>
    </row>
    <row r="35" spans="2:16" ht="15.75" customHeight="1" thickBot="1" x14ac:dyDescent="0.4">
      <c r="N35" s="374" t="s">
        <v>88</v>
      </c>
      <c r="O35" s="375"/>
      <c r="P35" s="297">
        <f>+P33+P34</f>
        <v>126156.84278847139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0.155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2026-10-26T08:25:32Z</dcterms:modified>
</cp:coreProperties>
</file>