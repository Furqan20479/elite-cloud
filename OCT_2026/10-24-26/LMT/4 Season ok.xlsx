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ECBC102-93D6-4740-B2C9-D269D73CD442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2" l="1"/>
  <c r="O21" i="52" s="1"/>
  <c r="P21" i="52" s="1"/>
  <c r="M21" i="69"/>
  <c r="O21" i="69" s="1"/>
  <c r="P21" i="69" s="1"/>
  <c r="M17" i="60"/>
  <c r="O17" i="60" s="1"/>
  <c r="P17" i="60" s="1"/>
  <c r="J7" i="62"/>
  <c r="M24" i="45"/>
  <c r="O24" i="45" s="1"/>
  <c r="P24" i="45" s="1"/>
  <c r="M22" i="43"/>
  <c r="M23" i="56"/>
  <c r="M22" i="63"/>
  <c r="O22" i="63" s="1"/>
  <c r="P22" i="63" s="1"/>
  <c r="M23" i="44"/>
  <c r="O23" i="44" s="1"/>
  <c r="P23" i="44" s="1"/>
  <c r="M24" i="58"/>
  <c r="M24" i="43"/>
  <c r="O24" i="43" s="1"/>
  <c r="P24" i="43" s="1"/>
  <c r="M23" i="54"/>
  <c r="O23" i="54" s="1"/>
  <c r="P23" i="54" s="1"/>
  <c r="M23" i="69"/>
  <c r="M23" i="53"/>
  <c r="O23" i="53" s="1"/>
  <c r="P23" i="53" s="1"/>
  <c r="M24" i="63"/>
  <c r="O24" i="63" s="1"/>
  <c r="P24" i="63" s="1"/>
  <c r="M21" i="51"/>
  <c r="M20" i="70"/>
  <c r="O20" i="70" s="1"/>
  <c r="P20" i="70" s="1"/>
  <c r="R20" i="70" s="1"/>
  <c r="M21" i="68"/>
  <c r="O21" i="68" s="1"/>
  <c r="P21" i="68" s="1"/>
  <c r="M17" i="72"/>
  <c r="O17" i="72" s="1"/>
  <c r="P17" i="72" s="1"/>
  <c r="M16" i="64"/>
  <c r="O16" i="64" s="1"/>
  <c r="P16" i="64" s="1"/>
  <c r="M16" i="65"/>
  <c r="M16" i="44"/>
  <c r="M16" i="48"/>
  <c r="M16" i="60"/>
  <c r="O16" i="60" s="1"/>
  <c r="P16" i="60" s="1"/>
  <c r="M16" i="66"/>
  <c r="M16" i="72"/>
  <c r="O16" i="72" s="1"/>
  <c r="P16" i="72" s="1"/>
  <c r="M18" i="67"/>
  <c r="O18" i="67" s="1"/>
  <c r="P18" i="6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 s="1"/>
  <c r="O23" i="69"/>
  <c r="P23" i="69" s="1"/>
  <c r="O24" i="48"/>
  <c r="P24" i="48"/>
  <c r="O16" i="44"/>
  <c r="O22" i="51"/>
  <c r="P22" i="51" s="1"/>
  <c r="O23" i="60"/>
  <c r="P23" i="60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24" i="55"/>
  <c r="O25" i="55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<sst xmlns="http://schemas.openxmlformats.org/spreadsheetml/2006/main" count="3918" uniqueCount="516">
  <si>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</si>
  <si>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</si>
  <si>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</si>
  <si>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</si>
  <si>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</si>
  <si>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</si>
  <si>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</si>
  <si>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</si>
  <si>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</si>
  <si>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</si>
  <si>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</si>
  <si>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</si>
  <si>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</si>
  <si>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</si>
  <si>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</si>
  <si>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</si>
  <si>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</si>
  <si>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</si>
  <si>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</si>
  <si>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</si>
  <si>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</si>
  <si>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</si>
  <si>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</si>
  <si>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</si>
  <si>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</si>
  <si>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</si>
  <si>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</si>
  <si>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</si>
  <si>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</si>
  <si>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</si>
  <si>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</si>
  <si>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</si>
  <si>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</si>
  <si>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</si>
  <si>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</si>
  <si>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</si>
  <si>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</si>
  <si>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</si>
  <si>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</si>
  <si>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</si>
  <si>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</si>
  <si>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</si>
  <si>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</si>
  <si>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</si>
  <si>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</si>
  <si>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</si>
  <si>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</si>
  <si>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</si>
  <si>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</si>
  <si>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</si>
  <si>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</si>
  <si>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</si>
  <si>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</si>
  <si>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</si>
  <si>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</si>
  <si>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</si>
  <si>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</si>
  <si>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</si>
  <si>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</si>
  <si>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</si>
  <si>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</si>
  <si>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</si>
  <si>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</si>
  <si>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</si>
  <si>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</si>
  <si>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</si>
  <si>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</si>
  <si>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</si>
  <si>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</si>
  <si>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</si>
  <si>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</si>
  <si>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</si>
  <si>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</si>
  <si>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</si>
  <si>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</si>
  <si>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</si>
  <si>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</si>
  <si>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</si>
  <si>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</si>
  <si>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</si>
  <si>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</si>
  <si>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</si>
  <si>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</si>
  <si>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</si>
  <si>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</si>
  <si>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</si>
  <si>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</si>
  <si>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</si>
  <si>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</si>
  <si>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</si>
  <si>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</si>
  <si>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</si>
  <si>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</si>
  <si>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</si>
  <si>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</si>
  <si>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</si>
  <si>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</si>
  <si>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</si>
  <si>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</si>
  <si>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</si>
  <si>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</si>
  <si>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</si>
  <si>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</si>
  <si>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</si>
  <si>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</si>
  <si>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</si>
  <si>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</si>
  <si>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</si>
  <si>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</si>
  <si>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</si>
  <si>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</si>
  <si>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</si>
  <si>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</si>
  <si>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</si>
  <si>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</si>
  <si>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</si>
  <si>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</si>
  <si>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</si>
  <si>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</si>
  <si>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</si>
  <si>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</si>
  <si>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</si>
  <si>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</si>
  <si>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</si>
  <si>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</si>
  <si>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</si>
  <si>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</si>
  <si>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</si>
  <si>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</si>
  <si>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</si>
  <si>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</si>
  <si>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</si>
  <si>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</si>
  <si>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</si>
  <si>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</si>
  <si>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</si>
  <si>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</si>
  <si>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</si>
  <si>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</si>
  <si>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</si>
  <si>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</si>
  <si>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</si>
  <si>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</si>
  <si>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</si>
  <si>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</si>
  <si>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</si>
  <si>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</si>
  <si>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</si>
  <si>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</si>
  <si>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</si>
  <si>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</si>
  <si>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</si>
  <si>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</si>
  <si>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</si>
  <si>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</si>
  <si>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</si>
  <si>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</si>
  <si>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</si>
  <si>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</si>
  <si>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</si>
  <si>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</si>
  <si>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</si>
  <si>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</si>
  <si>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</si>
  <si>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</si>
  <si>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</si>
  <si>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</si>
  <si>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</si>
  <si>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</si>
  <si>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</si>
  <si>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</si>
  <si>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</si>
  <si>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</si>
  <si>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</si>
  <si>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</si>
  <si>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</si>
  <si>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</si>
  <si>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</si>
  <si>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</si>
  <si>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</si>
  <si>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</si>
  <si>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</si>
  <si>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</si>
  <si>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</si>
  <si>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</si>
  <si>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</si>
  <si>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</si>
  <si>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</si>
  <si>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</si>
  <si>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</si>
  <si>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</si>
  <si>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</si>
  <si>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</si>
  <si>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</si>
  <si>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</si>
  <si>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</si>
  <si>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</si>
  <si>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</si>
  <si>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</si>
  <si>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</si>
  <si>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</si>
  <si>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</si>
  <si>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</si>
  <si>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</si>
  <si>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</si>
  <si>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</si>
  <si>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</si>
  <si>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</si>
  <si>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</si>
  <si>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</si>
  <si>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</si>
  <si>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</si>
  <si>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</si>
  <si>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</si>
  <si>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</si>
  <si>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</si>
  <si>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</si>
  <si>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</si>
  <si>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</si>
  <si>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</si>
  <si>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</si>
  <si>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</si>
  <si>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</si>
  <si>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</si>
  <si>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</si>
  <si>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</si>
  <si>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</si>
  <si>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</si>
  <si>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</si>
  <si>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</si>
  <si>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</si>
  <si>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</si>
  <si>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</si>
  <si>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</si>
  <si>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</si>
  <si>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</si>
  <si>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</si>
  <si>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</si>
  <si>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</si>
  <si>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</si>
  <si>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</si>
  <si>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</si>
  <si>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</si>
  <si>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</si>
  <si>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</si>
  <si>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</si>
  <si>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</si>
  <si>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</si>
  <si>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</si>
  <si>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</si>
  <si>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</si>
  <si>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</si>
  <si>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</si>
  <si>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</si>
  <si>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</si>
  <si>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</si>
  <si>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</si>
  <si>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</si>
  <si>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</si>
  <si>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</si>
  <si>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</si>
  <si>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</si>
  <si>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</si>
  <si>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</si>
  <si>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</si>
  <si>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</si>
  <si>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</si>
  <si>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</si>
  <si>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</si>
  <si>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</si>
  <si>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</si>
  <si>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</si>
  <si>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</si>
  <si>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</si>
  <si>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</si>
  <si>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</si>
  <si>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</si>
  <si>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</si>
  <si>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</si>
  <si>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</si>
  <si>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</si>
  <si>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</si>
  <si>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</si>
  <si>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</si>
  <si>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</si>
  <si>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</si>
  <si>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</si>
  <si>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</si>
  <si>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</si>
  <si>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</si>
  <si>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</si>
  <si>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</si>
  <si>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</si>
  <si>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</si>
  <si>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</si>
  <si>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</si>
  <si>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</si>
  <si>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</si>
  <si>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</si>
  <si>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</si>
  <si>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</si>
  <si>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</si>
  <si>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</si>
  <si>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</si>
  <si>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</si>
  <si>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</si>
  <si>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</si>
  <si>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</si>
  <si>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</si>
  <si>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</si>
  <si>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</si>
  <si>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</si>
  <si>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</si>
  <si>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</si>
  <si>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</si>
  <si>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</si>
  <si>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</si>
  <si>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</si>
  <si>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</si>
  <si>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</si>
  <si>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</si>
  <si>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</si>
  <si>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</si>
  <si>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</si>
  <si>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</si>
  <si>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</si>
  <si>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</si>
  <si>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</si>
  <si>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</si>
  <si>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</si>
  <si>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</si>
  <si>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</si>
  <si>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</si>
  <si>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</si>
  <si>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</si>
  <si>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</si>
  <si>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</si>
  <si>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</si>
  <si>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</si>
  <si>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</si>
  <si>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</si>
  <si>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</si>
  <si>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</si>
  <si>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</si>
  <si>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</si>
  <si>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</si>
  <si>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</si>
  <si>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</si>
  <si>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</si>
  <si>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</si>
  <si>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</si>
  <si>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</si>
  <si>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</si>
  <si>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</si>
  <si>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</si>
  <si>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</si>
  <si>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</si>
  <si>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</si>
  <si>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</si>
  <si>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</si>
  <si>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</si>
  <si>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</si>
  <si>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</si>
  <si>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</si>
  <si>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</si>
  <si>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</si>
  <si>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</si>
  <si>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</si>
  <si>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</si>
  <si>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</si>
  <si>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</si>
  <si>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</si>
  <si>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</si>
  <si>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</si>
  <si>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</si>
  <si>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</si>
  <si>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</si>
  <si>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</si>
  <si>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</si>
  <si>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</si>
  <si>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</si>
  <si>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</si>
  <si>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</si>
  <si>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</si>
  <si>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</si>
  <si>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</si>
  <si>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</si>
  <si>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</si>
  <si>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</si>
  <si>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</si>
  <si>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</si>
  <si>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</si>
  <si>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</si>
  <si>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</si>
  <si>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</si>
  <si>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</si>
  <si>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</si>
  <si>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</si>
  <si>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</si>
  <si>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</si>
  <si>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</si>
  <si>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</si>
  <si>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</si>
  <si>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</si>
  <si>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</si>
  <si>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</si>
  <si>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</si>
  <si>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</si>
  <si>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</si>
  <si>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</si>
  <si>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</si>
  <si>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</si>
  <si>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</si>
  <si>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</si>
  <si>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</si>
  <si>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</si>
  <si>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</si>
  <si>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</si>
  <si>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</si>
  <si>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</si>
  <si>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</si>
  <si>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</si>
  <si>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</si>
  <si>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</si>
  <si>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</si>
  <si>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</si>
  <si>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</si>
  <si>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</si>
  <si>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</si>
  <si>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</si>
  <si>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</si>
  <si>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</si>
  <si>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</si>
  <si>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</si>
  <si>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</si>
  <si>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</si>
  <si>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</si>
  <si>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</si>
  <si>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</si>
  <si>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</si>
  <si>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</si>
  <si>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</si>
  <si>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</si>
  <si>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</si>
  <si>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</si>
  <si>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</si>
  <si>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</si>
  <si>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</si>
  <si>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</si>
  <si>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</si>
  <si>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</si>
  <si>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</si>
  <si>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</si>
  <si>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</si>
  <si>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</si>
  <si>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</si>
  <si>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</si>
  <si>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</si>
  <si>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</si>
  <si>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</si>
  <si>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</si>
  <si>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</si>
  <si>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</si>
  <si>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</si>
  <si>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</si>
  <si>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</si>
  <si>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</si>
  <si>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</si>
  <si>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</si>
  <si>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</si>
  <si>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</si>
  <si>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</si>
  <si>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</si>
  <si>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</si>
  <si>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</si>
  <si>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</si>
  <si>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</si>
  <si>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</si>
  <si>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</si>
  <si>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</si>
  <si>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</si>
  <si>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</si>
  <si>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</si>
  <si>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</si>
  <si>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</si>
  <si>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</si>
  <si>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</si>
  <si>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</si>
  <si>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</si>
  <si>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</si>
  <si>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</si>
  <si>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</si>
  <si>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</si>
  <si>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</si>
  <si>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</si>
  <si>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</si>
  <si>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</si>
  <si>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</si>
  <si>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</si>
  <si>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</si>
  <si>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</si>
  <si>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</si>
  <si>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</si>
  <si>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</si>
  <si>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</si>
  <si>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</si>
  <si>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</si>
  <si>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</si>
  <si>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</si>
  <si>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</si>
  <si>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</si>
  <si>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</si>
  <si>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</si>
  <si>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4 Season</t>
  </si>
  <si>
    <t>Address: Lake City Riwind Road</t>
  </si>
  <si>
    <t>Invoice No # :156156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</si>
</sst>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4 Season</v>
      </c>
      <c r="T3" s="301">
        <f>+'1'!P35</f>
        <v>50398.27659279661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4 Season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4 Season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4 Season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4 Season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944.32499999999993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5351.1750000000002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32.705027542372882</v>
      </c>
      <c r="P8" s="311">
        <f t="shared" ref="P8:P15" si="2">M8+N8+O8</f>
        <v>6573.7105360169489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4 Season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629.54999999999995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3567.45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21.80335169491525</v>
      </c>
      <c r="P9" s="311">
        <f t="shared" si="2"/>
        <v>4382.4736906779654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4 Season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2179.1999999999998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12348.8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75.472813559322034</v>
      </c>
      <c r="P10" s="311">
        <f t="shared" si="2"/>
        <v>15170.035525423727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4 Season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1307.5199999999998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7409.28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45.283688135593223</v>
      </c>
      <c r="P11" s="311">
        <f t="shared" si="2"/>
        <v>9102.0213152542365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4 Season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2179.1999999999998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12348.8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75.472813559322034</v>
      </c>
      <c r="P12" s="311">
        <f t="shared" si="2"/>
        <v>15170.035525423727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4 Season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4 Season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4 Season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4 Season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18</v>
      </c>
      <c r="H16" s="113">
        <f t="shared" ref="H16:M16" si="3">SUM(H7:H15)</f>
        <v>720</v>
      </c>
      <c r="I16" s="114">
        <f t="shared" si="3"/>
        <v>48265.3</v>
      </c>
      <c r="J16" s="274">
        <f>SUM(J7:J15)</f>
        <v>7239.7949999999992</v>
      </c>
      <c r="K16" s="275">
        <f t="shared" si="3"/>
        <v>0</v>
      </c>
      <c r="L16" s="276">
        <f t="shared" si="3"/>
        <v>0</v>
      </c>
      <c r="M16" s="232">
        <f t="shared" si="3"/>
        <v>41025.504999999997</v>
      </c>
      <c r="N16" s="233">
        <f>SUM(N7:N15)</f>
        <v>9122.0338983050842</v>
      </c>
      <c r="O16" s="101">
        <f>SUM(O7:O15)</f>
        <v>250.73769449152542</v>
      </c>
      <c r="P16" s="113">
        <f>SUM(P7:P15)</f>
        <v>50398.276592796603</v>
      </c>
      <c r="Q16" s="128">
        <f>SUM(Q7:Q15)</f>
        <v>0</v>
      </c>
      <c r="R16" s="313">
        <v>14</v>
      </c>
      <c r="S16" s="315" t="str">
        <f>+'14'!A6:A6</f>
        <v>4 Season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4 Season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4 Season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48265.3</v>
      </c>
      <c r="R19" s="299">
        <v>17</v>
      </c>
      <c r="S19" s="300" t="str">
        <f>+'17'!A6:A6</f>
        <v>4 Season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7239.7949999999992</v>
      </c>
      <c r="R20" s="299">
        <v>18</v>
      </c>
      <c r="S20" s="300" t="str">
        <f>+'18'!A6:A6</f>
        <v>4 Season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>4 Season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41025.505000000005</v>
      </c>
      <c r="R22" s="299">
        <v>20</v>
      </c>
      <c r="S22" s="300" t="str">
        <f>+'20'!A6:A6</f>
        <v>4 Season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9122.0338983050842</v>
      </c>
      <c r="R23" s="299">
        <v>21</v>
      </c>
      <c r="S23" s="300" t="str">
        <f>+'21'!A6:A6</f>
        <v>4 Season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50147.538898305087</v>
      </c>
      <c r="R24" s="299">
        <v>22</v>
      </c>
      <c r="S24" s="300" t="str">
        <f>+'22'!A6:A6</f>
        <v>4 Season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250.73769449152542</v>
      </c>
      <c r="R25" s="299">
        <v>23</v>
      </c>
      <c r="S25" s="300" t="str">
        <f>+'23'!A6:A6</f>
        <v>4 Season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50398.27659279661</v>
      </c>
      <c r="R26" s="299">
        <v>24</v>
      </c>
      <c r="S26" s="300" t="str">
        <f>+'24'!A6:A6</f>
        <v>4 Season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4 Season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4 Season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4 Season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4 Season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4 Season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4 Season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50398.27659279661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2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944.32499999999993</v>
      </c>
      <c r="K17" s="128">
        <f>$I17*T17</f>
        <v>0</v>
      </c>
      <c r="L17" s="119">
        <f>$I17*U17</f>
        <v>0</v>
      </c>
      <c r="M17" s="230">
        <f t="shared" ref="M17:M24" si="2">I17-SUM(J17:L17)</f>
        <v>5351.1750000000002</v>
      </c>
      <c r="N17" s="277">
        <f t="shared" ref="N17:N24" si="3">+(G17*D17+H17)*V17</f>
        <v>1189.8305084745757</v>
      </c>
      <c r="O17" s="239">
        <f t="shared" ref="O17:O24" si="4">(N17+M17)*$O$15</f>
        <v>32.705027542372882</v>
      </c>
      <c r="P17" s="119">
        <f t="shared" ref="P17:P24" si="5">M17+N17+O17</f>
        <v>6573.7105360169489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629.54999999999995</v>
      </c>
      <c r="K18" s="128">
        <f t="shared" si="1"/>
        <v>0</v>
      </c>
      <c r="L18" s="119">
        <f t="shared" si="1"/>
        <v>0</v>
      </c>
      <c r="M18" s="230">
        <f t="shared" si="2"/>
        <v>3567.45</v>
      </c>
      <c r="N18" s="277">
        <f t="shared" si="3"/>
        <v>793.22033898305051</v>
      </c>
      <c r="O18" s="239">
        <f t="shared" si="4"/>
        <v>21.80335169491525</v>
      </c>
      <c r="P18" s="119">
        <f t="shared" si="5"/>
        <v>4382.4736906779654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2179.1999999999998</v>
      </c>
      <c r="K19" s="128">
        <f t="shared" si="1"/>
        <v>0</v>
      </c>
      <c r="L19" s="119">
        <f t="shared" si="1"/>
        <v>0</v>
      </c>
      <c r="M19" s="230">
        <f t="shared" si="2"/>
        <v>12348.8</v>
      </c>
      <c r="N19" s="277">
        <f t="shared" si="3"/>
        <v>2745.7627118644068</v>
      </c>
      <c r="O19" s="239">
        <f t="shared" si="4"/>
        <v>75.472813559322034</v>
      </c>
      <c r="P19" s="119">
        <f t="shared" si="5"/>
        <v>15170.035525423727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1307.5199999999998</v>
      </c>
      <c r="K20" s="128">
        <f t="shared" si="1"/>
        <v>0</v>
      </c>
      <c r="L20" s="119">
        <f t="shared" si="1"/>
        <v>0</v>
      </c>
      <c r="M20" s="230">
        <f t="shared" si="2"/>
        <v>7409.28</v>
      </c>
      <c r="N20" s="277">
        <f t="shared" si="3"/>
        <v>1647.4576271186443</v>
      </c>
      <c r="O20" s="239">
        <f t="shared" si="4"/>
        <v>45.283688135593223</v>
      </c>
      <c r="P20" s="119">
        <f t="shared" si="5"/>
        <v>9102.0213152542365</v>
      </c>
      <c r="Q20" s="319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2179.1999999999998</v>
      </c>
      <c r="K21" s="128">
        <f t="shared" si="1"/>
        <v>0</v>
      </c>
      <c r="L21" s="119">
        <f t="shared" si="1"/>
        <v>0</v>
      </c>
      <c r="M21" s="230">
        <f t="shared" si="2"/>
        <v>12348.8</v>
      </c>
      <c r="N21" s="277">
        <f t="shared" si="3"/>
        <v>2745.7627118644068</v>
      </c>
      <c r="O21" s="239">
        <f t="shared" si="4"/>
        <v>75.472813559322034</v>
      </c>
      <c r="P21" s="119">
        <f t="shared" si="5"/>
        <v>15170.035525423727</v>
      </c>
      <c r="Q21" s="319"/>
      <c r="S21" s="269">
        <f>+S20</f>
        <v>0.15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48265.3</v>
      </c>
      <c r="J25" s="274">
        <f>SUM(J16:J24)</f>
        <v>7239.7949999999992</v>
      </c>
      <c r="K25" s="275">
        <f t="shared" si="10"/>
        <v>0</v>
      </c>
      <c r="L25" s="276">
        <f t="shared" si="10"/>
        <v>0</v>
      </c>
      <c r="M25" s="232">
        <f t="shared" si="10"/>
        <v>41025.504999999997</v>
      </c>
      <c r="N25" s="233">
        <f>SUM(N16:N24)</f>
        <v>9122.0338983050842</v>
      </c>
      <c r="O25" s="101">
        <f>SUM(O16:O24)</f>
        <v>250.73769449152542</v>
      </c>
      <c r="P25" s="234">
        <f>SUM(P16:P24)</f>
        <v>50398.276592796603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48265.3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7239.7949999999992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41025.505000000005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9122.0338983050842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50147.538898305087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250.73769449152545</v>
      </c>
    </row>
    <row r="35" spans="2:16" ht="15.75" customHeight="1" thickBot="1" x14ac:dyDescent="0.4">
      <c r="N35" s="346" t="s">
        <v>88</v>
      </c>
      <c r="O35" s="347"/>
      <c r="P35" s="297">
        <f>+P33+P34</f>
        <v>50398.27659279661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46322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46321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2026-10-26T05:05:32Z</dcterms:modified>
</cp:coreProperties>
</file>