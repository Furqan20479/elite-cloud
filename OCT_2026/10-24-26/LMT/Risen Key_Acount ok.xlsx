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289B819-80B4-4ECE-A8A4-3F301BF50DC0}" xr6:coauthVersionLast="47" xr6:coauthVersionMax="47" xr10:uidLastSave="{00000000-0000-0000-0000-000000000000}"/>
  <bookViews>
    <workbookView xWindow="-110" yWindow="-110" windowWidth="19420" windowHeight="10420" tabRatio="873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M16" i="66" s="1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M24" i="66" s="1"/>
  <c r="O24" i="66" s="1"/>
  <c r="P24" i="66" s="1"/>
  <c r="J24" i="66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6" l="1"/>
  <c r="M23" i="54"/>
  <c r="O23" i="54" s="1"/>
  <c r="P23" i="54" s="1"/>
  <c r="M24" i="50"/>
  <c r="O24" i="50" s="1"/>
  <c r="P24" i="50" s="1"/>
  <c r="M24" i="48"/>
  <c r="M22" i="70"/>
  <c r="M22" i="51"/>
  <c r="K15" i="62"/>
  <c r="M24" i="45"/>
  <c r="O24" i="45" s="1"/>
  <c r="P24" i="45" s="1"/>
  <c r="M24" i="58"/>
  <c r="M23" i="56"/>
  <c r="M22" i="63"/>
  <c r="O22" i="63" s="1"/>
  <c r="P22" i="63" s="1"/>
  <c r="M20" i="48"/>
  <c r="O20" i="48" s="1"/>
  <c r="P20" i="48" s="1"/>
  <c r="R20" i="48" s="1"/>
  <c r="M20" i="71"/>
  <c r="O20" i="71" s="1"/>
  <c r="P20" i="71" s="1"/>
  <c r="R20" i="71" s="1"/>
  <c r="M21" i="51"/>
  <c r="M20" i="70"/>
  <c r="O20" i="70" s="1"/>
  <c r="P20" i="70" s="1"/>
  <c r="R20" i="70" s="1"/>
  <c r="M20" i="53"/>
  <c r="O20" i="53" s="1"/>
  <c r="P20" i="53" s="1"/>
  <c r="R20" i="53" s="1"/>
  <c r="M17" i="72"/>
  <c r="O17" i="72" s="1"/>
  <c r="P17" i="72" s="1"/>
  <c r="M16" i="64"/>
  <c r="O16" i="64" s="1"/>
  <c r="P16" i="64" s="1"/>
  <c r="M16" i="65"/>
  <c r="O16" i="65" s="1"/>
  <c r="M16" i="72"/>
  <c r="M16" i="58"/>
  <c r="M16" i="48"/>
  <c r="M24" i="43"/>
  <c r="O24" i="43" s="1"/>
  <c r="P24" i="43" s="1"/>
  <c r="M16" i="43"/>
  <c r="O16" i="43" s="1"/>
  <c r="P16" i="43" s="1"/>
  <c r="M22" i="43"/>
  <c r="O22" i="43" s="1"/>
  <c r="P22" i="43" s="1"/>
  <c r="M24" i="47"/>
  <c r="O24" i="47" s="1"/>
  <c r="P24" i="47" s="1"/>
  <c r="J15" i="62"/>
  <c r="M24" i="44"/>
  <c r="O24" i="44" s="1"/>
  <c r="P24" i="44" s="1"/>
  <c r="M20" i="47"/>
  <c r="O20" i="47" s="1"/>
  <c r="P20" i="47" s="1"/>
  <c r="M21" i="47"/>
  <c r="O21" i="47" s="1"/>
  <c r="P21" i="47" s="1"/>
  <c r="M20" i="46"/>
  <c r="O20" i="46" s="1"/>
  <c r="P20" i="46" s="1"/>
  <c r="R20" i="46" s="1"/>
  <c r="M23" i="44"/>
  <c r="O23" i="44" s="1"/>
  <c r="P23" i="44" s="1"/>
  <c r="K12" i="62"/>
  <c r="M17" i="44"/>
  <c r="O17" i="44" s="1"/>
  <c r="P17" i="44" s="1"/>
  <c r="M20" i="43"/>
  <c r="O20" i="43" s="1"/>
  <c r="P20" i="43" s="1"/>
  <c r="R20" i="43" s="1"/>
  <c r="M21" i="43"/>
  <c r="O21" i="43" s="1"/>
  <c r="P21" i="43" s="1"/>
  <c r="J7" i="62"/>
  <c r="M21" i="44"/>
  <c r="O21" i="44" s="1"/>
  <c r="P21" i="44" s="1"/>
  <c r="M16" i="44"/>
  <c r="O16" i="44" s="1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 s="1"/>
  <c r="O23" i="59"/>
  <c r="P23" i="59" s="1"/>
  <c r="O23" i="69"/>
  <c r="P23" i="69" s="1"/>
  <c r="O16" i="67"/>
  <c r="P16" i="67" s="1"/>
  <c r="O24" i="48"/>
  <c r="P24" i="48" s="1"/>
  <c r="O22" i="51"/>
  <c r="P22" i="51" s="1"/>
  <c r="O23" i="60"/>
  <c r="P23" i="60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4" i="55" l="1"/>
  <c r="O25" i="55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<sst xmlns="http://schemas.openxmlformats.org/spreadsheetml/2006/main" count="3974" uniqueCount="540">
  <si>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</si>
  <si>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</si>
  <si>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</si>
  <si>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</si>
  <si>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</si>
  <si>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</si>
  <si>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</si>
  <si>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</si>
  <si>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</si>
  <si>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</si>
  <si>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</si>
  <si>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</si>
  <si>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</si>
  <si>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</si>
  <si>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</si>
  <si>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</si>
  <si>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</si>
  <si>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</si>
  <si>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</si>
  <si>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</si>
  <si>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</si>
  <si>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</si>
  <si>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</si>
  <si>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</si>
  <si>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</si>
  <si>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</si>
  <si>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</si>
  <si>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</si>
  <si>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</si>
  <si>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</si>
  <si>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</si>
  <si>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</si>
  <si>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</si>
  <si>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</si>
  <si>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</si>
  <si>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</si>
  <si>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</si>
  <si>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</si>
  <si>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</si>
  <si>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</si>
  <si>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</si>
  <si>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</si>
  <si>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</si>
  <si>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</si>
  <si>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</si>
  <si>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</si>
  <si>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</si>
  <si>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</si>
  <si>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</si>
  <si>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</si>
  <si>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</si>
  <si>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</si>
  <si>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</si>
  <si>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</si>
  <si>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</si>
  <si>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</si>
  <si>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</si>
  <si>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</si>
  <si>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</si>
  <si>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</si>
  <si>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</si>
  <si>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</si>
  <si>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</si>
  <si>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</si>
  <si>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</si>
  <si>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</si>
  <si>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</si>
  <si>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</si>
  <si>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</si>
  <si>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</si>
  <si>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</si>
  <si>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</si>
  <si>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</si>
  <si>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</si>
  <si>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</si>
  <si>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</si>
  <si>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</si>
  <si>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</si>
  <si>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</si>
  <si>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</si>
  <si>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</si>
  <si>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</si>
  <si>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</si>
  <si>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</si>
  <si>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</si>
  <si>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</si>
  <si>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</si>
  <si>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</si>
  <si>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</si>
  <si>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</si>
  <si>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</si>
  <si>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</si>
  <si>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</si>
  <si>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</si>
  <si>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</si>
  <si>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</si>
  <si>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</si>
  <si>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</si>
  <si>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</si>
  <si>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</si>
  <si>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</si>
  <si>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</si>
  <si>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</si>
  <si>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</si>
  <si>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</si>
  <si>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</si>
  <si>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</si>
  <si>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</si>
  <si>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</si>
  <si>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</si>
  <si>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</si>
  <si>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</si>
  <si>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</si>
  <si>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</si>
  <si>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</si>
  <si>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</si>
  <si>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</si>
  <si>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</si>
  <si>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</si>
  <si>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</si>
  <si>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</si>
  <si>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</si>
  <si>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</si>
  <si>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</si>
  <si>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</si>
  <si>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</si>
  <si>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</si>
  <si>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</si>
  <si>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</si>
  <si>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</si>
  <si>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</si>
  <si>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</si>
  <si>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</si>
  <si>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</si>
  <si>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</si>
  <si>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</si>
  <si>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</si>
  <si>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</si>
  <si>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</si>
  <si>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</si>
  <si>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</si>
  <si>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</si>
  <si>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</si>
  <si>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</si>
  <si>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</si>
  <si>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</si>
  <si>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</si>
  <si>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</si>
  <si>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</si>
  <si>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</si>
  <si>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</si>
  <si>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</si>
  <si>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</si>
  <si>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</si>
  <si>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</si>
  <si>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</si>
  <si>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</si>
  <si>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</si>
  <si>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</si>
  <si>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</si>
  <si>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</si>
  <si>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</si>
  <si>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</si>
  <si>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</si>
  <si>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</si>
  <si>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</si>
  <si>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</si>
  <si>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</si>
  <si>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</si>
  <si>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</si>
  <si>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</si>
  <si>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</si>
  <si>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</si>
  <si>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</si>
  <si>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</si>
  <si>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</si>
  <si>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</si>
  <si>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</si>
  <si>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</si>
  <si>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</si>
  <si>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</si>
  <si>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</si>
  <si>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</si>
  <si>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</si>
  <si>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</si>
  <si>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</si>
  <si>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</si>
  <si>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</si>
  <si>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</si>
  <si>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</si>
  <si>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</si>
  <si>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</si>
  <si>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</si>
  <si>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</si>
  <si>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</si>
  <si>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</si>
  <si>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</si>
  <si>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</si>
  <si>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</si>
  <si>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</si>
  <si>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</si>
  <si>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</si>
  <si>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</si>
  <si>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</si>
  <si>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</si>
  <si>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</si>
  <si>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</si>
  <si>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</si>
  <si>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</si>
  <si>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</si>
  <si>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</si>
  <si>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</si>
  <si>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</si>
  <si>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</si>
  <si>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</si>
  <si>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</si>
  <si>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</si>
  <si>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</si>
  <si>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</si>
  <si>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</si>
  <si>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</si>
  <si>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</si>
  <si>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</si>
  <si>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</si>
  <si>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</si>
  <si>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</si>
  <si>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</si>
  <si>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</si>
  <si>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</si>
  <si>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</si>
  <si>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</si>
  <si>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</si>
  <si>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</si>
  <si>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</si>
  <si>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</si>
  <si>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</si>
  <si>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</si>
  <si>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</si>
  <si>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</si>
  <si>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</si>
  <si>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</si>
  <si>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</si>
  <si>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</si>
  <si>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</si>
  <si>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</si>
  <si>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</si>
  <si>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</si>
  <si>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</si>
  <si>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</si>
  <si>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</si>
  <si>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</si>
  <si>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</si>
  <si>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</si>
  <si>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</si>
  <si>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</si>
  <si>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</si>
  <si>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</si>
  <si>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</si>
  <si>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</si>
  <si>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</si>
  <si>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</si>
  <si>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</si>
  <si>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</si>
  <si>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</si>
  <si>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</si>
  <si>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</si>
  <si>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</si>
  <si>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</si>
  <si>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</si>
  <si>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</si>
  <si>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</si>
  <si>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</si>
  <si>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</si>
  <si>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</si>
  <si>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</si>
  <si>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</si>
  <si>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</si>
  <si>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</si>
  <si>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</si>
  <si>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</si>
  <si>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</si>
  <si>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</si>
  <si>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</si>
  <si>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</si>
  <si>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</si>
  <si>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</si>
  <si>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</si>
  <si>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</si>
  <si>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</si>
  <si>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</si>
  <si>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</si>
  <si>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</si>
  <si>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</si>
  <si>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</si>
  <si>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</si>
  <si>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</si>
  <si>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</si>
  <si>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</si>
  <si>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</si>
  <si>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</si>
  <si>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</si>
  <si>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</si>
  <si>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</si>
  <si>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</si>
  <si>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</si>
  <si>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</si>
  <si>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</si>
  <si>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</si>
  <si>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</si>
  <si>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</si>
  <si>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</si>
  <si>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</si>
  <si>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</si>
  <si>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</si>
  <si>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</si>
  <si>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</si>
  <si>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</si>
  <si>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</si>
  <si>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</si>
  <si>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</si>
  <si>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</si>
  <si>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</si>
  <si>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</si>
  <si>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</si>
  <si>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</si>
  <si>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</si>
  <si>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</si>
  <si>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</si>
  <si>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</si>
  <si>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</si>
  <si>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</si>
  <si>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</si>
  <si>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</si>
  <si>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</si>
  <si>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</si>
  <si>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</si>
  <si>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</si>
  <si>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</si>
  <si>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</si>
  <si>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</si>
  <si>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</si>
  <si>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</si>
  <si>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</si>
  <si>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</si>
  <si>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</si>
  <si>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</si>
  <si>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</si>
  <si>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</si>
  <si>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</si>
  <si>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</si>
  <si>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</si>
  <si>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</si>
  <si>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</si>
  <si>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</si>
  <si>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</si>
  <si>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</si>
  <si>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</si>
  <si>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</si>
  <si>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</si>
  <si>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</si>
  <si>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</si>
  <si>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</si>
  <si>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</si>
  <si>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</si>
  <si>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</si>
  <si>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</si>
  <si>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</si>
  <si>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</si>
  <si>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</si>
  <si>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</si>
  <si>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</si>
  <si>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</si>
  <si>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</si>
  <si>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</si>
  <si>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</si>
  <si>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</si>
  <si>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</si>
  <si>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</si>
  <si>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</si>
  <si>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</si>
  <si>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</si>
  <si>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</si>
  <si>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</si>
  <si>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</si>
  <si>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</si>
  <si>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</si>
  <si>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</si>
  <si>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</si>
  <si>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</si>
  <si>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</si>
  <si>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</si>
  <si>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</si>
  <si>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</si>
  <si>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</si>
  <si>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</si>
  <si>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</si>
  <si>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</si>
  <si>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</si>
  <si>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</si>
  <si>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</si>
  <si>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</si>
  <si>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</si>
  <si>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</si>
  <si>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</si>
  <si>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</si>
  <si>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</si>
  <si>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</si>
  <si>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</si>
  <si>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</si>
  <si>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</si>
  <si>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</si>
  <si>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</si>
  <si>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</si>
  <si>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</si>
  <si>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</si>
  <si>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</si>
  <si>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</si>
  <si>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</si>
  <si>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</si>
  <si>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</si>
  <si>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</si>
  <si>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</si>
  <si>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</si>
  <si>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</si>
  <si>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</si>
  <si>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</si>
  <si>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</si>
  <si>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</si>
  <si>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</si>
  <si>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</si>
  <si>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</si>
  <si>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</si>
  <si>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</si>
  <si>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</si>
  <si>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</si>
  <si>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</si>
  <si>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</si>
  <si>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</si>
  <si>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</si>
  <si>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</si>
  <si>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</si>
  <si>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</si>
  <si>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</si>
  <si>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</si>
  <si>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</si>
  <si>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</si>
  <si>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</si>
  <si>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</si>
  <si>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</si>
  <si>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</si>
  <si>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</si>
  <si>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</si>
  <si>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</si>
  <si>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</si>
  <si>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</si>
  <si>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</si>
  <si>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</si>
  <si>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</si>
  <si>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</si>
  <si>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</si>
  <si>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</si>
  <si>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</si>
  <si>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</si>
  <si>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</si>
  <si>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</si>
  <si>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</si>
  <si>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</si>
  <si>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</si>
  <si>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</si>
  <si>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</si>
  <si>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</si>
  <si>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</si>
  <si>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</si>
  <si>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</si>
  <si>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</si>
  <si>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</si>
  <si>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</si>
  <si>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</si>
  <si>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</si>
  <si>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</si>
  <si>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</si>
  <si>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</si>
  <si>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</si>
  <si>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</si>
  <si>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</si>
  <si>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</si>
  <si>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</si>
  <si>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</si>
  <si>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</si>
  <si>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</si>
  <si>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</si>
  <si>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</si>
  <si>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</si>
  <si>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</si>
  <si>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</si>
  <si>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</si>
  <si>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</si>
  <si>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</si>
  <si>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</si>
  <si>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</si>
  <si>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</si>
  <si>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</si>
  <si>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</si>
  <si>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</si>
  <si>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</si>
  <si>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</si>
  <si>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</si>
  <si>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</si>
  <si>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</si>
  <si>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</si>
  <si>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</si>
  <si>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</si>
  <si>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</si>
  <si>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</si>
  <si>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</si>
  <si>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</si>
  <si>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</si>
  <si>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Address: Sabzazaar</t>
  </si>
  <si>
    <t>NTN # : 9725069-2</t>
  </si>
  <si>
    <t xml:space="preserve">TN Traders </t>
  </si>
  <si>
    <t xml:space="preserve">Address:Thoker Niaz Bagh </t>
  </si>
  <si>
    <t>NTN # :  9402653-2</t>
  </si>
  <si>
    <t>M.S Traders</t>
  </si>
  <si>
    <t>Address: Askari 11</t>
  </si>
  <si>
    <t>Shakoor</t>
  </si>
  <si>
    <t>Invoice No # : 156156</t>
  </si>
  <si>
    <t>Invoice No # : 61163</t>
  </si>
  <si>
    <t>Risen</t>
  </si>
  <si>
    <t xml:space="preserve">MS Rafaqat Sons </t>
  </si>
  <si>
    <t>Invoice No # : 159523</t>
  </si>
  <si>
    <t>CB Traders</t>
  </si>
  <si>
    <t xml:space="preserve">Address:Manawan </t>
  </si>
  <si>
    <t>NTN # : 4987374-2</t>
  </si>
  <si>
    <t>Invoice No # :5451</t>
  </si>
  <si>
    <t>ok</t>
  </si>
  <si>
    <t>Address:Gajumata</t>
  </si>
  <si>
    <t xml:space="preserve">Rafaqat Sons </t>
  </si>
  <si>
    <t>NTN # : 9725069-2 STRN:/ 327787628553-1</t>
  </si>
  <si>
    <t>Invoice No # :56456</t>
  </si>
  <si>
    <t>Shakoor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</si>
</sst>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527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46321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_SB Traders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MS Rafaqat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M.S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198</v>
      </c>
      <c r="I8" s="236">
        <f t="shared" ref="I8:I14" si="0">(G8*D8)*F8+H8*F8</f>
        <v>10387.574999999999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1454.2605000000001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8933.3144999999986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1963.2203389830499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54.482674194915248</v>
      </c>
      <c r="P8" s="311">
        <f t="shared" ref="P8:P15" si="2">M8+N8+O8</f>
        <v>10951.017513177963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</v>
      </c>
      <c r="R8" s="314">
        <v>6</v>
      </c>
      <c r="S8" s="300" t="str">
        <f>+'6'!A6:A6</f>
        <v xml:space="preserve">Rafaqat Sons </v>
      </c>
      <c r="T8" s="301">
        <f>+'6'!P35</f>
        <v>49070.963289788124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3609.42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22.013201694915253</v>
      </c>
      <c r="P9" s="311">
        <f t="shared" si="2"/>
        <v>4424.6535406779658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7496.4479999999994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45.719528135593222</v>
      </c>
      <c r="P10" s="311">
        <f t="shared" si="2"/>
        <v>9189.6251552542362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2440.7040000000002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14992.895999999999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91.439056271186445</v>
      </c>
      <c r="P11" s="311">
        <f t="shared" si="2"/>
        <v>18379.250310508472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4997.6319999999996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30.47968542372881</v>
      </c>
      <c r="P12" s="311">
        <f t="shared" si="2"/>
        <v>6126.4167701694905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17.95</v>
      </c>
      <c r="H16" s="113">
        <f t="shared" ref="H16:M16" si="3">SUM(H7:H15)</f>
        <v>718</v>
      </c>
      <c r="I16" s="114">
        <f t="shared" si="3"/>
        <v>46546.174999999996</v>
      </c>
      <c r="J16" s="274">
        <f>SUM(J7:J15)</f>
        <v>6516.464500000001</v>
      </c>
      <c r="K16" s="275">
        <f t="shared" si="3"/>
        <v>0</v>
      </c>
      <c r="L16" s="276">
        <f t="shared" si="3"/>
        <v>0</v>
      </c>
      <c r="M16" s="232">
        <f t="shared" si="3"/>
        <v>40029.710499999994</v>
      </c>
      <c r="N16" s="233">
        <f>SUM(N7:N15)</f>
        <v>8797.1186440677957</v>
      </c>
      <c r="O16" s="101">
        <f>SUM(O7:O15)</f>
        <v>244.13414572033901</v>
      </c>
      <c r="P16" s="113">
        <f>SUM(P7:P15)</f>
        <v>49070.963289788131</v>
      </c>
      <c r="Q16" s="128">
        <f>SUM(Q7:Q15)</f>
        <v>2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46546.174999999996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6516.464500000001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40029.710499999994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8797.1186440677957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48826.829144067786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244.13414572033901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49070.963289788124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49070.963289788124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L19" sqref="L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518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526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518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D38"/>
  <sheetViews>
    <sheetView topLeftCell="A5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534</v>
      </c>
    </row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46316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532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" workbookViewId="0">
      <selection activeCell="B45" sqref="B4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46318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537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198</v>
      </c>
      <c r="I17" s="236">
        <f t="shared" ref="I17:I23" si="0">(G17*D17)*F17+H17*F17</f>
        <v>10387.574999999999</v>
      </c>
      <c r="J17" s="272">
        <f t="shared" ref="J17:L24" si="1">$I17*S17</f>
        <v>1454.2605000000001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8933.3144999999986</v>
      </c>
      <c r="N17" s="277">
        <f t="shared" ref="N17:N24" si="3">+(G17*D17+H17)*V17</f>
        <v>1963.2203389830499</v>
      </c>
      <c r="O17" s="239">
        <f t="shared" ref="O17:O24" si="4">(N17+M17)*$O$15</f>
        <v>54.482674194915248</v>
      </c>
      <c r="P17" s="311">
        <f t="shared" ref="P17:P24" si="5">M17+N17+O17</f>
        <v>10951.017513177963</v>
      </c>
      <c r="Q17" s="156">
        <v>2</v>
      </c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0</v>
      </c>
      <c r="L18" s="119">
        <f t="shared" si="1"/>
        <v>0</v>
      </c>
      <c r="M18" s="230">
        <f t="shared" si="2"/>
        <v>3609.42</v>
      </c>
      <c r="N18" s="277">
        <f t="shared" si="3"/>
        <v>793.22033898305051</v>
      </c>
      <c r="O18" s="239">
        <f t="shared" si="4"/>
        <v>22.013201694915253</v>
      </c>
      <c r="P18" s="311">
        <f t="shared" si="5"/>
        <v>4424.6535406779658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0</v>
      </c>
      <c r="L19" s="119">
        <f t="shared" si="1"/>
        <v>0</v>
      </c>
      <c r="M19" s="230">
        <f t="shared" si="2"/>
        <v>7496.4479999999994</v>
      </c>
      <c r="N19" s="277">
        <f t="shared" si="3"/>
        <v>1647.4576271186443</v>
      </c>
      <c r="O19" s="239">
        <f t="shared" si="4"/>
        <v>45.719528135593222</v>
      </c>
      <c r="P19" s="311">
        <f t="shared" si="5"/>
        <v>9189.6251552542362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0"/>
        <v>17433.599999999999</v>
      </c>
      <c r="J20" s="272">
        <f t="shared" si="1"/>
        <v>2440.7040000000002</v>
      </c>
      <c r="K20" s="128">
        <f t="shared" si="1"/>
        <v>0</v>
      </c>
      <c r="L20" s="119">
        <f t="shared" si="1"/>
        <v>0</v>
      </c>
      <c r="M20" s="230">
        <f t="shared" si="2"/>
        <v>14992.895999999999</v>
      </c>
      <c r="N20" s="277">
        <f t="shared" si="3"/>
        <v>3294.9152542372885</v>
      </c>
      <c r="O20" s="239">
        <f t="shared" si="4"/>
        <v>91.439056271186445</v>
      </c>
      <c r="P20" s="311">
        <f t="shared" si="5"/>
        <v>18379.250310508472</v>
      </c>
      <c r="Q20" s="156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0</v>
      </c>
      <c r="L21" s="119">
        <f t="shared" si="1"/>
        <v>0</v>
      </c>
      <c r="M21" s="230">
        <f t="shared" si="2"/>
        <v>4997.6319999999996</v>
      </c>
      <c r="N21" s="277">
        <f t="shared" si="3"/>
        <v>1098.3050847457628</v>
      </c>
      <c r="O21" s="239">
        <f t="shared" si="4"/>
        <v>30.47968542372881</v>
      </c>
      <c r="P21" s="311">
        <f t="shared" si="5"/>
        <v>6126.4167701694905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718</v>
      </c>
      <c r="I25" s="114">
        <f t="shared" si="7"/>
        <v>46546.174999999996</v>
      </c>
      <c r="J25" s="274">
        <f>SUM(J16:J24)</f>
        <v>6516.464500000001</v>
      </c>
      <c r="K25" s="275">
        <f t="shared" si="7"/>
        <v>0</v>
      </c>
      <c r="L25" s="276">
        <f t="shared" si="7"/>
        <v>0</v>
      </c>
      <c r="M25" s="232">
        <f t="shared" si="7"/>
        <v>40029.710499999994</v>
      </c>
      <c r="N25" s="233">
        <f>SUM(N16:N24)</f>
        <v>8797.1186440677957</v>
      </c>
      <c r="O25" s="101">
        <f>SUM(O16:O24)</f>
        <v>244.13414572033901</v>
      </c>
      <c r="P25" s="113">
        <f>SUM(P16:P24)</f>
        <v>49070.963289788131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46546.174999999996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6516.464500000001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40029.710499999994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8797.1186440677957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48826.829144067786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244.13414572033892</v>
      </c>
    </row>
    <row r="35" spans="2:16" ht="15.75" customHeight="1" thickBot="1" x14ac:dyDescent="0.4">
      <c r="N35" s="373" t="s">
        <v>88</v>
      </c>
      <c r="O35" s="374"/>
      <c r="P35" s="297">
        <f>+P33+P34</f>
        <v>49070.963289788124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46322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46321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2026-10-26T05:07:47Z</dcterms:modified>
</cp:coreProperties>
</file>